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23-0329" sheetId="1" r:id="rId5"/>
    <sheet state="visible" name="0330-0405" sheetId="2" r:id="rId6"/>
    <sheet state="visible" name="0406-0412" sheetId="3" r:id="rId7"/>
    <sheet state="visible" name="0413-0419" sheetId="4" r:id="rId8"/>
    <sheet state="visible" name="0420-0426" sheetId="5" r:id="rId9"/>
    <sheet state="visible" name="0427-0502" sheetId="6" r:id="rId10"/>
    <sheet state="visible" name="0504-0510" sheetId="7" r:id="rId11"/>
    <sheet state="visible" name="0511-0517" sheetId="8" r:id="rId12"/>
    <sheet state="visible" name="0518-0524" sheetId="9" r:id="rId13"/>
  </sheets>
  <definedNames/>
  <calcPr/>
</workbook>
</file>

<file path=xl/sharedStrings.xml><?xml version="1.0" encoding="utf-8"?>
<sst xmlns="http://schemas.openxmlformats.org/spreadsheetml/2006/main" count="2665" uniqueCount="615">
  <si>
    <t>See Gross Archive</t>
  </si>
  <si>
    <t>Driver Name</t>
  </si>
  <si>
    <t>Truck #</t>
  </si>
  <si>
    <t>Total</t>
  </si>
  <si>
    <t>Plan Reach</t>
  </si>
  <si>
    <t>Miles</t>
  </si>
  <si>
    <t>ZEEGOT LOGISTICS LLC</t>
  </si>
  <si>
    <t xml:space="preserve"> Monday</t>
  </si>
  <si>
    <t xml:space="preserve"> Tuesday</t>
  </si>
  <si>
    <t xml:space="preserve"> Wednesday</t>
  </si>
  <si>
    <t xml:space="preserve"> Thursday</t>
  </si>
  <si>
    <t xml:space="preserve"> Friday</t>
  </si>
  <si>
    <t xml:space="preserve"> Saturday</t>
  </si>
  <si>
    <t xml:space="preserve"> Sunday</t>
  </si>
  <si>
    <t xml:space="preserve"> </t>
  </si>
  <si>
    <t>Beatriz Alvear/April Moreno</t>
  </si>
  <si>
    <t>Rate</t>
  </si>
  <si>
    <t>GL9884</t>
  </si>
  <si>
    <t>Transit</t>
  </si>
  <si>
    <t>TRAILER ISSUE / SHOP</t>
  </si>
  <si>
    <t>Load#</t>
  </si>
  <si>
    <t>128269019</t>
  </si>
  <si>
    <t>0145180</t>
  </si>
  <si>
    <t>TFX-3113793</t>
  </si>
  <si>
    <t>2117527</t>
  </si>
  <si>
    <t>Florencio Rodriguez</t>
  </si>
  <si>
    <t>GL4155</t>
  </si>
  <si>
    <t>HOME</t>
  </si>
  <si>
    <t>9492603</t>
  </si>
  <si>
    <t>Erkan Polat</t>
  </si>
  <si>
    <t>GL1286</t>
  </si>
  <si>
    <t>REST / SHOP</t>
  </si>
  <si>
    <t>L-37090</t>
  </si>
  <si>
    <t>L260317-00694</t>
  </si>
  <si>
    <t>Ismet Nergiz</t>
  </si>
  <si>
    <t>GL4758</t>
  </si>
  <si>
    <t>MISSED APPT TIME</t>
  </si>
  <si>
    <t>9506386</t>
  </si>
  <si>
    <t>561535</t>
  </si>
  <si>
    <t>Mohamed Ali Saber</t>
  </si>
  <si>
    <t>GL6889</t>
  </si>
  <si>
    <t>7AD5235</t>
  </si>
  <si>
    <t>7BB6141 /// 1646861 // 1646866</t>
  </si>
  <si>
    <t>2220810</t>
  </si>
  <si>
    <t>3506884</t>
  </si>
  <si>
    <t xml:space="preserve">Tramaine Brown </t>
  </si>
  <si>
    <t>GL2578</t>
  </si>
  <si>
    <t>147759</t>
  </si>
  <si>
    <t>0215058</t>
  </si>
  <si>
    <t>160371</t>
  </si>
  <si>
    <t>Seyhmus Kutlay</t>
  </si>
  <si>
    <t>GL1985</t>
  </si>
  <si>
    <t>LD630121</t>
  </si>
  <si>
    <t>1638171</t>
  </si>
  <si>
    <t>1087949</t>
  </si>
  <si>
    <t>140256</t>
  </si>
  <si>
    <t>Jacorious Hagood</t>
  </si>
  <si>
    <t>GL4735</t>
  </si>
  <si>
    <t>7DH5089</t>
  </si>
  <si>
    <t>7DR8427</t>
  </si>
  <si>
    <t>Umarov Kudaiberdi</t>
  </si>
  <si>
    <t>GL64</t>
  </si>
  <si>
    <t>REST</t>
  </si>
  <si>
    <t xml:space="preserve"> L-40292</t>
  </si>
  <si>
    <t>6592389</t>
  </si>
  <si>
    <t>3910016// RT1046228 // 2367682</t>
  </si>
  <si>
    <t>C217659 // 976086</t>
  </si>
  <si>
    <t>CANCELED 2372360 // 2372356</t>
  </si>
  <si>
    <t>L-41259</t>
  </si>
  <si>
    <t>Manneth Webster</t>
  </si>
  <si>
    <t>GL8954</t>
  </si>
  <si>
    <t>YARD</t>
  </si>
  <si>
    <t>1190898</t>
  </si>
  <si>
    <t>Jasmine Perry</t>
  </si>
  <si>
    <t>GL5330</t>
  </si>
  <si>
    <t>22537485</t>
  </si>
  <si>
    <t>Ibrahim Kamaci</t>
  </si>
  <si>
    <t>GL2563</t>
  </si>
  <si>
    <t>005656841</t>
  </si>
  <si>
    <t>0010096</t>
  </si>
  <si>
    <t>2852851</t>
  </si>
  <si>
    <t>8276020326</t>
  </si>
  <si>
    <t>Mohammad Ali Waqar</t>
  </si>
  <si>
    <t>GL2554</t>
  </si>
  <si>
    <t>0425101</t>
  </si>
  <si>
    <t>2916056</t>
  </si>
  <si>
    <t xml:space="preserve">Michael Johnson </t>
  </si>
  <si>
    <t>GL4728</t>
  </si>
  <si>
    <t>TRUCK ISSUE</t>
  </si>
  <si>
    <t xml:space="preserve">LOAD WAS CANCELLED BY BROKER </t>
  </si>
  <si>
    <t>Rest</t>
  </si>
  <si>
    <t>9248661</t>
  </si>
  <si>
    <t>A-621034</t>
  </si>
  <si>
    <t>30103910</t>
  </si>
  <si>
    <t>Yassine Akhssassi</t>
  </si>
  <si>
    <t>GL6885</t>
  </si>
  <si>
    <t>298453</t>
  </si>
  <si>
    <t>4189426-1</t>
  </si>
  <si>
    <t>Ogeday Tezcan</t>
  </si>
  <si>
    <t>GL8950</t>
  </si>
  <si>
    <t>TRAILER ISSUE</t>
  </si>
  <si>
    <t>108093</t>
  </si>
  <si>
    <t>31434-42624</t>
  </si>
  <si>
    <t>4091</t>
  </si>
  <si>
    <t>Ernesto Silva Ortega</t>
  </si>
  <si>
    <t>GL7007</t>
  </si>
  <si>
    <t>31463-18995</t>
  </si>
  <si>
    <t>362576-0</t>
  </si>
  <si>
    <t>Robert Cyuzuzo</t>
  </si>
  <si>
    <t>GL4157</t>
  </si>
  <si>
    <t>3504801</t>
  </si>
  <si>
    <t>9252496</t>
  </si>
  <si>
    <t>2105168</t>
  </si>
  <si>
    <t>G4364376</t>
  </si>
  <si>
    <t>Ali Aslan</t>
  </si>
  <si>
    <t>GL7002</t>
  </si>
  <si>
    <t>65N7801</t>
  </si>
  <si>
    <t>66498276</t>
  </si>
  <si>
    <t>9260061</t>
  </si>
  <si>
    <t>322551</t>
  </si>
  <si>
    <t>Total drivers</t>
  </si>
  <si>
    <t xml:space="preserve">Daily gross </t>
  </si>
  <si>
    <t>Weekly gross</t>
  </si>
  <si>
    <t>No loads</t>
  </si>
  <si>
    <t>Daily actv trks</t>
  </si>
  <si>
    <t>Weekly avg active 
trks including home</t>
  </si>
  <si>
    <t>Weekly avg active 
trks not including home</t>
  </si>
  <si>
    <t>Daily Miles</t>
  </si>
  <si>
    <t>Weekly miles</t>
  </si>
  <si>
    <t>Daily rpm 
for 1 actv trk</t>
  </si>
  <si>
    <t>Weekly rpm</t>
  </si>
  <si>
    <t>Daily avg rate
 for 1 actv trk</t>
  </si>
  <si>
    <t>Avg weekly gross of 1 
active trk including home</t>
  </si>
  <si>
    <t>LOAD ISSUES</t>
  </si>
  <si>
    <t>Avg weekly gross of 1 
active trk excluding home</t>
  </si>
  <si>
    <t>TRANSIT</t>
  </si>
  <si>
    <t>770117</t>
  </si>
  <si>
    <t>62443</t>
  </si>
  <si>
    <t>LOG FROZEN (CYCLE)</t>
  </si>
  <si>
    <t>DAT ISSUE</t>
  </si>
  <si>
    <t>1001632</t>
  </si>
  <si>
    <t>18684</t>
  </si>
  <si>
    <t>2282288</t>
  </si>
  <si>
    <t>1296839</t>
  </si>
  <si>
    <t>LD46246</t>
  </si>
  <si>
    <t>1557041</t>
  </si>
  <si>
    <t>2847766</t>
  </si>
  <si>
    <t>182523</t>
  </si>
  <si>
    <t>3190045</t>
  </si>
  <si>
    <t>42186</t>
  </si>
  <si>
    <t>7EF7525</t>
  </si>
  <si>
    <t>7FV4269</t>
  </si>
  <si>
    <t>31494-18975</t>
  </si>
  <si>
    <t>1629419</t>
  </si>
  <si>
    <t>15864632</t>
  </si>
  <si>
    <t>L-41620</t>
  </si>
  <si>
    <t>2543974 // 7000299511</t>
  </si>
  <si>
    <t>7000300465</t>
  </si>
  <si>
    <t>L-42026 // L-42048</t>
  </si>
  <si>
    <t xml:space="preserve"> L-42059 </t>
  </si>
  <si>
    <t>200644</t>
  </si>
  <si>
    <t>9252442</t>
  </si>
  <si>
    <t>0248467</t>
  </si>
  <si>
    <t>0216894</t>
  </si>
  <si>
    <t>296646</t>
  </si>
  <si>
    <t>2318</t>
  </si>
  <si>
    <t>2323324</t>
  </si>
  <si>
    <t>2276209</t>
  </si>
  <si>
    <t>2275685</t>
  </si>
  <si>
    <t xml:space="preserve">SH-78933  </t>
  </si>
  <si>
    <t>2367581</t>
  </si>
  <si>
    <t>31483-11197</t>
  </si>
  <si>
    <t>1217943</t>
  </si>
  <si>
    <t>8171</t>
  </si>
  <si>
    <t>7CC2337</t>
  </si>
  <si>
    <t>367377</t>
  </si>
  <si>
    <t>1845748</t>
  </si>
  <si>
    <t>1219367</t>
  </si>
  <si>
    <t>30061804</t>
  </si>
  <si>
    <t>31474-77844</t>
  </si>
  <si>
    <t>L260325-00490</t>
  </si>
  <si>
    <t>MISSED APPT</t>
  </si>
  <si>
    <t>SPT-632357</t>
  </si>
  <si>
    <t>635299</t>
  </si>
  <si>
    <t>Forest Hills 4-6</t>
  </si>
  <si>
    <t>15915035</t>
  </si>
  <si>
    <t>G6384819</t>
  </si>
  <si>
    <t>2374010</t>
  </si>
  <si>
    <t>4621</t>
  </si>
  <si>
    <t>183898</t>
  </si>
  <si>
    <t>371291</t>
  </si>
  <si>
    <t>1560431</t>
  </si>
  <si>
    <t>16003</t>
  </si>
  <si>
    <t>1866183</t>
  </si>
  <si>
    <t>8640587</t>
  </si>
  <si>
    <t>15339368</t>
  </si>
  <si>
    <t>183675</t>
  </si>
  <si>
    <t>448090</t>
  </si>
  <si>
    <t>22685763</t>
  </si>
  <si>
    <t>35596-0</t>
  </si>
  <si>
    <t>2849931</t>
  </si>
  <si>
    <t>9286540</t>
  </si>
  <si>
    <t>C10252163</t>
  </si>
  <si>
    <t>A-623868</t>
  </si>
  <si>
    <t>872278</t>
  </si>
  <si>
    <t>69244</t>
  </si>
  <si>
    <t>6440482</t>
  </si>
  <si>
    <t>6377423</t>
  </si>
  <si>
    <t>DRIVER MISSED APPT</t>
  </si>
  <si>
    <t>8615707</t>
  </si>
  <si>
    <t>0513406</t>
  </si>
  <si>
    <t>857292</t>
  </si>
  <si>
    <t>3512185</t>
  </si>
  <si>
    <t xml:space="preserve">CANCELED TONU </t>
  </si>
  <si>
    <t>7000300769 // 1480165 // 1480715</t>
  </si>
  <si>
    <t>3511808</t>
  </si>
  <si>
    <t>7000303635 // 7000303640</t>
  </si>
  <si>
    <t>0876525 // 0876526 //  0876518</t>
  </si>
  <si>
    <t>L-43533</t>
  </si>
  <si>
    <t>Riadh Balghouthi</t>
  </si>
  <si>
    <t>GL8948</t>
  </si>
  <si>
    <t>NEW DRIVER</t>
  </si>
  <si>
    <t>90659</t>
  </si>
  <si>
    <t>373389</t>
  </si>
  <si>
    <t>LOAD CANCELLED</t>
  </si>
  <si>
    <t>32053822</t>
  </si>
  <si>
    <t>2827050</t>
  </si>
  <si>
    <t>328247</t>
  </si>
  <si>
    <t>1656759 TONU  /  LD339244</t>
  </si>
  <si>
    <t>1863717</t>
  </si>
  <si>
    <t>243227</t>
  </si>
  <si>
    <t>32055537</t>
  </si>
  <si>
    <t>2321259</t>
  </si>
  <si>
    <t>001 515259</t>
  </si>
  <si>
    <t>1094504</t>
  </si>
  <si>
    <t>3512910</t>
  </si>
  <si>
    <t>3000080539</t>
  </si>
  <si>
    <t>22641522</t>
  </si>
  <si>
    <t>0875013</t>
  </si>
  <si>
    <t>LOAD CANCELLED 10419168</t>
  </si>
  <si>
    <t>0676960</t>
  </si>
  <si>
    <t>181421</t>
  </si>
  <si>
    <t>22661058</t>
  </si>
  <si>
    <t>229466</t>
  </si>
  <si>
    <t>31446-58548</t>
  </si>
  <si>
    <t>6379796</t>
  </si>
  <si>
    <t>111204</t>
  </si>
  <si>
    <t>71897-0</t>
  </si>
  <si>
    <t>8627864</t>
  </si>
  <si>
    <t>Kenric Cox</t>
  </si>
  <si>
    <t>GL4729</t>
  </si>
  <si>
    <t>32400435</t>
  </si>
  <si>
    <t>9287009</t>
  </si>
  <si>
    <t>313226</t>
  </si>
  <si>
    <t>128893</t>
  </si>
  <si>
    <t>114515</t>
  </si>
  <si>
    <t>625370</t>
  </si>
  <si>
    <t>2233357</t>
  </si>
  <si>
    <t>LD130773</t>
  </si>
  <si>
    <t xml:space="preserve">LOAD CANCELLED </t>
  </si>
  <si>
    <t xml:space="preserve">0281111 </t>
  </si>
  <si>
    <t>0349218 </t>
  </si>
  <si>
    <t>0046009</t>
  </si>
  <si>
    <t>7291700926</t>
  </si>
  <si>
    <t>727155</t>
  </si>
  <si>
    <t>2429</t>
  </si>
  <si>
    <t>10381736 // IL4868703</t>
  </si>
  <si>
    <t>9294649</t>
  </si>
  <si>
    <t>7GP2215</t>
  </si>
  <si>
    <t>3512186</t>
  </si>
  <si>
    <t>3514631</t>
  </si>
  <si>
    <t>0692884</t>
  </si>
  <si>
    <t>6594444</t>
  </si>
  <si>
    <t>32073253</t>
  </si>
  <si>
    <t>1251551</t>
  </si>
  <si>
    <t>225197  /// 224792</t>
  </si>
  <si>
    <t>4270909-1</t>
  </si>
  <si>
    <t>15927208</t>
  </si>
  <si>
    <t>7000310929 // 7000310925</t>
  </si>
  <si>
    <t>7000310927 // 7000310931</t>
  </si>
  <si>
    <t>7000310932</t>
  </si>
  <si>
    <t>2321752</t>
  </si>
  <si>
    <t>3290687</t>
  </si>
  <si>
    <t>CYCLE  issue</t>
  </si>
  <si>
    <t>0017324</t>
  </si>
  <si>
    <t>8635371</t>
  </si>
  <si>
    <t xml:space="preserve">3000200518 WITH DETENTION </t>
  </si>
  <si>
    <t>66386619</t>
  </si>
  <si>
    <t xml:space="preserve">REST </t>
  </si>
  <si>
    <t>2297730</t>
  </si>
  <si>
    <t>24231</t>
  </si>
  <si>
    <t>622790</t>
  </si>
  <si>
    <t>Driver Missed APPT</t>
  </si>
  <si>
    <t>25005</t>
  </si>
  <si>
    <t>1250278</t>
  </si>
  <si>
    <t>223557</t>
  </si>
  <si>
    <t>181413</t>
  </si>
  <si>
    <t>94057-4</t>
  </si>
  <si>
    <t>9271758</t>
  </si>
  <si>
    <t>14793</t>
  </si>
  <si>
    <t>07154</t>
  </si>
  <si>
    <t>G6402379</t>
  </si>
  <si>
    <t>7274</t>
  </si>
  <si>
    <t>1302417</t>
  </si>
  <si>
    <t>3518644</t>
  </si>
  <si>
    <t>774228</t>
  </si>
  <si>
    <t>022163</t>
  </si>
  <si>
    <t>2938181</t>
  </si>
  <si>
    <t>Sheverya Olexandr</t>
  </si>
  <si>
    <t>GL5422</t>
  </si>
  <si>
    <t>11661506</t>
  </si>
  <si>
    <t>2769721</t>
  </si>
  <si>
    <t>4336</t>
  </si>
  <si>
    <t>Abdurakhmon Rasulzoda</t>
  </si>
  <si>
    <t>GL6881</t>
  </si>
  <si>
    <t>2293015</t>
  </si>
  <si>
    <t>615089</t>
  </si>
  <si>
    <t>0328431</t>
  </si>
  <si>
    <t>0427895</t>
  </si>
  <si>
    <t>32439178</t>
  </si>
  <si>
    <t>7JC1699</t>
  </si>
  <si>
    <t>128821108</t>
  </si>
  <si>
    <t>DRIVER MISSED APPOINTMENT</t>
  </si>
  <si>
    <t>2936389</t>
  </si>
  <si>
    <t>31415-99990</t>
  </si>
  <si>
    <t>001 516457</t>
  </si>
  <si>
    <t>128852567</t>
  </si>
  <si>
    <t>40762</t>
  </si>
  <si>
    <t>3515458</t>
  </si>
  <si>
    <t>22785893</t>
  </si>
  <si>
    <t>1306747</t>
  </si>
  <si>
    <t>1813022</t>
  </si>
  <si>
    <t>1034589</t>
  </si>
  <si>
    <t>177957</t>
  </si>
  <si>
    <t xml:space="preserve"> A-628891</t>
  </si>
  <si>
    <t>8709781</t>
  </si>
  <si>
    <t>2730314</t>
  </si>
  <si>
    <t>15931216</t>
  </si>
  <si>
    <t>455610</t>
  </si>
  <si>
    <t>0306310</t>
  </si>
  <si>
    <t>89103</t>
  </si>
  <si>
    <t>7KG8957</t>
  </si>
  <si>
    <t>3934857</t>
  </si>
  <si>
    <t>CANCELED TONU</t>
  </si>
  <si>
    <t>1508318</t>
  </si>
  <si>
    <t>8726561</t>
  </si>
  <si>
    <t>2398356 // 0879448</t>
  </si>
  <si>
    <t xml:space="preserve">7000314389 </t>
  </si>
  <si>
    <t>7000314387</t>
  </si>
  <si>
    <t>7000314390 // 8742744</t>
  </si>
  <si>
    <t xml:space="preserve">7000314130 // 7000314391 </t>
  </si>
  <si>
    <t>256326</t>
  </si>
  <si>
    <t>22844456</t>
  </si>
  <si>
    <t>3292254</t>
  </si>
  <si>
    <t>66915593</t>
  </si>
  <si>
    <t>1202103</t>
  </si>
  <si>
    <t>31480-90654</t>
  </si>
  <si>
    <t>0679918</t>
  </si>
  <si>
    <t>128942940</t>
  </si>
  <si>
    <t>1196661</t>
  </si>
  <si>
    <t>9557565</t>
  </si>
  <si>
    <t>2315260</t>
  </si>
  <si>
    <t>2561019</t>
  </si>
  <si>
    <t>9395723</t>
  </si>
  <si>
    <t>1202866</t>
  </si>
  <si>
    <t>4579780</t>
  </si>
  <si>
    <t>22849762</t>
  </si>
  <si>
    <t>15956241</t>
  </si>
  <si>
    <t>452137</t>
  </si>
  <si>
    <t>9281157</t>
  </si>
  <si>
    <t>7000308772</t>
  </si>
  <si>
    <t>AQKF-128878723</t>
  </si>
  <si>
    <t>940100</t>
  </si>
  <si>
    <t>0593060</t>
  </si>
  <si>
    <t>3225178</t>
  </si>
  <si>
    <t>1185592</t>
  </si>
  <si>
    <t>7KP5015</t>
  </si>
  <si>
    <t>7HT0747</t>
  </si>
  <si>
    <t>57076</t>
  </si>
  <si>
    <t>3192169</t>
  </si>
  <si>
    <t>2140647</t>
  </si>
  <si>
    <t>2308374</t>
  </si>
  <si>
    <t>0969485</t>
  </si>
  <si>
    <t>128872521</t>
  </si>
  <si>
    <t>32458519</t>
  </si>
  <si>
    <t>15932010</t>
  </si>
  <si>
    <t>4284707-1</t>
  </si>
  <si>
    <t>0153459</t>
  </si>
  <si>
    <t>SHOP</t>
  </si>
  <si>
    <t>3521285</t>
  </si>
  <si>
    <t>1256166</t>
  </si>
  <si>
    <t xml:space="preserve">APPOINTMENT MISSED </t>
  </si>
  <si>
    <t xml:space="preserve">LAYOVER </t>
  </si>
  <si>
    <t>60114067143</t>
  </si>
  <si>
    <t>2578965</t>
  </si>
  <si>
    <t>2003504908</t>
  </si>
  <si>
    <t>31411-82065</t>
  </si>
  <si>
    <t>41164</t>
  </si>
  <si>
    <t>0021226</t>
  </si>
  <si>
    <t>22892552</t>
  </si>
  <si>
    <t>2178091</t>
  </si>
  <si>
    <t>1035093</t>
  </si>
  <si>
    <t>22614361</t>
  </si>
  <si>
    <t>7MK2133</t>
  </si>
  <si>
    <t>3293137</t>
  </si>
  <si>
    <t>5228814</t>
  </si>
  <si>
    <t>2145233</t>
  </si>
  <si>
    <t>8732070</t>
  </si>
  <si>
    <t>31481-62364</t>
  </si>
  <si>
    <t>608812</t>
  </si>
  <si>
    <t>170330</t>
  </si>
  <si>
    <t>3078165</t>
  </si>
  <si>
    <t>2953307</t>
  </si>
  <si>
    <t>1520150</t>
  </si>
  <si>
    <t>L-45605 // 7000320299</t>
  </si>
  <si>
    <t>7000320693</t>
  </si>
  <si>
    <t>7000320692</t>
  </si>
  <si>
    <t xml:space="preserve">0882073 // 0882074 // 0882075 // 0882076 </t>
  </si>
  <si>
    <t>60393258</t>
  </si>
  <si>
    <t>179112</t>
  </si>
  <si>
    <t>0681918</t>
  </si>
  <si>
    <t>3262062</t>
  </si>
  <si>
    <t>CANCELLED LOAD# 0880887</t>
  </si>
  <si>
    <t>368336</t>
  </si>
  <si>
    <t>65043795</t>
  </si>
  <si>
    <t>128914228</t>
  </si>
  <si>
    <t>4294467-1</t>
  </si>
  <si>
    <t>22896759</t>
  </si>
  <si>
    <t>0426781</t>
  </si>
  <si>
    <t>7LX3147</t>
  </si>
  <si>
    <t>7000315065</t>
  </si>
  <si>
    <t>1073720</t>
  </si>
  <si>
    <t>LYRA-005091</t>
  </si>
  <si>
    <t>31492-81114</t>
  </si>
  <si>
    <t>4346</t>
  </si>
  <si>
    <t>2573600/// 31428-73533</t>
  </si>
  <si>
    <t>C10256273</t>
  </si>
  <si>
    <t>22760411</t>
  </si>
  <si>
    <t>1070103</t>
  </si>
  <si>
    <t>3239169</t>
  </si>
  <si>
    <t xml:space="preserve">TRUCK ISSUE </t>
  </si>
  <si>
    <t>4297711-1</t>
  </si>
  <si>
    <t>3000086536</t>
  </si>
  <si>
    <t>35298-0</t>
  </si>
  <si>
    <t>706351</t>
  </si>
  <si>
    <t>3230808</t>
  </si>
  <si>
    <t>151546</t>
  </si>
  <si>
    <t>134820</t>
  </si>
  <si>
    <t>Musa Iriz</t>
  </si>
  <si>
    <t>GL8943</t>
  </si>
  <si>
    <t>8745965</t>
  </si>
  <si>
    <t>22840622</t>
  </si>
  <si>
    <t>Akmal Esanov</t>
  </si>
  <si>
    <t>GL7004</t>
  </si>
  <si>
    <t>3142674</t>
  </si>
  <si>
    <t>8622573</t>
  </si>
  <si>
    <t>38146</t>
  </si>
  <si>
    <t>630068</t>
  </si>
  <si>
    <t>22857008</t>
  </si>
  <si>
    <t>CYCLE RESET</t>
  </si>
  <si>
    <t>0082028</t>
  </si>
  <si>
    <t>0348362</t>
  </si>
  <si>
    <t>7PX0337</t>
  </si>
  <si>
    <t>22914890</t>
  </si>
  <si>
    <t>16006127</t>
  </si>
  <si>
    <t>15935216</t>
  </si>
  <si>
    <t>23352309</t>
  </si>
  <si>
    <t>L260426-00014</t>
  </si>
  <si>
    <t>402600-1</t>
  </si>
  <si>
    <t>9343483</t>
  </si>
  <si>
    <t>R30035455</t>
  </si>
  <si>
    <t>709039</t>
  </si>
  <si>
    <t>129145411</t>
  </si>
  <si>
    <t>32117590</t>
  </si>
  <si>
    <t xml:space="preserve">0013223 // L-47096 </t>
  </si>
  <si>
    <t>L-47113 // L-47111 // L-47106 // L-47103</t>
  </si>
  <si>
    <t>L-47104 // L-47102 // L-46778 // L-47126 // L-47114</t>
  </si>
  <si>
    <t xml:space="preserve">L-47125 </t>
  </si>
  <si>
    <t xml:space="preserve">L-47668 //  L-47658 </t>
  </si>
  <si>
    <t xml:space="preserve">  L-47892 </t>
  </si>
  <si>
    <t xml:space="preserve">2419408 </t>
  </si>
  <si>
    <t>0217727</t>
  </si>
  <si>
    <t>2241534</t>
  </si>
  <si>
    <t>2960872</t>
  </si>
  <si>
    <t>874193</t>
  </si>
  <si>
    <t>1054465</t>
  </si>
  <si>
    <t>67256627</t>
  </si>
  <si>
    <t xml:space="preserve">STUCK AT THE SHIPPER LOAD# 2330840  </t>
  </si>
  <si>
    <t>5314498</t>
  </si>
  <si>
    <t>183795</t>
  </si>
  <si>
    <t>1002061</t>
  </si>
  <si>
    <t>2583158</t>
  </si>
  <si>
    <t>31476-25731</t>
  </si>
  <si>
    <t>4314745-1</t>
  </si>
  <si>
    <t>ELD</t>
  </si>
  <si>
    <t>0286531</t>
  </si>
  <si>
    <t>1673024</t>
  </si>
  <si>
    <t>A-632338</t>
  </si>
  <si>
    <t>9733023</t>
  </si>
  <si>
    <t>LD219467</t>
  </si>
  <si>
    <t>0286878</t>
  </si>
  <si>
    <t>2145912</t>
  </si>
  <si>
    <t>1449309</t>
  </si>
  <si>
    <t>382838</t>
  </si>
  <si>
    <t>GL8944</t>
  </si>
  <si>
    <t>31403-64817</t>
  </si>
  <si>
    <t>7NY1647</t>
  </si>
  <si>
    <t>7PX4691</t>
  </si>
  <si>
    <t>0500203</t>
  </si>
  <si>
    <t>2241500</t>
  </si>
  <si>
    <t>390509</t>
  </si>
  <si>
    <t>1866748</t>
  </si>
  <si>
    <t>129203349</t>
  </si>
  <si>
    <t>7PW9793</t>
  </si>
  <si>
    <t>3527389</t>
  </si>
  <si>
    <t>16275</t>
  </si>
  <si>
    <t>129316999</t>
  </si>
  <si>
    <t>0702244</t>
  </si>
  <si>
    <t>L260501-00391</t>
  </si>
  <si>
    <t>31459-18517</t>
  </si>
  <si>
    <t>16026321</t>
  </si>
  <si>
    <t>0405180</t>
  </si>
  <si>
    <t>LD777766</t>
  </si>
  <si>
    <t>1076575</t>
  </si>
  <si>
    <t>23015474</t>
  </si>
  <si>
    <t>700617  (806363)</t>
  </si>
  <si>
    <t>1640563</t>
  </si>
  <si>
    <t>L-48951 // L-48959</t>
  </si>
  <si>
    <t>L-48962 // L-48968 // L-48969</t>
  </si>
  <si>
    <t>70701</t>
  </si>
  <si>
    <t>785422</t>
  </si>
  <si>
    <t>32105434</t>
  </si>
  <si>
    <t xml:space="preserve">LOAD 32108849 CANCELLED </t>
  </si>
  <si>
    <t>0802097</t>
  </si>
  <si>
    <t>11670797</t>
  </si>
  <si>
    <t>2595153</t>
  </si>
  <si>
    <t>0288112</t>
  </si>
  <si>
    <t>20016298</t>
  </si>
  <si>
    <t>005699204</t>
  </si>
  <si>
    <t>13889</t>
  </si>
  <si>
    <t>307623</t>
  </si>
  <si>
    <t>2590775</t>
  </si>
  <si>
    <t>0684759</t>
  </si>
  <si>
    <t>6597019</t>
  </si>
  <si>
    <t>7PS3143</t>
  </si>
  <si>
    <t>L260505-00736</t>
  </si>
  <si>
    <t>3097329</t>
  </si>
  <si>
    <t>97941</t>
  </si>
  <si>
    <t>24765</t>
  </si>
  <si>
    <t>Filiz Dogan</t>
  </si>
  <si>
    <t>394387</t>
  </si>
  <si>
    <t>119936 // 120589</t>
  </si>
  <si>
    <t>4344228-1</t>
  </si>
  <si>
    <t>MISSED THE APPT because of TRUCK ISSUE</t>
  </si>
  <si>
    <t>0753419</t>
  </si>
  <si>
    <t>.</t>
  </si>
  <si>
    <t xml:space="preserve">STUCK AT DEL </t>
  </si>
  <si>
    <t>1209301</t>
  </si>
  <si>
    <t>120823</t>
  </si>
  <si>
    <t>32140339</t>
  </si>
  <si>
    <t>12809031</t>
  </si>
  <si>
    <t>24275</t>
  </si>
  <si>
    <t>6425584</t>
  </si>
  <si>
    <t>TR-0000513461-01</t>
  </si>
  <si>
    <t>00077459</t>
  </si>
  <si>
    <t>2193686</t>
  </si>
  <si>
    <t>5342308</t>
  </si>
  <si>
    <t>8873811</t>
  </si>
  <si>
    <t>7SX5105</t>
  </si>
  <si>
    <t>2438695</t>
  </si>
  <si>
    <t>2149216</t>
  </si>
  <si>
    <t xml:space="preserve">31479-62037  </t>
  </si>
  <si>
    <t>8854126</t>
  </si>
  <si>
    <t>8874174</t>
  </si>
  <si>
    <t>4349854-1</t>
  </si>
  <si>
    <t>6598723</t>
  </si>
  <si>
    <t xml:space="preserve"> TR-0000509882-01</t>
  </si>
  <si>
    <t>0158439</t>
  </si>
  <si>
    <t>9758405</t>
  </si>
  <si>
    <t>L-48655</t>
  </si>
  <si>
    <t>1642121</t>
  </si>
  <si>
    <t>L-49701</t>
  </si>
  <si>
    <t>L-49698</t>
  </si>
  <si>
    <t>L-49695</t>
  </si>
  <si>
    <t>7000338368</t>
  </si>
  <si>
    <t>4633107</t>
  </si>
  <si>
    <t>3530554</t>
  </si>
  <si>
    <t>0429608</t>
  </si>
  <si>
    <t>639392</t>
  </si>
  <si>
    <t>0332588</t>
  </si>
  <si>
    <t>LEFT</t>
  </si>
  <si>
    <t>11671808</t>
  </si>
  <si>
    <t>12277147EVL</t>
  </si>
  <si>
    <t>3949827</t>
  </si>
  <si>
    <t>LD1498870</t>
  </si>
  <si>
    <t>1207145</t>
  </si>
  <si>
    <t>16332</t>
  </si>
  <si>
    <t>1030206</t>
  </si>
  <si>
    <t>NAD2254606</t>
  </si>
  <si>
    <t>1211585</t>
  </si>
  <si>
    <t>2429362</t>
  </si>
  <si>
    <t>129191560</t>
  </si>
  <si>
    <t>668161</t>
  </si>
  <si>
    <t>387939</t>
  </si>
  <si>
    <t>2350088</t>
  </si>
  <si>
    <t>A-636914</t>
  </si>
  <si>
    <t>384205</t>
  </si>
  <si>
    <t xml:space="preserve">COURT </t>
  </si>
  <si>
    <t>COURT</t>
  </si>
  <si>
    <t>65049072</t>
  </si>
  <si>
    <t>9398456</t>
  </si>
  <si>
    <t>31879</t>
  </si>
  <si>
    <t>1276578</t>
  </si>
  <si>
    <t>7TX9527</t>
  </si>
  <si>
    <t>7VL9759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</si>
</sst>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$ ]#,##0"/>
    <numFmt numFmtId="165" formatCode="d mmmm"/>
    <numFmt numFmtId="166" formatCode="&quot;$&quot;#,##0.00"/>
    <numFmt numFmtId="167" formatCode="0.0"/>
  </numFmts>
  <fonts count="16">
    <font>
      <sz val="10.0"/>
      <color rgb="FF000000"/>
      <name val="Arial"/>
      <scheme val="minor"/>
    </font>
    <font>
      <b/>
      <sz val="10.0"/>
      <color theme="1"/>
      <name val="Arial"/>
    </font>
    <font>
      <u/>
      <color rgb="FF00FF00"/>
      <name val="Arial"/>
    </font>
    <font>
      <color rgb="FF00FF00"/>
      <name val="Arial"/>
    </font>
    <font>
      <color theme="1"/>
      <name val="Arial"/>
    </font>
    <font>
      <b/>
      <color rgb="FFFFFFFF"/>
      <name val="Roboto"/>
    </font>
    <font>
      <b/>
      <color theme="1"/>
      <name val="Arial"/>
    </font>
    <font>
      <sz val="10.0"/>
      <color rgb="FF000000"/>
      <name val="Roboto"/>
    </font>
    <font>
      <color rgb="FF000000"/>
      <name val="Roboto"/>
    </font>
    <font>
      <color rgb="FF000000"/>
      <name val="Arial"/>
    </font>
    <font>
      <b/>
      <color rgb="FF000000"/>
      <name val="Roboto"/>
    </font>
    <font>
      <b/>
      <color theme="1"/>
      <name val="Roboto"/>
    </font>
    <font/>
    <font>
      <color theme="1"/>
      <name val="Arial"/>
      <scheme val="minor"/>
    </font>
    <font>
      <sz val="10.0"/>
      <color theme="1"/>
      <name val="Arial"/>
    </font>
    <font>
      <color theme="1"/>
      <name val="Roboto"/>
    </font>
  </fonts>
  <fills count="12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F4C7C3"/>
        <bgColor rgb="FFF4C7C3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8E7CC3"/>
        <bgColor rgb="FF8E7CC3"/>
      </patternFill>
    </fill>
    <fill>
      <patternFill patternType="solid">
        <fgColor rgb="FFFF9900"/>
        <bgColor rgb="FFFF9900"/>
      </patternFill>
    </fill>
  </fills>
  <borders count="13">
    <border/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" fontId="3" numFmtId="0" xfId="0" applyAlignment="1" applyFont="1">
      <alignment horizontal="center" readingOrder="0" vertical="center"/>
    </xf>
    <xf borderId="0" fillId="2" fontId="4" numFmtId="0" xfId="0" applyAlignment="1" applyFont="1">
      <alignment horizontal="center" vertical="center"/>
    </xf>
    <xf borderId="0" fillId="2" fontId="4" numFmtId="164" xfId="0" applyAlignment="1" applyFont="1" applyNumberFormat="1">
      <alignment horizontal="center" vertical="center"/>
    </xf>
    <xf borderId="1" fillId="2" fontId="4" numFmtId="164" xfId="0" applyAlignment="1" applyBorder="1" applyFont="1" applyNumberFormat="1">
      <alignment horizontal="center" vertical="center"/>
    </xf>
    <xf borderId="0" fillId="2" fontId="5" numFmtId="0" xfId="0" applyAlignment="1" applyFont="1">
      <alignment horizontal="center" vertical="center"/>
    </xf>
    <xf borderId="0" fillId="2" fontId="5" numFmtId="165" xfId="0" applyAlignment="1" applyFont="1" applyNumberFormat="1">
      <alignment horizontal="center" readingOrder="0" vertical="center"/>
    </xf>
    <xf borderId="0" fillId="2" fontId="5" numFmtId="164" xfId="0" applyAlignment="1" applyFont="1" applyNumberFormat="1">
      <alignment horizontal="center" vertical="center"/>
    </xf>
    <xf borderId="1" fillId="2" fontId="5" numFmtId="164" xfId="0" applyAlignment="1" applyBorder="1" applyFont="1" applyNumberFormat="1">
      <alignment horizontal="center" vertical="center"/>
    </xf>
    <xf borderId="0" fillId="2" fontId="5" numFmtId="0" xfId="0" applyAlignment="1" applyFont="1">
      <alignment horizontal="center" shrinkToFit="0" vertical="center" wrapText="1"/>
    </xf>
    <xf borderId="0" fillId="3" fontId="4" numFmtId="0" xfId="0" applyAlignment="1" applyFill="1" applyFont="1">
      <alignment vertical="center"/>
    </xf>
    <xf borderId="0" fillId="3" fontId="6" numFmtId="0" xfId="0" applyAlignment="1" applyFont="1">
      <alignment horizontal="center" readingOrder="0" vertical="center"/>
    </xf>
    <xf borderId="0" fillId="3" fontId="4" numFmtId="49" xfId="0" applyAlignment="1" applyFont="1" applyNumberFormat="1">
      <alignment vertical="center"/>
    </xf>
    <xf borderId="0" fillId="3" fontId="6" numFmtId="49" xfId="0" applyAlignment="1" applyFont="1" applyNumberFormat="1">
      <alignment horizontal="center" vertical="center"/>
    </xf>
    <xf borderId="0" fillId="3" fontId="4" numFmtId="164" xfId="0" applyAlignment="1" applyFont="1" applyNumberFormat="1">
      <alignment vertical="center"/>
    </xf>
    <xf borderId="0" fillId="4" fontId="4" numFmtId="49" xfId="0" applyAlignment="1" applyFill="1" applyFont="1" applyNumberFormat="1">
      <alignment horizontal="center" readingOrder="0" vertical="center"/>
    </xf>
    <xf borderId="0" fillId="4" fontId="4" numFmtId="49" xfId="0" applyAlignment="1" applyFont="1" applyNumberFormat="1">
      <alignment vertical="center"/>
    </xf>
    <xf borderId="0" fillId="4" fontId="4" numFmtId="166" xfId="0" applyAlignment="1" applyFont="1" applyNumberFormat="1">
      <alignment vertical="center"/>
    </xf>
    <xf borderId="2" fillId="4" fontId="4" numFmtId="166" xfId="0" applyAlignment="1" applyBorder="1" applyFont="1" applyNumberFormat="1">
      <alignment readingOrder="0" vertical="center"/>
    </xf>
    <xf borderId="0" fillId="4" fontId="4" numFmtId="0" xfId="0" applyAlignment="1" applyFont="1">
      <alignment vertical="center"/>
    </xf>
    <xf borderId="0" fillId="0" fontId="4" numFmtId="0" xfId="0" applyAlignment="1" applyFont="1">
      <alignment vertical="center"/>
    </xf>
    <xf borderId="3" fillId="4" fontId="7" numFmtId="49" xfId="0" applyAlignment="1" applyBorder="1" applyFont="1" applyNumberFormat="1">
      <alignment horizontal="center" readingOrder="0" vertical="center"/>
    </xf>
    <xf borderId="4" fillId="4" fontId="7" numFmtId="49" xfId="0" applyAlignment="1" applyBorder="1" applyFont="1" applyNumberFormat="1">
      <alignment horizontal="center" readingOrder="0" vertical="center"/>
    </xf>
    <xf borderId="5" fillId="5" fontId="8" numFmtId="49" xfId="0" applyAlignment="1" applyBorder="1" applyFill="1" applyFont="1" applyNumberFormat="1">
      <alignment horizontal="center" readingOrder="0" vertical="center"/>
    </xf>
    <xf borderId="6" fillId="4" fontId="4" numFmtId="166" xfId="0" applyAlignment="1" applyBorder="1" applyFont="1" applyNumberFormat="1">
      <alignment horizontal="center" readingOrder="0" vertical="center"/>
    </xf>
    <xf borderId="6" fillId="4" fontId="4" numFmtId="166" xfId="0" applyAlignment="1" applyBorder="1" applyFont="1" applyNumberFormat="1">
      <alignment horizontal="center" vertical="center"/>
    </xf>
    <xf borderId="6" fillId="6" fontId="4" numFmtId="166" xfId="0" applyAlignment="1" applyBorder="1" applyFill="1" applyFont="1" applyNumberFormat="1">
      <alignment horizontal="center" readingOrder="0" vertical="center"/>
    </xf>
    <xf borderId="6" fillId="0" fontId="9" numFmtId="49" xfId="0" applyAlignment="1" applyBorder="1" applyFont="1" applyNumberFormat="1">
      <alignment horizontal="center" vertical="center"/>
    </xf>
    <xf borderId="6" fillId="5" fontId="10" numFmtId="166" xfId="0" applyAlignment="1" applyBorder="1" applyFont="1" applyNumberFormat="1">
      <alignment horizontal="center" vertical="center"/>
    </xf>
    <xf borderId="5" fillId="7" fontId="10" numFmtId="166" xfId="0" applyAlignment="1" applyBorder="1" applyFill="1" applyFont="1" applyNumberFormat="1">
      <alignment horizontal="center" vertical="center"/>
    </xf>
    <xf borderId="5" fillId="4" fontId="9" numFmtId="49" xfId="0" applyAlignment="1" applyBorder="1" applyFont="1" applyNumberFormat="1">
      <alignment horizontal="center" vertical="center"/>
    </xf>
    <xf borderId="0" fillId="4" fontId="6" numFmtId="49" xfId="0" applyAlignment="1" applyFont="1" applyNumberFormat="1">
      <alignment horizontal="center" vertical="center"/>
    </xf>
    <xf borderId="0" fillId="4" fontId="11" numFmtId="4" xfId="0" applyAlignment="1" applyFont="1" applyNumberFormat="1">
      <alignment horizontal="center" shrinkToFit="0" vertical="center" wrapText="1"/>
    </xf>
    <xf borderId="7" fillId="0" fontId="12" numFmtId="0" xfId="0" applyBorder="1" applyFont="1"/>
    <xf borderId="1" fillId="0" fontId="12" numFmtId="0" xfId="0" applyBorder="1" applyFont="1"/>
    <xf borderId="0" fillId="4" fontId="4" numFmtId="4" xfId="0" applyAlignment="1" applyFont="1" applyNumberFormat="1">
      <alignment horizontal="center" readingOrder="0" vertical="center"/>
    </xf>
    <xf borderId="1" fillId="4" fontId="8" numFmtId="4" xfId="0" applyAlignment="1" applyBorder="1" applyFont="1" applyNumberFormat="1">
      <alignment horizontal="center" shrinkToFit="0" vertical="center" wrapText="1"/>
    </xf>
    <xf borderId="8" fillId="0" fontId="12" numFmtId="0" xfId="0" applyBorder="1" applyFont="1"/>
    <xf borderId="9" fillId="0" fontId="12" numFmtId="0" xfId="0" applyBorder="1" applyFont="1"/>
    <xf borderId="2" fillId="0" fontId="12" numFmtId="0" xfId="0" applyBorder="1" applyFont="1"/>
    <xf borderId="0" fillId="0" fontId="13" numFmtId="49" xfId="0" applyAlignment="1" applyFont="1" applyNumberFormat="1">
      <alignment horizontal="center" readingOrder="0"/>
    </xf>
    <xf borderId="9" fillId="4" fontId="8" numFmtId="166" xfId="0" applyAlignment="1" applyBorder="1" applyFont="1" applyNumberFormat="1">
      <alignment horizontal="center" shrinkToFit="0" vertical="center" wrapText="1"/>
    </xf>
    <xf borderId="6" fillId="8" fontId="4" numFmtId="166" xfId="0" applyAlignment="1" applyBorder="1" applyFill="1" applyFont="1" applyNumberFormat="1">
      <alignment horizontal="center" readingOrder="0" vertical="center"/>
    </xf>
    <xf borderId="10" fillId="4" fontId="11" numFmtId="166" xfId="0" applyAlignment="1" applyBorder="1" applyFont="1" applyNumberFormat="1">
      <alignment horizontal="center" shrinkToFit="0" vertical="center" wrapText="1"/>
    </xf>
    <xf borderId="0" fillId="4" fontId="11" numFmtId="166" xfId="0" applyAlignment="1" applyFont="1" applyNumberFormat="1">
      <alignment horizontal="center" shrinkToFit="0" vertical="center" wrapText="1"/>
    </xf>
    <xf borderId="10" fillId="4" fontId="6" numFmtId="49" xfId="0" applyAlignment="1" applyBorder="1" applyFont="1" applyNumberFormat="1">
      <alignment horizontal="center" vertical="center"/>
    </xf>
    <xf borderId="0" fillId="0" fontId="13" numFmtId="0" xfId="0" applyAlignment="1" applyFont="1">
      <alignment vertical="center"/>
    </xf>
    <xf borderId="6" fillId="8" fontId="4" numFmtId="166" xfId="0" applyAlignment="1" applyBorder="1" applyFont="1" applyNumberFormat="1">
      <alignment horizontal="center"/>
    </xf>
    <xf borderId="2" fillId="4" fontId="4" numFmtId="49" xfId="0" applyAlignment="1" applyBorder="1" applyFont="1" applyNumberFormat="1">
      <alignment horizontal="center" readingOrder="0" vertical="center"/>
    </xf>
    <xf borderId="0" fillId="3" fontId="4" numFmtId="0" xfId="0" applyAlignment="1" applyFont="1">
      <alignment horizontal="center" vertical="center"/>
    </xf>
    <xf borderId="6" fillId="4" fontId="14" numFmtId="166" xfId="0" applyAlignment="1" applyBorder="1" applyFont="1" applyNumberFormat="1">
      <alignment horizontal="center" readingOrder="0" vertical="center"/>
    </xf>
    <xf borderId="0" fillId="4" fontId="14" numFmtId="166" xfId="0" applyAlignment="1" applyFont="1" applyNumberFormat="1">
      <alignment horizontal="center" readingOrder="0" vertical="center"/>
    </xf>
    <xf borderId="0" fillId="0" fontId="4" numFmtId="49" xfId="0" applyAlignment="1" applyFont="1" applyNumberFormat="1">
      <alignment horizontal="center" readingOrder="0" vertical="center"/>
    </xf>
    <xf borderId="0" fillId="4" fontId="15" numFmtId="166" xfId="0" applyAlignment="1" applyFont="1" applyNumberFormat="1">
      <alignment horizontal="center" shrinkToFit="0" vertical="center" wrapText="1"/>
    </xf>
    <xf borderId="0" fillId="4" fontId="11" numFmtId="3" xfId="0" applyAlignment="1" applyFont="1" applyNumberFormat="1">
      <alignment horizontal="center" readingOrder="0" shrinkToFit="0" vertical="center" wrapText="1"/>
    </xf>
    <xf borderId="3" fillId="3" fontId="6" numFmtId="49" xfId="0" applyAlignment="1" applyBorder="1" applyFont="1" applyNumberFormat="1">
      <alignment horizontal="center" vertical="center"/>
    </xf>
    <xf borderId="3" fillId="3" fontId="4" numFmtId="49" xfId="0" applyAlignment="1" applyBorder="1" applyFont="1" applyNumberFormat="1">
      <alignment horizontal="center" vertical="center"/>
    </xf>
    <xf borderId="3" fillId="3" fontId="11" numFmtId="3" xfId="0" applyAlignment="1" applyBorder="1" applyFont="1" applyNumberFormat="1">
      <alignment horizontal="center" vertical="center"/>
    </xf>
    <xf borderId="6" fillId="3" fontId="11" numFmtId="166" xfId="0" applyAlignment="1" applyBorder="1" applyFont="1" applyNumberFormat="1">
      <alignment horizontal="center" vertical="center"/>
    </xf>
    <xf borderId="11" fillId="3" fontId="11" numFmtId="49" xfId="0" applyAlignment="1" applyBorder="1" applyFont="1" applyNumberFormat="1">
      <alignment horizontal="center" vertical="center"/>
    </xf>
    <xf borderId="5" fillId="3" fontId="11" numFmtId="166" xfId="0" applyAlignment="1" applyBorder="1" applyFont="1" applyNumberFormat="1">
      <alignment horizontal="center" vertical="center"/>
    </xf>
    <xf borderId="0" fillId="4" fontId="4" numFmtId="166" xfId="0" applyAlignment="1" applyFont="1" applyNumberFormat="1">
      <alignment horizontal="center" vertical="center"/>
    </xf>
    <xf borderId="3" fillId="9" fontId="11" numFmtId="4" xfId="0" applyAlignment="1" applyBorder="1" applyFill="1" applyFont="1" applyNumberFormat="1">
      <alignment horizontal="center" shrinkToFit="0" vertical="center" wrapText="1"/>
    </xf>
    <xf borderId="5" fillId="3" fontId="6" numFmtId="3" xfId="0" applyAlignment="1" applyBorder="1" applyFont="1" applyNumberFormat="1">
      <alignment horizontal="center" vertical="center"/>
    </xf>
    <xf borderId="0" fillId="0" fontId="4" numFmtId="49" xfId="0" applyAlignment="1" applyFont="1" applyNumberFormat="1">
      <alignment horizontal="center" vertical="center"/>
    </xf>
    <xf borderId="8" fillId="3" fontId="6" numFmtId="49" xfId="0" applyAlignment="1" applyBorder="1" applyFont="1" applyNumberFormat="1">
      <alignment horizontal="center" vertical="center"/>
    </xf>
    <xf borderId="8" fillId="3" fontId="4" numFmtId="49" xfId="0" applyAlignment="1" applyBorder="1" applyFont="1" applyNumberFormat="1">
      <alignment horizontal="center" vertical="center"/>
    </xf>
    <xf borderId="7" fillId="3" fontId="11" numFmtId="3" xfId="0" applyAlignment="1" applyBorder="1" applyFont="1" applyNumberFormat="1">
      <alignment horizontal="center" vertical="center"/>
    </xf>
    <xf borderId="0" fillId="3" fontId="11" numFmtId="3" xfId="0" applyAlignment="1" applyFont="1" applyNumberFormat="1">
      <alignment horizontal="center" vertical="center"/>
    </xf>
    <xf borderId="10" fillId="3" fontId="11" numFmtId="49" xfId="0" applyAlignment="1" applyBorder="1" applyFont="1" applyNumberFormat="1">
      <alignment horizontal="center" vertical="center"/>
    </xf>
    <xf borderId="1" fillId="3" fontId="11" numFmtId="167" xfId="0" applyAlignment="1" applyBorder="1" applyFont="1" applyNumberFormat="1">
      <alignment horizontal="center" vertical="center"/>
    </xf>
    <xf borderId="7" fillId="6" fontId="15" numFmtId="166" xfId="0" applyAlignment="1" applyBorder="1" applyFont="1" applyNumberFormat="1">
      <alignment horizontal="center" shrinkToFit="0" vertical="center" wrapText="1"/>
    </xf>
    <xf borderId="1" fillId="3" fontId="6" numFmtId="3" xfId="0" applyAlignment="1" applyBorder="1" applyFont="1" applyNumberFormat="1">
      <alignment horizontal="center" vertical="center"/>
    </xf>
    <xf borderId="0" fillId="4" fontId="4" numFmtId="49" xfId="0" applyAlignment="1" applyFont="1" applyNumberFormat="1">
      <alignment horizontal="center" vertical="center"/>
    </xf>
    <xf borderId="0" fillId="3" fontId="11" numFmtId="49" xfId="0" applyAlignment="1" applyFont="1" applyNumberFormat="1">
      <alignment horizontal="center" vertical="center"/>
    </xf>
    <xf borderId="7" fillId="6" fontId="15" numFmtId="166" xfId="0" applyAlignment="1" applyBorder="1" applyFont="1" applyNumberFormat="1">
      <alignment horizontal="center" readingOrder="0" shrinkToFit="0" vertical="center" wrapText="1"/>
    </xf>
    <xf borderId="7" fillId="3" fontId="11" numFmtId="166" xfId="0" applyAlignment="1" applyBorder="1" applyFont="1" applyNumberFormat="1">
      <alignment horizontal="center" vertical="center"/>
    </xf>
    <xf borderId="0" fillId="3" fontId="11" numFmtId="4" xfId="0" applyAlignment="1" applyFont="1" applyNumberFormat="1">
      <alignment horizontal="center" vertical="center"/>
    </xf>
    <xf borderId="10" fillId="3" fontId="11" numFmtId="166" xfId="0" applyAlignment="1" applyBorder="1" applyFont="1" applyNumberFormat="1">
      <alignment horizontal="center" vertical="center"/>
    </xf>
    <xf borderId="1" fillId="3" fontId="11" numFmtId="4" xfId="0" applyAlignment="1" applyBorder="1" applyFont="1" applyNumberFormat="1">
      <alignment horizontal="center" vertical="center"/>
    </xf>
    <xf borderId="7" fillId="8" fontId="15" numFmtId="166" xfId="0" applyAlignment="1" applyBorder="1" applyFont="1" applyNumberFormat="1">
      <alignment horizontal="center" shrinkToFit="0" vertical="center" wrapText="1"/>
    </xf>
    <xf borderId="0" fillId="3" fontId="11" numFmtId="166" xfId="0" applyAlignment="1" applyFont="1" applyNumberFormat="1">
      <alignment horizontal="center" vertical="center"/>
    </xf>
    <xf borderId="1" fillId="3" fontId="11" numFmtId="166" xfId="0" applyAlignment="1" applyBorder="1" applyFont="1" applyNumberFormat="1">
      <alignment horizontal="center" vertical="center"/>
    </xf>
    <xf borderId="8" fillId="3" fontId="11" numFmtId="166" xfId="0" applyAlignment="1" applyBorder="1" applyFont="1" applyNumberFormat="1">
      <alignment horizontal="center" vertical="center"/>
    </xf>
    <xf borderId="2" fillId="3" fontId="11" numFmtId="166" xfId="0" applyAlignment="1" applyBorder="1" applyFont="1" applyNumberFormat="1">
      <alignment horizontal="center" vertical="center"/>
    </xf>
    <xf borderId="8" fillId="8" fontId="15" numFmtId="166" xfId="0" applyAlignment="1" applyBorder="1" applyFont="1" applyNumberFormat="1">
      <alignment horizontal="center" shrinkToFit="0" vertical="center" wrapText="1"/>
    </xf>
    <xf borderId="9" fillId="3" fontId="6" numFmtId="3" xfId="0" applyAlignment="1" applyBorder="1" applyFont="1" applyNumberFormat="1">
      <alignment horizontal="center" vertical="center"/>
    </xf>
    <xf borderId="0" fillId="0" fontId="4" numFmtId="4" xfId="0" applyAlignment="1" applyFont="1" applyNumberFormat="1">
      <alignment horizontal="center" vertical="center"/>
    </xf>
    <xf borderId="12" fillId="3" fontId="11" numFmtId="166" xfId="0" applyAlignment="1" applyBorder="1" applyFont="1" applyNumberFormat="1">
      <alignment horizontal="center" readingOrder="0" vertical="center"/>
    </xf>
    <xf borderId="9" fillId="3" fontId="11" numFmtId="166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49" xfId="0" applyAlignment="1" applyFont="1" applyNumberFormat="1">
      <alignment vertical="center"/>
    </xf>
    <xf borderId="6" fillId="8" fontId="4" numFmtId="166" xfId="0" applyAlignment="1" applyBorder="1" applyFont="1" applyNumberFormat="1">
      <alignment horizontal="center" vertical="center"/>
    </xf>
    <xf borderId="6" fillId="8" fontId="6" numFmtId="166" xfId="0" applyAlignment="1" applyBorder="1" applyFont="1" applyNumberFormat="1">
      <alignment horizontal="center" readingOrder="0" vertical="center"/>
    </xf>
    <xf borderId="6" fillId="5" fontId="8" numFmtId="49" xfId="0" applyAlignment="1" applyBorder="1" applyFont="1" applyNumberFormat="1">
      <alignment horizontal="center" readingOrder="0" vertical="center"/>
    </xf>
    <xf borderId="11" fillId="8" fontId="15" numFmtId="166" xfId="0" applyAlignment="1" applyBorder="1" applyFont="1" applyNumberFormat="1">
      <alignment horizontal="center" shrinkToFit="0" vertical="center" wrapText="1"/>
    </xf>
    <xf borderId="6" fillId="8" fontId="15" numFmtId="166" xfId="0" applyAlignment="1" applyBorder="1" applyFont="1" applyNumberFormat="1">
      <alignment horizontal="center" shrinkToFit="0" vertical="center" wrapText="1"/>
    </xf>
    <xf borderId="10" fillId="0" fontId="12" numFmtId="0" xfId="0" applyBorder="1" applyFont="1"/>
    <xf borderId="12" fillId="0" fontId="12" numFmtId="0" xfId="0" applyBorder="1" applyFont="1"/>
    <xf borderId="0" fillId="4" fontId="4" numFmtId="166" xfId="0" applyAlignment="1" applyFont="1" applyNumberFormat="1">
      <alignment horizontal="center" readingOrder="0" vertical="center"/>
    </xf>
    <xf borderId="10" fillId="8" fontId="15" numFmtId="166" xfId="0" applyAlignment="1" applyBorder="1" applyFont="1" applyNumberFormat="1">
      <alignment horizontal="center" readingOrder="0" shrinkToFit="0" vertical="center" wrapText="1"/>
    </xf>
    <xf borderId="0" fillId="0" fontId="13" numFmtId="0" xfId="0" applyAlignment="1" applyFont="1">
      <alignment horizontal="center" vertical="center"/>
    </xf>
    <xf borderId="11" fillId="8" fontId="15" numFmtId="166" xfId="0" applyAlignment="1" applyBorder="1" applyFont="1" applyNumberFormat="1">
      <alignment horizontal="center" readingOrder="0" shrinkToFit="0" vertical="center" wrapText="1"/>
    </xf>
    <xf borderId="6" fillId="6" fontId="15" numFmtId="166" xfId="0" applyAlignment="1" applyBorder="1" applyFont="1" applyNumberFormat="1">
      <alignment horizontal="center" shrinkToFit="0" vertical="center" wrapText="1"/>
    </xf>
    <xf borderId="6" fillId="10" fontId="6" numFmtId="166" xfId="0" applyAlignment="1" applyBorder="1" applyFill="1" applyFont="1" applyNumberFormat="1">
      <alignment horizontal="center" readingOrder="0" vertical="center"/>
    </xf>
    <xf borderId="7" fillId="8" fontId="15" numFmtId="166" xfId="0" applyAlignment="1" applyBorder="1" applyFont="1" applyNumberFormat="1">
      <alignment horizontal="center" readingOrder="0" shrinkToFit="0" vertical="center" wrapText="1"/>
    </xf>
    <xf borderId="0" fillId="4" fontId="4" numFmtId="166" xfId="0" applyAlignment="1" applyFont="1" applyNumberFormat="1">
      <alignment readingOrder="0" vertical="center"/>
    </xf>
    <xf borderId="6" fillId="4" fontId="15" numFmtId="166" xfId="0" applyAlignment="1" applyBorder="1" applyFont="1" applyNumberFormat="1">
      <alignment horizontal="center" readingOrder="0" shrinkToFit="0" vertical="center" wrapText="1"/>
    </xf>
    <xf borderId="0" fillId="4" fontId="15" numFmtId="4" xfId="0" applyAlignment="1" applyFont="1" applyNumberFormat="1">
      <alignment horizontal="center" readingOrder="0" shrinkToFit="0" vertical="center" wrapText="1"/>
    </xf>
    <xf borderId="0" fillId="4" fontId="15" numFmtId="49" xfId="0" applyAlignment="1" applyFont="1" applyNumberFormat="1">
      <alignment horizontal="center" readingOrder="0" shrinkToFit="0" vertical="center" wrapText="1"/>
    </xf>
    <xf borderId="11" fillId="4" fontId="15" numFmtId="166" xfId="0" applyAlignment="1" applyBorder="1" applyFont="1" applyNumberFormat="1">
      <alignment horizontal="center" readingOrder="0" shrinkToFit="0" vertical="center" wrapText="1"/>
    </xf>
    <xf borderId="6" fillId="8" fontId="15" numFmtId="166" xfId="0" applyAlignment="1" applyBorder="1" applyFont="1" applyNumberFormat="1">
      <alignment horizontal="center" readingOrder="0" shrinkToFit="0" vertical="center" wrapText="1"/>
    </xf>
    <xf borderId="10" fillId="4" fontId="15" numFmtId="4" xfId="0" applyAlignment="1" applyBorder="1" applyFont="1" applyNumberFormat="1">
      <alignment horizontal="center" shrinkToFit="0" vertical="center" wrapText="1"/>
    </xf>
    <xf borderId="12" fillId="4" fontId="15" numFmtId="49" xfId="0" applyAlignment="1" applyBorder="1" applyFont="1" applyNumberFormat="1">
      <alignment horizontal="center" readingOrder="0" shrinkToFit="0" vertical="center" wrapText="1"/>
    </xf>
    <xf borderId="2" fillId="4" fontId="15" numFmtId="49" xfId="0" applyAlignment="1" applyBorder="1" applyFont="1" applyNumberFormat="1">
      <alignment horizontal="center" readingOrder="0" shrinkToFit="0" vertical="center" wrapText="1"/>
    </xf>
    <xf borderId="0" fillId="4" fontId="15" numFmtId="166" xfId="0" applyAlignment="1" applyFont="1" applyNumberFormat="1">
      <alignment horizontal="center" readingOrder="0" shrinkToFit="0" vertical="center" wrapText="1"/>
    </xf>
    <xf borderId="0" fillId="4" fontId="15" numFmtId="4" xfId="0" applyAlignment="1" applyFont="1" applyNumberFormat="1">
      <alignment horizontal="center" shrinkToFit="0" vertical="center" wrapText="1"/>
    </xf>
    <xf borderId="10" fillId="4" fontId="15" numFmtId="49" xfId="0" applyAlignment="1" applyBorder="1" applyFont="1" applyNumberFormat="1">
      <alignment horizontal="center" readingOrder="0" shrinkToFit="0" vertical="center" wrapText="1"/>
    </xf>
    <xf borderId="11" fillId="4" fontId="4" numFmtId="166" xfId="0" applyAlignment="1" applyBorder="1" applyFont="1" applyNumberFormat="1">
      <alignment horizontal="center" vertical="center"/>
    </xf>
    <xf borderId="6" fillId="8" fontId="11" numFmtId="166" xfId="0" applyAlignment="1" applyBorder="1" applyFont="1" applyNumberFormat="1">
      <alignment horizontal="center" readingOrder="0" shrinkToFit="0" vertical="center" wrapText="1"/>
    </xf>
    <xf borderId="10" fillId="4" fontId="15" numFmtId="4" xfId="0" applyAlignment="1" applyBorder="1" applyFont="1" applyNumberFormat="1">
      <alignment horizontal="center" readingOrder="0" shrinkToFit="0" vertical="center" wrapText="1"/>
    </xf>
    <xf borderId="10" fillId="0" fontId="13" numFmtId="4" xfId="0" applyAlignment="1" applyBorder="1" applyFont="1" applyNumberFormat="1">
      <alignment horizontal="center" readingOrder="0" vertical="center"/>
    </xf>
    <xf borderId="6" fillId="6" fontId="6" numFmtId="166" xfId="0" applyAlignment="1" applyBorder="1" applyFont="1" applyNumberFormat="1">
      <alignment horizontal="center" readingOrder="0" vertical="center"/>
    </xf>
    <xf borderId="0" fillId="6" fontId="6" numFmtId="166" xfId="0" applyAlignment="1" applyFont="1" applyNumberFormat="1">
      <alignment horizontal="center" readingOrder="0" vertical="center"/>
    </xf>
    <xf borderId="0" fillId="8" fontId="4" numFmtId="166" xfId="0" applyAlignment="1" applyFont="1" applyNumberFormat="1">
      <alignment horizontal="center" readingOrder="0" vertical="center"/>
    </xf>
    <xf borderId="6" fillId="8" fontId="4" numFmtId="166" xfId="0" applyAlignment="1" applyBorder="1" applyFont="1" applyNumberFormat="1">
      <alignment horizontal="center" readingOrder="0" shrinkToFit="0" vertical="center" wrapText="1"/>
    </xf>
    <xf borderId="11" fillId="6" fontId="15" numFmtId="166" xfId="0" applyAlignment="1" applyBorder="1" applyFont="1" applyNumberFormat="1">
      <alignment horizontal="center" shrinkToFit="0" vertical="center" wrapText="1"/>
    </xf>
    <xf borderId="0" fillId="11" fontId="6" numFmtId="166" xfId="0" applyAlignment="1" applyFill="1" applyFont="1" applyNumberFormat="1">
      <alignment horizontal="center" readingOrder="0" vertical="center"/>
    </xf>
    <xf borderId="6" fillId="4" fontId="15" numFmtId="4" xfId="0" applyAlignment="1" applyBorder="1" applyFont="1" applyNumberFormat="1">
      <alignment horizontal="center" readingOrder="0" shrinkToFit="0" vertical="center" wrapText="1"/>
    </xf>
    <xf borderId="0" fillId="0" fontId="13" numFmtId="0" xfId="0" applyAlignment="1" applyFont="1">
      <alignment horizontal="center" readingOrder="0" vertical="center"/>
    </xf>
    <xf borderId="11" fillId="8" fontId="11" numFmtId="166" xfId="0" applyAlignment="1" applyBorder="1" applyFont="1" applyNumberFormat="1">
      <alignment horizontal="center" readingOrder="0" shrinkToFit="0" vertical="center" wrapText="1"/>
    </xf>
    <xf borderId="6" fillId="6" fontId="11" numFmtId="166" xfId="0" applyAlignment="1" applyBorder="1" applyFont="1" applyNumberFormat="1">
      <alignment horizontal="center" readingOrder="0" shrinkToFit="0" vertical="center" wrapText="1"/>
    </xf>
    <xf borderId="0" fillId="8" fontId="11" numFmtId="166" xfId="0" applyAlignment="1" applyFont="1" applyNumberFormat="1">
      <alignment horizontal="center" readingOrder="0" shrinkToFit="0" vertical="center" wrapText="1"/>
    </xf>
    <xf borderId="6" fillId="4" fontId="11" numFmtId="166" xfId="0" applyAlignment="1" applyBorder="1" applyFont="1" applyNumberFormat="1">
      <alignment horizontal="center" readingOrder="0" shrinkToFit="0" vertical="center" wrapText="1"/>
    </xf>
    <xf borderId="10" fillId="8" fontId="15" numFmtId="166" xfId="0" applyAlignment="1" applyBorder="1" applyFont="1" applyNumberFormat="1">
      <alignment horizontal="center" shrinkToFit="0" vertical="center" wrapText="1"/>
    </xf>
    <xf borderId="6" fillId="8" fontId="11" numFmtId="166" xfId="0" applyAlignment="1" applyBorder="1" applyFont="1" applyNumberFormat="1">
      <alignment horizontal="center" shrinkToFit="0" vertical="center" wrapText="1"/>
    </xf>
    <xf borderId="0" fillId="4" fontId="11" numFmtId="166" xfId="0" applyAlignment="1" applyFont="1" applyNumberFormat="1">
      <alignment horizontal="center" readingOrder="0" shrinkToFit="0" vertical="center" wrapText="1"/>
    </xf>
    <xf borderId="0" fillId="8" fontId="15" numFmtId="166" xfId="0" applyAlignment="1" applyFont="1" applyNumberFormat="1">
      <alignment horizontal="center" shrinkToFit="0" vertical="center" wrapText="1"/>
    </xf>
    <xf borderId="0" fillId="0" fontId="13" numFmtId="0" xfId="0" applyAlignment="1" applyFont="1">
      <alignment horizontal="center" readingOrder="0"/>
    </xf>
  </cellXfs>
  <cellStyles count="1">
    <cellStyle xfId="0" name="Normal" builtinId="0"/>
  </cellStyles>
  <dxfs count="3">
    <dxf>
      <font>
        <b/>
        <color rgb="FF000000"/>
      </font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6yrMyLf-v4O3xYUE4GeKzYa8lNPpYRAryIhbuUZ-pkU/edit?gid=1619821413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6yrMyLf-v4O3xYUE4GeKzYa8lNPpYRAryIhbuUZ-pkU/edit?gid=1619821413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6yrMyLf-v4O3xYUE4GeKzYa8lNPpYRAryIhbuUZ-pkU/edit?gid=1619821413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6yrMyLf-v4O3xYUE4GeKzYa8lNPpYRAryIhbuUZ-pkU/edit?gid=1619821413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6yrMyLf-v4O3xYUE4GeKzYa8lNPpYRAryIhbuUZ-pkU/edit?gid=1619821413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6yrMyLf-v4O3xYUE4GeKzYa8lNPpYRAryIhbuUZ-pkU/edit?gid=1619821413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6yrMyLf-v4O3xYUE4GeKzYa8lNPpYRAryIhbuUZ-pkU/edit?gid=1619821413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6yrMyLf-v4O3xYUE4GeKzYa8lNPpYRAryIhbuUZ-pkU/edit?gid=1619821413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6yrMyLf-v4O3xYUE4GeKzYa8lNPpYRAryIhbuUZ-pkU/edit?gid=1619821413" TargetMode="External"/><Relationship Id="rId2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.13"/>
    <col customWidth="1" min="2" max="2" width="28.0"/>
    <col customWidth="1" min="3" max="3" width="5.75"/>
    <col customWidth="1" min="5" max="5" width="24.5"/>
    <col customWidth="1" min="6" max="6" width="25.0"/>
    <col customWidth="1" min="7" max="7" width="30.63"/>
    <col customWidth="1" min="8" max="8" width="27.63"/>
    <col customWidth="1" min="9" max="9" width="28.0"/>
    <col customWidth="1" min="10" max="10" width="28.75"/>
    <col customWidth="1" min="11" max="11" width="24.5"/>
    <col customWidth="1" min="12" max="12" width="20.25"/>
    <col customWidth="1" min="13" max="13" width="10.5"/>
    <col customWidth="1" min="14" max="14" width="15.88"/>
    <col customWidth="1" min="15" max="18" width="28.25"/>
  </cols>
  <sheetData>
    <row r="1">
      <c r="A1" s="1"/>
      <c r="B1" s="2" t="s">
        <v>0</v>
      </c>
      <c r="C1" s="3"/>
      <c r="D1" s="4"/>
      <c r="E1" s="4"/>
      <c r="F1" s="4"/>
      <c r="G1" s="4"/>
      <c r="H1" s="4"/>
      <c r="I1" s="4"/>
      <c r="J1" s="4"/>
      <c r="K1" s="4"/>
      <c r="L1" s="4"/>
      <c r="M1" s="5"/>
      <c r="N1" s="6"/>
      <c r="O1" s="4"/>
      <c r="P1" s="4"/>
      <c r="Q1" s="4"/>
      <c r="R1" s="4"/>
    </row>
    <row r="2">
      <c r="A2" s="4"/>
      <c r="B2" s="7" t="s">
        <v>1</v>
      </c>
      <c r="C2" s="7"/>
      <c r="D2" s="7" t="s">
        <v>2</v>
      </c>
      <c r="E2" s="8">
        <v>46104.0</v>
      </c>
      <c r="F2" s="8">
        <f t="shared" ref="F2:K2" si="1">E2+1</f>
        <v>46105</v>
      </c>
      <c r="G2" s="8">
        <f t="shared" si="1"/>
        <v>46106</v>
      </c>
      <c r="H2" s="8">
        <f t="shared" si="1"/>
        <v>46107</v>
      </c>
      <c r="I2" s="8">
        <f t="shared" si="1"/>
        <v>46108</v>
      </c>
      <c r="J2" s="8">
        <f t="shared" si="1"/>
        <v>46109</v>
      </c>
      <c r="K2" s="8">
        <f t="shared" si="1"/>
        <v>46110</v>
      </c>
      <c r="L2" s="7"/>
      <c r="M2" s="9" t="s">
        <v>3</v>
      </c>
      <c r="N2" s="10" t="s">
        <v>4</v>
      </c>
      <c r="O2" s="11" t="s">
        <v>5</v>
      </c>
      <c r="P2" s="11"/>
      <c r="Q2" s="11"/>
      <c r="R2" s="11"/>
    </row>
    <row r="3" ht="15.0" customHeight="1">
      <c r="A3" s="12"/>
      <c r="B3" s="13" t="s">
        <v>6</v>
      </c>
      <c r="C3" s="13"/>
      <c r="D3" s="14"/>
      <c r="E3" s="15" t="s">
        <v>7</v>
      </c>
      <c r="F3" s="15" t="s">
        <v>8</v>
      </c>
      <c r="G3" s="15" t="s">
        <v>9</v>
      </c>
      <c r="H3" s="15" t="s">
        <v>10</v>
      </c>
      <c r="I3" s="15" t="s">
        <v>11</v>
      </c>
      <c r="J3" s="15" t="s">
        <v>12</v>
      </c>
      <c r="K3" s="15" t="s">
        <v>13</v>
      </c>
      <c r="L3" s="14"/>
      <c r="M3" s="16"/>
      <c r="N3" s="16"/>
      <c r="O3" s="12"/>
      <c r="P3" s="12"/>
      <c r="Q3" s="12"/>
      <c r="R3" s="12"/>
    </row>
    <row r="4">
      <c r="A4" s="12"/>
      <c r="B4" s="17"/>
      <c r="C4" s="17"/>
      <c r="D4" s="18"/>
      <c r="E4" s="19"/>
      <c r="F4" s="19"/>
      <c r="G4" s="19"/>
      <c r="H4" s="19"/>
      <c r="I4" s="20" t="s">
        <v>14</v>
      </c>
      <c r="J4" s="20"/>
      <c r="K4" s="20"/>
      <c r="L4" s="21"/>
      <c r="M4" s="19"/>
      <c r="N4" s="19"/>
      <c r="O4" s="21"/>
      <c r="P4" s="22"/>
      <c r="Q4" s="22"/>
      <c r="R4" s="22"/>
    </row>
    <row r="5">
      <c r="A5" s="12"/>
      <c r="B5" s="23" t="s">
        <v>15</v>
      </c>
      <c r="C5" s="24" t="s">
        <v>16</v>
      </c>
      <c r="D5" s="25" t="s">
        <v>17</v>
      </c>
      <c r="E5" s="26">
        <v>4400.0</v>
      </c>
      <c r="F5" s="27" t="s">
        <v>18</v>
      </c>
      <c r="G5" s="28" t="s">
        <v>19</v>
      </c>
      <c r="H5" s="26">
        <v>2500.0</v>
      </c>
      <c r="I5" s="26">
        <v>2000.0</v>
      </c>
      <c r="J5" s="26">
        <v>3800.0</v>
      </c>
      <c r="K5" s="27" t="s">
        <v>18</v>
      </c>
      <c r="L5" s="29" t="b">
        <v>0</v>
      </c>
      <c r="M5" s="30">
        <f>SUM(E5:L5)</f>
        <v>12700</v>
      </c>
      <c r="N5" s="31">
        <f>M5-8000</f>
        <v>4700</v>
      </c>
      <c r="O5" s="32"/>
      <c r="P5" s="33"/>
      <c r="Q5" s="34"/>
      <c r="R5" s="34"/>
    </row>
    <row r="6">
      <c r="A6" s="12"/>
      <c r="B6" s="35"/>
      <c r="C6" s="24" t="s">
        <v>5</v>
      </c>
      <c r="D6" s="36"/>
      <c r="E6" s="37">
        <v>2091.0</v>
      </c>
      <c r="H6" s="37">
        <v>1020.0</v>
      </c>
      <c r="I6" s="37">
        <v>717.0</v>
      </c>
      <c r="J6" s="37">
        <v>1251.0</v>
      </c>
      <c r="N6" s="36"/>
      <c r="O6" s="38">
        <f>SUM(E6:K6)</f>
        <v>5079</v>
      </c>
      <c r="P6" s="33"/>
      <c r="Q6" s="34"/>
      <c r="R6" s="34"/>
    </row>
    <row r="7">
      <c r="A7" s="12"/>
      <c r="B7" s="39"/>
      <c r="C7" s="24" t="s">
        <v>20</v>
      </c>
      <c r="D7" s="40"/>
      <c r="E7" s="17" t="s">
        <v>21</v>
      </c>
      <c r="F7" s="41"/>
      <c r="H7" s="17" t="s">
        <v>22</v>
      </c>
      <c r="I7" s="17" t="s">
        <v>23</v>
      </c>
      <c r="J7" s="42" t="s">
        <v>24</v>
      </c>
      <c r="K7" s="41"/>
      <c r="L7" s="41"/>
      <c r="M7" s="41"/>
      <c r="N7" s="40"/>
      <c r="O7" s="43">
        <f>M5/O6</f>
        <v>2.500492223</v>
      </c>
      <c r="P7" s="33"/>
      <c r="Q7" s="34"/>
      <c r="R7" s="34"/>
    </row>
    <row r="8">
      <c r="A8" s="12"/>
      <c r="B8" s="23" t="s">
        <v>25</v>
      </c>
      <c r="C8" s="24" t="s">
        <v>16</v>
      </c>
      <c r="D8" s="25" t="s">
        <v>26</v>
      </c>
      <c r="E8" s="44" t="s">
        <v>27</v>
      </c>
      <c r="F8" s="44" t="s">
        <v>27</v>
      </c>
      <c r="G8" s="44" t="s">
        <v>27</v>
      </c>
      <c r="H8" s="44" t="s">
        <v>27</v>
      </c>
      <c r="I8" s="26">
        <v>8000.0</v>
      </c>
      <c r="J8" s="27" t="s">
        <v>18</v>
      </c>
      <c r="K8" s="27" t="s">
        <v>18</v>
      </c>
      <c r="L8" s="29" t="b">
        <v>0</v>
      </c>
      <c r="M8" s="30">
        <f>SUM(E8:L8)</f>
        <v>8000</v>
      </c>
      <c r="N8" s="31">
        <f>M8-7000</f>
        <v>1000</v>
      </c>
      <c r="O8" s="32"/>
      <c r="P8" s="33"/>
      <c r="Q8" s="34"/>
      <c r="R8" s="34"/>
    </row>
    <row r="9">
      <c r="A9" s="12"/>
      <c r="B9" s="35"/>
      <c r="C9" s="24" t="s">
        <v>5</v>
      </c>
      <c r="D9" s="36"/>
      <c r="I9" s="37">
        <f>79.1+2886</f>
        <v>2965.1</v>
      </c>
      <c r="N9" s="36"/>
      <c r="O9" s="38">
        <f>SUM(E9:K9)</f>
        <v>2965.1</v>
      </c>
      <c r="P9" s="33"/>
      <c r="Q9" s="34"/>
      <c r="R9" s="34"/>
    </row>
    <row r="10">
      <c r="A10" s="12"/>
      <c r="B10" s="39"/>
      <c r="C10" s="24" t="s">
        <v>20</v>
      </c>
      <c r="D10" s="40"/>
      <c r="I10" s="17" t="s">
        <v>28</v>
      </c>
      <c r="J10" s="41"/>
      <c r="K10" s="41"/>
      <c r="L10" s="41"/>
      <c r="M10" s="41"/>
      <c r="N10" s="40"/>
      <c r="O10" s="43">
        <f>M8/O9</f>
        <v>2.698054029</v>
      </c>
      <c r="P10" s="33"/>
      <c r="Q10" s="34"/>
      <c r="R10" s="34"/>
    </row>
    <row r="11">
      <c r="A11" s="12"/>
      <c r="B11" s="23" t="s">
        <v>29</v>
      </c>
      <c r="C11" s="24" t="s">
        <v>16</v>
      </c>
      <c r="D11" s="25" t="s">
        <v>30</v>
      </c>
      <c r="E11" s="27" t="s">
        <v>18</v>
      </c>
      <c r="F11" s="28" t="s">
        <v>31</v>
      </c>
      <c r="G11" s="26">
        <v>3700.0</v>
      </c>
      <c r="H11" s="27" t="s">
        <v>18</v>
      </c>
      <c r="I11" s="26">
        <v>4300.0</v>
      </c>
      <c r="J11" s="27" t="s">
        <v>18</v>
      </c>
      <c r="K11" s="27" t="s">
        <v>18</v>
      </c>
      <c r="L11" s="29" t="b">
        <v>0</v>
      </c>
      <c r="M11" s="30">
        <f>SUM(E11:L11)</f>
        <v>8000</v>
      </c>
      <c r="N11" s="31">
        <f>M11-7000</f>
        <v>1000</v>
      </c>
      <c r="O11" s="32"/>
      <c r="P11" s="45"/>
      <c r="R11" s="46"/>
    </row>
    <row r="12">
      <c r="A12" s="12"/>
      <c r="B12" s="35"/>
      <c r="C12" s="24" t="s">
        <v>5</v>
      </c>
      <c r="D12" s="36"/>
      <c r="G12" s="37">
        <f>7+129+1512</f>
        <v>1648</v>
      </c>
      <c r="I12" s="37">
        <f>110+238+1570</f>
        <v>1918</v>
      </c>
      <c r="N12" s="36"/>
      <c r="O12" s="38">
        <f>SUM(E12:K12)</f>
        <v>3566</v>
      </c>
      <c r="P12" s="47"/>
      <c r="Q12" s="46"/>
      <c r="R12" s="46"/>
    </row>
    <row r="13">
      <c r="A13" s="12"/>
      <c r="B13" s="39"/>
      <c r="C13" s="24" t="s">
        <v>20</v>
      </c>
      <c r="D13" s="40"/>
      <c r="E13" s="41"/>
      <c r="G13" s="17" t="s">
        <v>32</v>
      </c>
      <c r="H13" s="41"/>
      <c r="I13" s="17" t="s">
        <v>33</v>
      </c>
      <c r="J13" s="41"/>
      <c r="K13" s="41"/>
      <c r="L13" s="41"/>
      <c r="M13" s="41"/>
      <c r="N13" s="40"/>
      <c r="O13" s="43">
        <f>M11/O12</f>
        <v>2.243409983</v>
      </c>
      <c r="P13" s="47"/>
      <c r="Q13" s="34"/>
      <c r="R13" s="34"/>
    </row>
    <row r="14">
      <c r="A14" s="12"/>
      <c r="B14" s="23" t="s">
        <v>34</v>
      </c>
      <c r="C14" s="24" t="s">
        <v>16</v>
      </c>
      <c r="D14" s="25" t="s">
        <v>35</v>
      </c>
      <c r="E14" s="27" t="s">
        <v>18</v>
      </c>
      <c r="F14" s="44" t="s">
        <v>36</v>
      </c>
      <c r="G14" s="26">
        <v>1300.0</v>
      </c>
      <c r="H14" s="26">
        <v>6200.0</v>
      </c>
      <c r="I14" s="27" t="s">
        <v>18</v>
      </c>
      <c r="J14" s="27" t="s">
        <v>18</v>
      </c>
      <c r="K14" s="27" t="s">
        <v>18</v>
      </c>
      <c r="L14" s="29" t="b">
        <v>0</v>
      </c>
      <c r="M14" s="30">
        <f>SUM(E14:L14)</f>
        <v>7500</v>
      </c>
      <c r="N14" s="31">
        <f>M14-7000</f>
        <v>500</v>
      </c>
      <c r="O14" s="32"/>
      <c r="P14" s="33"/>
      <c r="Q14" s="34"/>
      <c r="R14" s="34"/>
    </row>
    <row r="15">
      <c r="A15" s="12"/>
      <c r="B15" s="35"/>
      <c r="C15" s="24" t="s">
        <v>5</v>
      </c>
      <c r="D15" s="36"/>
      <c r="G15" s="37">
        <f>58+555</f>
        <v>613</v>
      </c>
      <c r="H15" s="37">
        <f>27+2897</f>
        <v>2924</v>
      </c>
      <c r="N15" s="36"/>
      <c r="O15" s="38">
        <f>SUM(E15:K15)</f>
        <v>3537</v>
      </c>
      <c r="P15" s="33"/>
      <c r="Q15" s="34"/>
      <c r="R15" s="34"/>
    </row>
    <row r="16">
      <c r="A16" s="12"/>
      <c r="B16" s="39"/>
      <c r="C16" s="24" t="s">
        <v>20</v>
      </c>
      <c r="D16" s="40"/>
      <c r="E16" s="41"/>
      <c r="G16" s="17" t="s">
        <v>37</v>
      </c>
      <c r="H16" s="17" t="s">
        <v>38</v>
      </c>
      <c r="I16" s="41"/>
      <c r="J16" s="41"/>
      <c r="K16" s="41"/>
      <c r="L16" s="41"/>
      <c r="M16" s="41"/>
      <c r="N16" s="40"/>
      <c r="O16" s="43">
        <f>M14/O15</f>
        <v>2.120441052</v>
      </c>
      <c r="P16" s="33"/>
      <c r="Q16" s="34"/>
      <c r="R16" s="34"/>
    </row>
    <row r="17">
      <c r="A17" s="12"/>
      <c r="B17" s="23" t="s">
        <v>39</v>
      </c>
      <c r="C17" s="24" t="s">
        <v>16</v>
      </c>
      <c r="D17" s="25" t="s">
        <v>40</v>
      </c>
      <c r="E17" s="26">
        <v>2274.0</v>
      </c>
      <c r="F17" s="26">
        <f>2800</f>
        <v>2800</v>
      </c>
      <c r="G17" s="27" t="s">
        <v>18</v>
      </c>
      <c r="H17" s="26">
        <v>1250.0</v>
      </c>
      <c r="I17" s="26">
        <v>5240.0</v>
      </c>
      <c r="J17" s="27" t="s">
        <v>18</v>
      </c>
      <c r="K17" s="27" t="s">
        <v>18</v>
      </c>
      <c r="L17" s="29" t="b">
        <v>0</v>
      </c>
      <c r="M17" s="30">
        <f>SUM(E17:L17)</f>
        <v>11564</v>
      </c>
      <c r="N17" s="31">
        <f>M17-7000</f>
        <v>4564</v>
      </c>
      <c r="O17" s="32"/>
      <c r="P17" s="33"/>
      <c r="Q17" s="33"/>
      <c r="R17" s="34"/>
    </row>
    <row r="18">
      <c r="A18" s="12"/>
      <c r="B18" s="35"/>
      <c r="C18" s="24" t="s">
        <v>5</v>
      </c>
      <c r="D18" s="36"/>
      <c r="E18" s="37">
        <f>652</f>
        <v>652</v>
      </c>
      <c r="F18" s="37">
        <f>1255+126+50</f>
        <v>1431</v>
      </c>
      <c r="H18" s="37">
        <f>130+412</f>
        <v>542</v>
      </c>
      <c r="I18" s="37">
        <f>90+2028</f>
        <v>2118</v>
      </c>
      <c r="N18" s="36"/>
      <c r="O18" s="38">
        <f>SUM(E18:K18)</f>
        <v>4743</v>
      </c>
      <c r="P18" s="33"/>
      <c r="Q18" s="33"/>
      <c r="R18" s="34"/>
    </row>
    <row r="19">
      <c r="A19" s="12"/>
      <c r="B19" s="39"/>
      <c r="C19" s="24" t="s">
        <v>20</v>
      </c>
      <c r="D19" s="40"/>
      <c r="E19" s="17" t="s">
        <v>41</v>
      </c>
      <c r="F19" s="17" t="s">
        <v>42</v>
      </c>
      <c r="G19" s="41"/>
      <c r="H19" s="17" t="s">
        <v>43</v>
      </c>
      <c r="I19" s="17" t="s">
        <v>44</v>
      </c>
      <c r="J19" s="41"/>
      <c r="K19" s="41"/>
      <c r="L19" s="41"/>
      <c r="M19" s="41"/>
      <c r="N19" s="40"/>
      <c r="O19" s="43">
        <f>M17/O18</f>
        <v>2.438119334</v>
      </c>
      <c r="P19" s="48"/>
      <c r="Q19" s="33"/>
      <c r="R19" s="34"/>
    </row>
    <row r="20">
      <c r="A20" s="12"/>
      <c r="B20" s="23" t="s">
        <v>45</v>
      </c>
      <c r="C20" s="24" t="s">
        <v>16</v>
      </c>
      <c r="D20" s="25" t="s">
        <v>46</v>
      </c>
      <c r="E20" s="26">
        <v>3150.0</v>
      </c>
      <c r="F20" s="27" t="s">
        <v>18</v>
      </c>
      <c r="G20" s="26">
        <v>3200.0</v>
      </c>
      <c r="H20" s="27" t="s">
        <v>18</v>
      </c>
      <c r="I20" s="26">
        <v>3200.0</v>
      </c>
      <c r="J20" s="27" t="s">
        <v>18</v>
      </c>
      <c r="K20" s="27" t="s">
        <v>18</v>
      </c>
      <c r="L20" s="29" t="b">
        <v>0</v>
      </c>
      <c r="M20" s="30">
        <f>SUM(E20:L20)</f>
        <v>9550</v>
      </c>
      <c r="N20" s="31">
        <f>M20-7000</f>
        <v>2550</v>
      </c>
      <c r="O20" s="32"/>
      <c r="P20" s="33"/>
      <c r="Q20" s="33"/>
      <c r="R20" s="34"/>
    </row>
    <row r="21">
      <c r="A21" s="12"/>
      <c r="B21" s="35"/>
      <c r="C21" s="24" t="s">
        <v>5</v>
      </c>
      <c r="D21" s="36"/>
      <c r="E21" s="37">
        <f>1261+95</f>
        <v>1356</v>
      </c>
      <c r="G21" s="37">
        <f>1271+56</f>
        <v>1327</v>
      </c>
      <c r="I21" s="37">
        <f>184+1195</f>
        <v>1379</v>
      </c>
      <c r="N21" s="36"/>
      <c r="O21" s="38">
        <f>SUM(E21:K21)</f>
        <v>4062</v>
      </c>
      <c r="P21" s="33"/>
      <c r="Q21" s="33"/>
      <c r="R21" s="34"/>
    </row>
    <row r="22">
      <c r="A22" s="12"/>
      <c r="B22" s="39"/>
      <c r="C22" s="24" t="s">
        <v>20</v>
      </c>
      <c r="D22" s="40"/>
      <c r="E22" s="17" t="s">
        <v>47</v>
      </c>
      <c r="F22" s="41"/>
      <c r="G22" s="17" t="s">
        <v>48</v>
      </c>
      <c r="H22" s="41"/>
      <c r="I22" s="17" t="s">
        <v>49</v>
      </c>
      <c r="J22" s="41"/>
      <c r="K22" s="41"/>
      <c r="L22" s="41"/>
      <c r="M22" s="41"/>
      <c r="N22" s="40"/>
      <c r="O22" s="43">
        <f>M20/O21</f>
        <v>2.351058592</v>
      </c>
      <c r="P22" s="48"/>
      <c r="Q22" s="33"/>
      <c r="R22" s="34"/>
    </row>
    <row r="23">
      <c r="A23" s="12"/>
      <c r="B23" s="23" t="s">
        <v>50</v>
      </c>
      <c r="C23" s="24" t="s">
        <v>16</v>
      </c>
      <c r="D23" s="25" t="s">
        <v>51</v>
      </c>
      <c r="E23" s="26">
        <v>1800.0</v>
      </c>
      <c r="F23" s="26">
        <v>5000.0</v>
      </c>
      <c r="G23" s="27" t="s">
        <v>18</v>
      </c>
      <c r="H23" s="26">
        <v>900.0</v>
      </c>
      <c r="I23" s="26">
        <v>4000.0</v>
      </c>
      <c r="J23" s="27" t="s">
        <v>18</v>
      </c>
      <c r="K23" s="27" t="s">
        <v>18</v>
      </c>
      <c r="L23" s="29" t="b">
        <v>0</v>
      </c>
      <c r="M23" s="30">
        <f>SUM(E23:L23)</f>
        <v>11700</v>
      </c>
      <c r="N23" s="31">
        <f>M23-7000</f>
        <v>4700</v>
      </c>
      <c r="O23" s="32"/>
      <c r="P23" s="33"/>
      <c r="Q23" s="34"/>
      <c r="R23" s="34"/>
    </row>
    <row r="24">
      <c r="A24" s="12"/>
      <c r="B24" s="35"/>
      <c r="C24" s="24" t="s">
        <v>5</v>
      </c>
      <c r="D24" s="36"/>
      <c r="E24" s="37">
        <v>655.0</v>
      </c>
      <c r="F24" s="37">
        <v>1730.0</v>
      </c>
      <c r="H24" s="37">
        <v>502.0</v>
      </c>
      <c r="I24" s="37">
        <v>1997.0</v>
      </c>
      <c r="N24" s="36"/>
      <c r="O24" s="38">
        <f>SUM(E24:K24)</f>
        <v>4884</v>
      </c>
      <c r="P24" s="48"/>
      <c r="Q24" s="34"/>
      <c r="R24" s="34"/>
    </row>
    <row r="25" ht="15.0" customHeight="1">
      <c r="A25" s="12"/>
      <c r="B25" s="39"/>
      <c r="C25" s="24" t="s">
        <v>20</v>
      </c>
      <c r="D25" s="40"/>
      <c r="E25" s="17" t="s">
        <v>52</v>
      </c>
      <c r="F25" s="17" t="s">
        <v>53</v>
      </c>
      <c r="G25" s="41"/>
      <c r="H25" s="17" t="s">
        <v>54</v>
      </c>
      <c r="I25" s="17" t="s">
        <v>55</v>
      </c>
      <c r="J25" s="41"/>
      <c r="K25" s="41"/>
      <c r="L25" s="41"/>
      <c r="M25" s="41"/>
      <c r="N25" s="40"/>
      <c r="O25" s="43">
        <f>M23/O24</f>
        <v>2.395577396</v>
      </c>
      <c r="P25" s="22"/>
      <c r="Q25" s="34"/>
      <c r="R25" s="34"/>
    </row>
    <row r="26">
      <c r="A26" s="12"/>
      <c r="B26" s="23" t="s">
        <v>56</v>
      </c>
      <c r="C26" s="24" t="s">
        <v>16</v>
      </c>
      <c r="D26" s="25" t="s">
        <v>57</v>
      </c>
      <c r="E26" s="44" t="s">
        <v>27</v>
      </c>
      <c r="F26" s="44" t="s">
        <v>27</v>
      </c>
      <c r="G26" s="26">
        <v>5575.0</v>
      </c>
      <c r="H26" s="27" t="s">
        <v>18</v>
      </c>
      <c r="I26" s="27" t="s">
        <v>18</v>
      </c>
      <c r="J26" s="27" t="s">
        <v>18</v>
      </c>
      <c r="K26" s="26">
        <v>5900.0</v>
      </c>
      <c r="L26" s="29" t="b">
        <v>0</v>
      </c>
      <c r="M26" s="30">
        <f>SUM(E26:L26)</f>
        <v>11475</v>
      </c>
      <c r="N26" s="31">
        <f>M26-7000</f>
        <v>4475</v>
      </c>
      <c r="O26" s="32"/>
      <c r="P26" s="33"/>
      <c r="Q26" s="34"/>
      <c r="R26" s="34"/>
    </row>
    <row r="27">
      <c r="A27" s="12"/>
      <c r="B27" s="35"/>
      <c r="C27" s="24" t="s">
        <v>5</v>
      </c>
      <c r="D27" s="36"/>
      <c r="G27" s="37">
        <f>2382+134</f>
        <v>2516</v>
      </c>
      <c r="K27" s="37">
        <v>2482.0</v>
      </c>
      <c r="N27" s="36"/>
      <c r="O27" s="38">
        <f>SUM(E27:K27)</f>
        <v>4998</v>
      </c>
      <c r="P27" s="33"/>
      <c r="Q27" s="34"/>
      <c r="R27" s="34"/>
    </row>
    <row r="28">
      <c r="A28" s="12"/>
      <c r="B28" s="39"/>
      <c r="C28" s="24" t="s">
        <v>20</v>
      </c>
      <c r="D28" s="40"/>
      <c r="G28" s="17" t="s">
        <v>58</v>
      </c>
      <c r="H28" s="41"/>
      <c r="I28" s="41"/>
      <c r="J28" s="41"/>
      <c r="K28" s="17" t="s">
        <v>59</v>
      </c>
      <c r="L28" s="41"/>
      <c r="M28" s="41"/>
      <c r="N28" s="40"/>
      <c r="O28" s="43">
        <f>M26/O27</f>
        <v>2.295918367</v>
      </c>
      <c r="P28" s="33"/>
      <c r="Q28" s="34"/>
      <c r="R28" s="34"/>
    </row>
    <row r="29">
      <c r="A29" s="12"/>
      <c r="B29" s="23" t="s">
        <v>60</v>
      </c>
      <c r="C29" s="24" t="s">
        <v>16</v>
      </c>
      <c r="D29" s="25" t="s">
        <v>61</v>
      </c>
      <c r="E29" s="26">
        <v>1400.0</v>
      </c>
      <c r="F29" s="26">
        <v>1100.0</v>
      </c>
      <c r="G29" s="26">
        <f>800+1500+900</f>
        <v>3200</v>
      </c>
      <c r="H29" s="26">
        <f>850+1100</f>
        <v>1950</v>
      </c>
      <c r="I29" s="26" t="s">
        <v>62</v>
      </c>
      <c r="J29" s="26">
        <v>300.0</v>
      </c>
      <c r="K29" s="26">
        <v>800.0</v>
      </c>
      <c r="L29" s="29" t="b">
        <v>0</v>
      </c>
      <c r="M29" s="30">
        <f>SUM(E29:L29)</f>
        <v>8750</v>
      </c>
      <c r="N29" s="31">
        <f>M29-7000</f>
        <v>1750</v>
      </c>
      <c r="O29" s="32"/>
      <c r="P29" s="33"/>
      <c r="Q29" s="34"/>
      <c r="R29" s="34"/>
    </row>
    <row r="30">
      <c r="A30" s="12"/>
      <c r="B30" s="35"/>
      <c r="C30" s="24" t="s">
        <v>5</v>
      </c>
      <c r="D30" s="36"/>
      <c r="E30" s="37">
        <v>173.0</v>
      </c>
      <c r="F30" s="37">
        <v>236.0</v>
      </c>
      <c r="G30" s="37">
        <f>77+210+52</f>
        <v>339</v>
      </c>
      <c r="H30" s="37">
        <v>136.0</v>
      </c>
      <c r="J30" s="37"/>
      <c r="K30" s="37">
        <v>29.0</v>
      </c>
      <c r="N30" s="36"/>
      <c r="O30" s="38">
        <f>SUM(E30:K30)</f>
        <v>913</v>
      </c>
      <c r="P30" s="33"/>
      <c r="Q30" s="34"/>
      <c r="R30" s="34"/>
    </row>
    <row r="31">
      <c r="A31" s="12"/>
      <c r="B31" s="39"/>
      <c r="C31" s="24" t="s">
        <v>20</v>
      </c>
      <c r="D31" s="40"/>
      <c r="E31" s="17" t="s">
        <v>63</v>
      </c>
      <c r="F31" s="17" t="s">
        <v>64</v>
      </c>
      <c r="G31" s="17" t="s">
        <v>65</v>
      </c>
      <c r="H31" s="17" t="s">
        <v>66</v>
      </c>
      <c r="J31" s="17" t="s">
        <v>67</v>
      </c>
      <c r="K31" s="17" t="s">
        <v>68</v>
      </c>
      <c r="L31" s="41"/>
      <c r="M31" s="41"/>
      <c r="N31" s="40"/>
      <c r="O31" s="43">
        <f>M29/O30</f>
        <v>9.583789704</v>
      </c>
      <c r="P31" s="33"/>
      <c r="Q31" s="34"/>
      <c r="R31" s="34"/>
    </row>
    <row r="32">
      <c r="A32" s="12"/>
      <c r="B32" s="23" t="s">
        <v>69</v>
      </c>
      <c r="C32" s="24" t="s">
        <v>16</v>
      </c>
      <c r="D32" s="25" t="s">
        <v>70</v>
      </c>
      <c r="E32" s="26">
        <v>3950.0</v>
      </c>
      <c r="F32" s="27" t="s">
        <v>18</v>
      </c>
      <c r="G32" s="27" t="s">
        <v>18</v>
      </c>
      <c r="H32" s="26" t="s">
        <v>62</v>
      </c>
      <c r="I32" s="26" t="s">
        <v>62</v>
      </c>
      <c r="J32" s="44" t="s">
        <v>71</v>
      </c>
      <c r="K32" s="44" t="s">
        <v>71</v>
      </c>
      <c r="L32" s="29" t="b">
        <v>0</v>
      </c>
      <c r="M32" s="30">
        <f>SUM(E32:L32)</f>
        <v>3950</v>
      </c>
      <c r="N32" s="31">
        <f>M32-7000</f>
        <v>-3050</v>
      </c>
      <c r="O32" s="32"/>
      <c r="P32" s="33"/>
      <c r="Q32" s="34"/>
      <c r="R32" s="34"/>
    </row>
    <row r="33">
      <c r="A33" s="12"/>
      <c r="B33" s="35"/>
      <c r="C33" s="24" t="s">
        <v>5</v>
      </c>
      <c r="D33" s="36"/>
      <c r="E33" s="37">
        <f>142+1110</f>
        <v>1252</v>
      </c>
      <c r="N33" s="36"/>
      <c r="O33" s="38">
        <f>SUM(E33:K33)</f>
        <v>1252</v>
      </c>
      <c r="P33" s="33"/>
      <c r="Q33" s="34"/>
      <c r="R33" s="34"/>
    </row>
    <row r="34">
      <c r="A34" s="12"/>
      <c r="B34" s="39"/>
      <c r="C34" s="24" t="s">
        <v>20</v>
      </c>
      <c r="D34" s="40"/>
      <c r="E34" s="17" t="s">
        <v>72</v>
      </c>
      <c r="F34" s="41"/>
      <c r="G34" s="41"/>
      <c r="L34" s="41"/>
      <c r="M34" s="41"/>
      <c r="N34" s="40"/>
      <c r="O34" s="43">
        <f>M32/O33</f>
        <v>3.154952077</v>
      </c>
      <c r="P34" s="33"/>
      <c r="Q34" s="34"/>
      <c r="R34" s="34"/>
    </row>
    <row r="35">
      <c r="A35" s="12"/>
      <c r="B35" s="23" t="s">
        <v>73</v>
      </c>
      <c r="C35" s="24" t="s">
        <v>16</v>
      </c>
      <c r="D35" s="25" t="s">
        <v>74</v>
      </c>
      <c r="E35" s="26">
        <v>1800.0</v>
      </c>
      <c r="F35" s="44" t="s">
        <v>27</v>
      </c>
      <c r="G35" s="44" t="s">
        <v>27</v>
      </c>
      <c r="H35" s="44" t="s">
        <v>27</v>
      </c>
      <c r="I35" s="44" t="s">
        <v>27</v>
      </c>
      <c r="J35" s="44" t="s">
        <v>27</v>
      </c>
      <c r="K35" s="44" t="s">
        <v>27</v>
      </c>
      <c r="L35" s="29" t="b">
        <v>0</v>
      </c>
      <c r="M35" s="30">
        <f>SUM(E35:L35)</f>
        <v>1800</v>
      </c>
      <c r="N35" s="31">
        <f>M35-7000</f>
        <v>-5200</v>
      </c>
      <c r="O35" s="32"/>
      <c r="P35" s="33"/>
      <c r="Q35" s="34"/>
      <c r="R35" s="34"/>
    </row>
    <row r="36">
      <c r="A36" s="12"/>
      <c r="B36" s="35"/>
      <c r="C36" s="24" t="s">
        <v>5</v>
      </c>
      <c r="D36" s="36"/>
      <c r="E36" s="37">
        <v>424.0</v>
      </c>
      <c r="N36" s="36"/>
      <c r="O36" s="38">
        <f>SUM(E36:K36)</f>
        <v>424</v>
      </c>
      <c r="P36" s="33"/>
      <c r="Q36" s="34"/>
      <c r="R36" s="34"/>
    </row>
    <row r="37">
      <c r="A37" s="12"/>
      <c r="B37" s="39"/>
      <c r="C37" s="24" t="s">
        <v>20</v>
      </c>
      <c r="D37" s="40"/>
      <c r="E37" s="17" t="s">
        <v>75</v>
      </c>
      <c r="L37" s="41"/>
      <c r="M37" s="41"/>
      <c r="N37" s="40"/>
      <c r="O37" s="43">
        <f>M35/O36</f>
        <v>4.245283019</v>
      </c>
      <c r="P37" s="33"/>
      <c r="Q37" s="34"/>
      <c r="R37" s="34"/>
    </row>
    <row r="38">
      <c r="A38" s="12"/>
      <c r="B38" s="23" t="s">
        <v>76</v>
      </c>
      <c r="C38" s="24" t="s">
        <v>16</v>
      </c>
      <c r="D38" s="25" t="s">
        <v>77</v>
      </c>
      <c r="E38" s="26">
        <v>2200.0</v>
      </c>
      <c r="F38" s="26">
        <v>3150.0</v>
      </c>
      <c r="G38" s="27" t="s">
        <v>18</v>
      </c>
      <c r="H38" s="26">
        <v>2950.0</v>
      </c>
      <c r="I38" s="26">
        <v>4500.0</v>
      </c>
      <c r="J38" s="27" t="s">
        <v>18</v>
      </c>
      <c r="K38" s="27" t="s">
        <v>18</v>
      </c>
      <c r="L38" s="29" t="b">
        <v>0</v>
      </c>
      <c r="M38" s="30">
        <f>SUM(E38:L38)</f>
        <v>12800</v>
      </c>
      <c r="N38" s="31">
        <f>M38-7000</f>
        <v>5800</v>
      </c>
      <c r="O38" s="32"/>
      <c r="P38" s="33"/>
      <c r="Q38" s="34"/>
      <c r="R38" s="34"/>
    </row>
    <row r="39">
      <c r="A39" s="12"/>
      <c r="B39" s="35"/>
      <c r="C39" s="24" t="s">
        <v>5</v>
      </c>
      <c r="D39" s="36"/>
      <c r="E39" s="37">
        <f>47+594</f>
        <v>641</v>
      </c>
      <c r="F39" s="37">
        <f>96+1584</f>
        <v>1680</v>
      </c>
      <c r="H39" s="37">
        <f>45+925</f>
        <v>970</v>
      </c>
      <c r="I39" s="37">
        <f>48+1991</f>
        <v>2039</v>
      </c>
      <c r="N39" s="36"/>
      <c r="O39" s="38">
        <f>SUM(E39:K39)</f>
        <v>5330</v>
      </c>
      <c r="P39" s="33"/>
      <c r="Q39" s="34"/>
      <c r="R39" s="34"/>
    </row>
    <row r="40">
      <c r="A40" s="12"/>
      <c r="B40" s="39"/>
      <c r="C40" s="24" t="s">
        <v>20</v>
      </c>
      <c r="D40" s="40"/>
      <c r="E40" s="17" t="s">
        <v>78</v>
      </c>
      <c r="F40" s="17" t="s">
        <v>79</v>
      </c>
      <c r="G40" s="41"/>
      <c r="H40" s="17" t="s">
        <v>80</v>
      </c>
      <c r="I40" s="17" t="s">
        <v>81</v>
      </c>
      <c r="J40" s="41"/>
      <c r="K40" s="41"/>
      <c r="L40" s="41"/>
      <c r="M40" s="41"/>
      <c r="N40" s="40"/>
      <c r="O40" s="43">
        <f>M38/O39</f>
        <v>2.401500938</v>
      </c>
      <c r="P40" s="33"/>
      <c r="Q40" s="34"/>
      <c r="R40" s="34"/>
    </row>
    <row r="41">
      <c r="A41" s="12"/>
      <c r="B41" s="23" t="s">
        <v>82</v>
      </c>
      <c r="C41" s="24" t="s">
        <v>16</v>
      </c>
      <c r="D41" s="25" t="s">
        <v>83</v>
      </c>
      <c r="E41" s="44" t="s">
        <v>27</v>
      </c>
      <c r="F41" s="44" t="s">
        <v>27</v>
      </c>
      <c r="G41" s="26">
        <v>3000.0</v>
      </c>
      <c r="H41" s="27" t="s">
        <v>18</v>
      </c>
      <c r="I41" s="26">
        <v>3700.0</v>
      </c>
      <c r="J41" s="27" t="s">
        <v>18</v>
      </c>
      <c r="K41" s="27" t="s">
        <v>18</v>
      </c>
      <c r="L41" s="29" t="b">
        <v>0</v>
      </c>
      <c r="M41" s="30">
        <f>SUM(E41:L41)</f>
        <v>6700</v>
      </c>
      <c r="N41" s="31">
        <f>M41-7000</f>
        <v>-300</v>
      </c>
      <c r="O41" s="32"/>
      <c r="P41" s="33"/>
      <c r="Q41" s="34"/>
      <c r="R41" s="34"/>
    </row>
    <row r="42">
      <c r="A42" s="12"/>
      <c r="B42" s="35"/>
      <c r="C42" s="24" t="s">
        <v>5</v>
      </c>
      <c r="D42" s="36"/>
      <c r="G42" s="37">
        <f>63+1329</f>
        <v>1392</v>
      </c>
      <c r="I42" s="37">
        <f>29.8+1503</f>
        <v>1532.8</v>
      </c>
      <c r="N42" s="36"/>
      <c r="O42" s="38">
        <f>SUM(E42:K42)</f>
        <v>2924.8</v>
      </c>
      <c r="P42" s="33"/>
      <c r="Q42" s="34"/>
      <c r="R42" s="34"/>
    </row>
    <row r="43">
      <c r="A43" s="12"/>
      <c r="B43" s="39"/>
      <c r="C43" s="24" t="s">
        <v>20</v>
      </c>
      <c r="D43" s="40"/>
      <c r="G43" s="17" t="s">
        <v>84</v>
      </c>
      <c r="H43" s="41"/>
      <c r="I43" s="17" t="s">
        <v>85</v>
      </c>
      <c r="J43" s="41"/>
      <c r="K43" s="41"/>
      <c r="L43" s="41"/>
      <c r="M43" s="41"/>
      <c r="N43" s="40"/>
      <c r="O43" s="43">
        <f>M41/O42</f>
        <v>2.290754923</v>
      </c>
      <c r="P43" s="33"/>
      <c r="Q43" s="34"/>
      <c r="R43" s="34"/>
    </row>
    <row r="44">
      <c r="A44" s="12"/>
      <c r="B44" s="23" t="s">
        <v>86</v>
      </c>
      <c r="C44" s="24" t="s">
        <v>16</v>
      </c>
      <c r="D44" s="25" t="s">
        <v>87</v>
      </c>
      <c r="E44" s="44" t="s">
        <v>88</v>
      </c>
      <c r="F44" s="26">
        <v>2000.0</v>
      </c>
      <c r="G44" s="26">
        <v>2100.0</v>
      </c>
      <c r="H44" s="26">
        <v>1900.0</v>
      </c>
      <c r="I44" s="44" t="s">
        <v>88</v>
      </c>
      <c r="J44" s="44" t="s">
        <v>89</v>
      </c>
      <c r="K44" s="49" t="s">
        <v>90</v>
      </c>
      <c r="L44" s="29" t="b">
        <v>0</v>
      </c>
      <c r="M44" s="30">
        <f>SUM(E44:L44)</f>
        <v>6000</v>
      </c>
      <c r="N44" s="31">
        <f>M44-7000</f>
        <v>-1000</v>
      </c>
      <c r="O44" s="32"/>
      <c r="P44" s="33"/>
      <c r="Q44" s="34"/>
      <c r="R44" s="34"/>
    </row>
    <row r="45">
      <c r="A45" s="12"/>
      <c r="B45" s="35"/>
      <c r="C45" s="24" t="s">
        <v>5</v>
      </c>
      <c r="D45" s="36"/>
      <c r="F45" s="37">
        <v>702.0</v>
      </c>
      <c r="G45" s="37">
        <v>468.0</v>
      </c>
      <c r="H45" s="37">
        <v>794.0</v>
      </c>
      <c r="N45" s="36"/>
      <c r="O45" s="38">
        <f>SUM(E45:K45)</f>
        <v>1964</v>
      </c>
      <c r="P45" s="33"/>
      <c r="Q45" s="34"/>
      <c r="R45" s="34"/>
    </row>
    <row r="46">
      <c r="A46" s="12"/>
      <c r="B46" s="39"/>
      <c r="C46" s="24" t="s">
        <v>20</v>
      </c>
      <c r="D46" s="40"/>
      <c r="F46" s="17" t="s">
        <v>91</v>
      </c>
      <c r="G46" s="17" t="s">
        <v>92</v>
      </c>
      <c r="H46" s="17" t="s">
        <v>93</v>
      </c>
      <c r="K46" s="41"/>
      <c r="L46" s="41"/>
      <c r="M46" s="41"/>
      <c r="N46" s="40"/>
      <c r="O46" s="43">
        <f>M44/O45</f>
        <v>3.054989817</v>
      </c>
      <c r="P46" s="33"/>
      <c r="Q46" s="34"/>
      <c r="R46" s="34"/>
    </row>
    <row r="47">
      <c r="A47" s="12"/>
      <c r="B47" s="23" t="s">
        <v>94</v>
      </c>
      <c r="C47" s="24" t="s">
        <v>16</v>
      </c>
      <c r="D47" s="25" t="s">
        <v>95</v>
      </c>
      <c r="E47" s="44" t="s">
        <v>27</v>
      </c>
      <c r="F47" s="44" t="s">
        <v>27</v>
      </c>
      <c r="G47" s="26">
        <v>3700.0</v>
      </c>
      <c r="H47" s="44" t="s">
        <v>88</v>
      </c>
      <c r="I47" s="26">
        <v>3800.0</v>
      </c>
      <c r="J47" s="27" t="s">
        <v>18</v>
      </c>
      <c r="K47" s="27" t="s">
        <v>18</v>
      </c>
      <c r="L47" s="29" t="b">
        <v>0</v>
      </c>
      <c r="M47" s="30">
        <f>SUM(E47:L47)</f>
        <v>7500</v>
      </c>
      <c r="N47" s="31">
        <f>M47-7000</f>
        <v>500</v>
      </c>
      <c r="O47" s="32"/>
      <c r="P47" s="33"/>
      <c r="Q47" s="34"/>
      <c r="R47" s="34"/>
    </row>
    <row r="48">
      <c r="A48" s="12"/>
      <c r="B48" s="35"/>
      <c r="C48" s="24" t="s">
        <v>5</v>
      </c>
      <c r="D48" s="36"/>
      <c r="G48" s="37">
        <v>1271.0</v>
      </c>
      <c r="I48" s="37">
        <v>1724.0</v>
      </c>
      <c r="N48" s="36"/>
      <c r="O48" s="38">
        <f>SUM(F48:K48)</f>
        <v>2995</v>
      </c>
      <c r="P48" s="33"/>
      <c r="Q48" s="34"/>
      <c r="R48" s="34"/>
    </row>
    <row r="49">
      <c r="A49" s="12"/>
      <c r="B49" s="39"/>
      <c r="C49" s="24" t="s">
        <v>20</v>
      </c>
      <c r="D49" s="40"/>
      <c r="G49" s="42" t="s">
        <v>96</v>
      </c>
      <c r="I49" s="17" t="s">
        <v>97</v>
      </c>
      <c r="J49" s="41"/>
      <c r="K49" s="41"/>
      <c r="L49" s="41"/>
      <c r="M49" s="41"/>
      <c r="N49" s="40"/>
      <c r="O49" s="43">
        <f>M47/O48</f>
        <v>2.504173623</v>
      </c>
      <c r="P49" s="33"/>
      <c r="Q49" s="34"/>
      <c r="R49" s="34"/>
    </row>
    <row r="50">
      <c r="A50" s="12"/>
      <c r="B50" s="23" t="s">
        <v>98</v>
      </c>
      <c r="C50" s="24" t="s">
        <v>16</v>
      </c>
      <c r="D50" s="25" t="s">
        <v>99</v>
      </c>
      <c r="E50" s="26">
        <v>2000.0</v>
      </c>
      <c r="F50" s="44" t="s">
        <v>88</v>
      </c>
      <c r="G50" s="28" t="s">
        <v>100</v>
      </c>
      <c r="H50" s="26">
        <v>1500.0</v>
      </c>
      <c r="I50" s="26">
        <v>5300.0</v>
      </c>
      <c r="J50" s="27" t="s">
        <v>18</v>
      </c>
      <c r="K50" s="27" t="s">
        <v>18</v>
      </c>
      <c r="L50" s="29" t="b">
        <v>0</v>
      </c>
      <c r="M50" s="30">
        <f>SUM(E50:L50)</f>
        <v>8800</v>
      </c>
      <c r="N50" s="31">
        <f>M50-7000</f>
        <v>1800</v>
      </c>
      <c r="O50" s="32"/>
      <c r="P50" s="33"/>
      <c r="Q50" s="34"/>
      <c r="R50" s="34"/>
    </row>
    <row r="51">
      <c r="A51" s="12"/>
      <c r="B51" s="35"/>
      <c r="C51" s="24" t="s">
        <v>5</v>
      </c>
      <c r="D51" s="36"/>
      <c r="E51" s="37">
        <v>480.0</v>
      </c>
      <c r="H51" s="37">
        <v>769.0</v>
      </c>
      <c r="I51" s="37">
        <v>2338.0</v>
      </c>
      <c r="N51" s="36"/>
      <c r="O51" s="38">
        <f>SUM(E51:K51)</f>
        <v>3587</v>
      </c>
      <c r="P51" s="33"/>
      <c r="Q51" s="34"/>
      <c r="R51" s="34"/>
    </row>
    <row r="52">
      <c r="A52" s="12"/>
      <c r="B52" s="39"/>
      <c r="C52" s="24" t="s">
        <v>20</v>
      </c>
      <c r="D52" s="40"/>
      <c r="E52" s="17" t="s">
        <v>101</v>
      </c>
      <c r="H52" s="42" t="s">
        <v>102</v>
      </c>
      <c r="I52" s="17" t="s">
        <v>103</v>
      </c>
      <c r="J52" s="41"/>
      <c r="K52" s="41"/>
      <c r="L52" s="41"/>
      <c r="M52" s="41"/>
      <c r="N52" s="40"/>
      <c r="O52" s="43">
        <f>M50/O51</f>
        <v>2.453303596</v>
      </c>
      <c r="P52" s="33"/>
      <c r="Q52" s="34"/>
      <c r="R52" s="34"/>
    </row>
    <row r="53">
      <c r="A53" s="12"/>
      <c r="B53" s="23" t="s">
        <v>104</v>
      </c>
      <c r="C53" s="24" t="s">
        <v>16</v>
      </c>
      <c r="D53" s="25" t="s">
        <v>105</v>
      </c>
      <c r="E53" s="26">
        <v>5580.0</v>
      </c>
      <c r="F53" s="27" t="s">
        <v>18</v>
      </c>
      <c r="G53" s="27" t="s">
        <v>18</v>
      </c>
      <c r="H53" s="26">
        <v>5150.0</v>
      </c>
      <c r="I53" s="27" t="s">
        <v>18</v>
      </c>
      <c r="J53" s="44" t="s">
        <v>88</v>
      </c>
      <c r="K53" s="44" t="s">
        <v>88</v>
      </c>
      <c r="L53" s="29" t="b">
        <v>0</v>
      </c>
      <c r="M53" s="30">
        <f>SUM(E53:L53)</f>
        <v>10730</v>
      </c>
      <c r="N53" s="31">
        <f>M53-7000</f>
        <v>3730</v>
      </c>
      <c r="O53" s="32"/>
      <c r="P53" s="33"/>
      <c r="Q53" s="34"/>
      <c r="R53" s="34"/>
    </row>
    <row r="54">
      <c r="A54" s="12"/>
      <c r="B54" s="35"/>
      <c r="C54" s="24" t="s">
        <v>5</v>
      </c>
      <c r="D54" s="36"/>
      <c r="E54" s="37">
        <v>2293.0</v>
      </c>
      <c r="H54" s="37">
        <v>2400.0</v>
      </c>
      <c r="N54" s="36"/>
      <c r="O54" s="38">
        <f>SUM(E54:K54)</f>
        <v>4693</v>
      </c>
      <c r="P54" s="33"/>
      <c r="Q54" s="34"/>
      <c r="R54" s="34"/>
    </row>
    <row r="55">
      <c r="A55" s="12"/>
      <c r="B55" s="39"/>
      <c r="C55" s="24" t="s">
        <v>20</v>
      </c>
      <c r="D55" s="40"/>
      <c r="E55" s="17" t="s">
        <v>106</v>
      </c>
      <c r="F55" s="41"/>
      <c r="G55" s="41"/>
      <c r="H55" s="17" t="s">
        <v>107</v>
      </c>
      <c r="I55" s="41"/>
      <c r="L55" s="41"/>
      <c r="M55" s="41"/>
      <c r="N55" s="40"/>
      <c r="O55" s="43">
        <f>M53/O54</f>
        <v>2.286383976</v>
      </c>
      <c r="P55" s="33"/>
      <c r="Q55" s="34"/>
      <c r="R55" s="34"/>
    </row>
    <row r="56">
      <c r="A56" s="12"/>
      <c r="B56" s="23" t="s">
        <v>108</v>
      </c>
      <c r="C56" s="24" t="s">
        <v>16</v>
      </c>
      <c r="D56" s="25" t="s">
        <v>109</v>
      </c>
      <c r="E56" s="26">
        <v>3000.0</v>
      </c>
      <c r="F56" s="27" t="s">
        <v>18</v>
      </c>
      <c r="G56" s="26">
        <v>2300.0</v>
      </c>
      <c r="H56" s="26">
        <v>2500.0</v>
      </c>
      <c r="I56" s="44" t="s">
        <v>88</v>
      </c>
      <c r="J56" s="44" t="s">
        <v>88</v>
      </c>
      <c r="K56" s="26">
        <v>1450.0</v>
      </c>
      <c r="L56" s="29" t="b">
        <v>0</v>
      </c>
      <c r="M56" s="30">
        <f>SUM(E56:L56)</f>
        <v>9250</v>
      </c>
      <c r="N56" s="31">
        <f>M56-7000</f>
        <v>2250</v>
      </c>
      <c r="O56" s="32"/>
      <c r="P56" s="33"/>
      <c r="Q56" s="34"/>
      <c r="R56" s="34"/>
    </row>
    <row r="57">
      <c r="A57" s="12"/>
      <c r="B57" s="35"/>
      <c r="C57" s="24" t="s">
        <v>5</v>
      </c>
      <c r="D57" s="36"/>
      <c r="E57" s="37">
        <f>1051+177</f>
        <v>1228</v>
      </c>
      <c r="G57" s="37">
        <f>1034+3</f>
        <v>1037</v>
      </c>
      <c r="H57" s="37">
        <f>678+70</f>
        <v>748</v>
      </c>
      <c r="K57" s="37">
        <f>81+475</f>
        <v>556</v>
      </c>
      <c r="N57" s="36"/>
      <c r="O57" s="38">
        <f>SUM(E57:K57)</f>
        <v>3569</v>
      </c>
      <c r="P57" s="33"/>
      <c r="Q57" s="34"/>
      <c r="R57" s="34"/>
    </row>
    <row r="58">
      <c r="A58" s="12"/>
      <c r="B58" s="39"/>
      <c r="C58" s="24" t="s">
        <v>20</v>
      </c>
      <c r="D58" s="40"/>
      <c r="E58" s="17" t="s">
        <v>110</v>
      </c>
      <c r="F58" s="41"/>
      <c r="G58" s="17" t="s">
        <v>111</v>
      </c>
      <c r="H58" s="17" t="s">
        <v>112</v>
      </c>
      <c r="K58" s="17" t="s">
        <v>113</v>
      </c>
      <c r="L58" s="41"/>
      <c r="M58" s="41"/>
      <c r="N58" s="40"/>
      <c r="O58" s="43">
        <f>M56/O57</f>
        <v>2.591762398</v>
      </c>
      <c r="P58" s="33"/>
      <c r="Q58" s="34"/>
      <c r="R58" s="34"/>
    </row>
    <row r="59">
      <c r="A59" s="12"/>
      <c r="B59" s="23" t="s">
        <v>114</v>
      </c>
      <c r="C59" s="24" t="s">
        <v>16</v>
      </c>
      <c r="D59" s="25" t="s">
        <v>115</v>
      </c>
      <c r="E59" s="26">
        <v>2800.0</v>
      </c>
      <c r="F59" s="26">
        <v>2500.0</v>
      </c>
      <c r="G59" s="27" t="s">
        <v>18</v>
      </c>
      <c r="H59" s="26">
        <v>1650.0</v>
      </c>
      <c r="I59" s="26">
        <v>5000.0</v>
      </c>
      <c r="J59" s="27" t="s">
        <v>18</v>
      </c>
      <c r="K59" s="27" t="s">
        <v>18</v>
      </c>
      <c r="L59" s="29" t="b">
        <v>0</v>
      </c>
      <c r="M59" s="30">
        <f>SUM(E59:L59)</f>
        <v>11950</v>
      </c>
      <c r="N59" s="31">
        <f>M59-7000</f>
        <v>4950</v>
      </c>
      <c r="O59" s="32"/>
      <c r="P59" s="33"/>
      <c r="Q59" s="34"/>
      <c r="R59" s="34"/>
    </row>
    <row r="60">
      <c r="A60" s="12"/>
      <c r="B60" s="35"/>
      <c r="C60" s="24" t="s">
        <v>5</v>
      </c>
      <c r="D60" s="36"/>
      <c r="E60" s="37">
        <f>88+807</f>
        <v>895</v>
      </c>
      <c r="F60" s="37">
        <f>1075+34</f>
        <v>1109</v>
      </c>
      <c r="H60" s="37">
        <f>501+108</f>
        <v>609</v>
      </c>
      <c r="I60" s="37">
        <f>1996+32</f>
        <v>2028</v>
      </c>
      <c r="N60" s="36"/>
      <c r="O60" s="38">
        <f>SUM(E60:K60)</f>
        <v>4641</v>
      </c>
      <c r="P60" s="33"/>
      <c r="Q60" s="34"/>
      <c r="R60" s="34"/>
    </row>
    <row r="61">
      <c r="A61" s="12"/>
      <c r="B61" s="39"/>
      <c r="C61" s="24" t="s">
        <v>20</v>
      </c>
      <c r="D61" s="40"/>
      <c r="E61" s="50" t="s">
        <v>116</v>
      </c>
      <c r="F61" s="50" t="s">
        <v>117</v>
      </c>
      <c r="G61" s="41"/>
      <c r="H61" s="50" t="s">
        <v>118</v>
      </c>
      <c r="I61" s="50" t="s">
        <v>119</v>
      </c>
      <c r="J61" s="41"/>
      <c r="K61" s="41"/>
      <c r="L61" s="41"/>
      <c r="M61" s="41"/>
      <c r="N61" s="40"/>
      <c r="O61" s="43">
        <f>M59/O60</f>
        <v>2.574876104</v>
      </c>
      <c r="P61" s="33"/>
      <c r="Q61" s="34"/>
      <c r="R61" s="34"/>
    </row>
    <row r="62" ht="14.25" customHeight="1">
      <c r="A62" s="51"/>
      <c r="B62" s="52"/>
      <c r="C62" s="53"/>
      <c r="D62" s="54">
        <f>counta(D5:D61)</f>
        <v>19</v>
      </c>
      <c r="E62" s="37">
        <f t="shared" ref="E62:K62" si="2">$D$62-(COUNTIF(E5:E61, "TRUCK ISSUE") + COUNTIF(E5:E61, "NEW DRIVER") + COUNTIF(E5:E61, "LEFT") + COUNTIF(E5:E61, "YARD"))</f>
        <v>18</v>
      </c>
      <c r="F62" s="37">
        <f t="shared" si="2"/>
        <v>18</v>
      </c>
      <c r="G62" s="37">
        <f t="shared" si="2"/>
        <v>19</v>
      </c>
      <c r="H62" s="37">
        <f t="shared" si="2"/>
        <v>18</v>
      </c>
      <c r="I62" s="37">
        <f t="shared" si="2"/>
        <v>17</v>
      </c>
      <c r="J62" s="37">
        <f t="shared" si="2"/>
        <v>16</v>
      </c>
      <c r="K62" s="37">
        <f t="shared" si="2"/>
        <v>17</v>
      </c>
      <c r="L62" s="55"/>
      <c r="M62" s="55"/>
      <c r="N62" s="55"/>
      <c r="O62" s="55"/>
      <c r="P62" s="55"/>
      <c r="Q62" s="56"/>
      <c r="R62" s="56"/>
    </row>
    <row r="63" ht="14.25" customHeight="1">
      <c r="A63" s="51"/>
      <c r="B63" s="55"/>
      <c r="C63" s="55"/>
      <c r="D63" s="48"/>
      <c r="E63" s="48"/>
      <c r="F63" s="48"/>
      <c r="G63" s="48"/>
      <c r="H63" s="48"/>
      <c r="I63" s="48"/>
      <c r="J63" s="48"/>
      <c r="K63" s="48"/>
      <c r="L63" s="55"/>
      <c r="M63" s="55"/>
      <c r="N63" s="55"/>
      <c r="O63" s="55"/>
      <c r="P63" s="55"/>
      <c r="Q63" s="56"/>
      <c r="R63" s="56"/>
    </row>
    <row r="64">
      <c r="A64" s="12"/>
      <c r="B64" s="57" t="s">
        <v>120</v>
      </c>
      <c r="C64" s="58"/>
      <c r="D64" s="59" t="s">
        <v>121</v>
      </c>
      <c r="E64" s="60">
        <f t="shared" ref="E64:K64" si="3">SUM(E59,E56,E53,E50,E47,E44,E41,E38,E35,E32,E29,E26,E23,E20,E17,E14,E11,E8,E5)</f>
        <v>34354</v>
      </c>
      <c r="F64" s="60">
        <f t="shared" si="3"/>
        <v>16550</v>
      </c>
      <c r="G64" s="60">
        <f t="shared" si="3"/>
        <v>28075</v>
      </c>
      <c r="H64" s="60">
        <f t="shared" si="3"/>
        <v>28450</v>
      </c>
      <c r="I64" s="60">
        <f t="shared" si="3"/>
        <v>49040</v>
      </c>
      <c r="J64" s="60">
        <f t="shared" si="3"/>
        <v>4100</v>
      </c>
      <c r="K64" s="60">
        <f t="shared" si="3"/>
        <v>8150</v>
      </c>
      <c r="L64" s="61" t="s">
        <v>122</v>
      </c>
      <c r="M64" s="62">
        <f>SUM(E64:L64)</f>
        <v>168719</v>
      </c>
      <c r="N64" s="63"/>
      <c r="O64" s="64" t="s">
        <v>123</v>
      </c>
      <c r="P64" s="65">
        <f>COUNTIF(E5:K61, "No loads")</f>
        <v>0</v>
      </c>
      <c r="Q64" s="66"/>
      <c r="R64" s="66"/>
    </row>
    <row r="65">
      <c r="A65" s="12"/>
      <c r="B65" s="67">
        <f>D62</f>
        <v>19</v>
      </c>
      <c r="C65" s="68"/>
      <c r="D65" s="69" t="s">
        <v>124</v>
      </c>
      <c r="E65" s="70">
        <f t="shared" ref="E65:K65" si="4">E62</f>
        <v>18</v>
      </c>
      <c r="F65" s="70">
        <f t="shared" si="4"/>
        <v>18</v>
      </c>
      <c r="G65" s="70">
        <f t="shared" si="4"/>
        <v>19</v>
      </c>
      <c r="H65" s="70">
        <f t="shared" si="4"/>
        <v>18</v>
      </c>
      <c r="I65" s="70">
        <f t="shared" si="4"/>
        <v>17</v>
      </c>
      <c r="J65" s="70">
        <f t="shared" si="4"/>
        <v>16</v>
      </c>
      <c r="K65" s="70">
        <f t="shared" si="4"/>
        <v>17</v>
      </c>
      <c r="L65" s="71" t="s">
        <v>125</v>
      </c>
      <c r="M65" s="72">
        <f t="shared" ref="M65:M66" si="6">AVERAGE(E65:L65)</f>
        <v>17.57142857</v>
      </c>
      <c r="N65" s="63"/>
      <c r="O65" s="73" t="s">
        <v>27</v>
      </c>
      <c r="P65" s="74">
        <f>COUNTIF(E5:K61, "Home")</f>
        <v>16</v>
      </c>
      <c r="Q65" s="66"/>
      <c r="R65" s="66"/>
    </row>
    <row r="66">
      <c r="A66" s="12"/>
      <c r="B66" s="75"/>
      <c r="C66" s="75"/>
      <c r="D66" s="69" t="s">
        <v>124</v>
      </c>
      <c r="E66" s="76">
        <f t="shared" ref="E66:J66" si="5">$D$62-(COUNTIF(E5:E61, "TRUCK ISSUE") + COUNTIF(E5:E61, "NEW DRIVER") + COUNTIF(E5:E61, "LEFT") + COUNTIF(E5:E61, "YARD")+ COUNTIF(E5:E61, "HOME"))</f>
        <v>14</v>
      </c>
      <c r="F66" s="76">
        <f t="shared" si="5"/>
        <v>13</v>
      </c>
      <c r="G66" s="76">
        <f t="shared" si="5"/>
        <v>17</v>
      </c>
      <c r="H66" s="76">
        <f t="shared" si="5"/>
        <v>16</v>
      </c>
      <c r="I66" s="76">
        <f t="shared" si="5"/>
        <v>16</v>
      </c>
      <c r="J66" s="76">
        <f t="shared" si="5"/>
        <v>15</v>
      </c>
      <c r="K66" s="76">
        <f>$D$62-(COUNTIF(K5:K61, "TRUCK ISSUE") + COUNTIF(K5:K61, "NEW DRIVER") + COUNTIF(K5:K61, "LEFT") + COUNTIF(K5:K61, "YARD")+ COUNTIF(K5:K61, "HOME")+COUNTIF(K5:K61, "REST"))</f>
        <v>15</v>
      </c>
      <c r="L66" s="71" t="s">
        <v>126</v>
      </c>
      <c r="M66" s="72">
        <f t="shared" si="6"/>
        <v>15.14285714</v>
      </c>
      <c r="N66" s="66"/>
      <c r="O66" s="77" t="s">
        <v>62</v>
      </c>
      <c r="P66" s="74">
        <f>COUNTIF(E6:K62, "Rest")</f>
        <v>4</v>
      </c>
      <c r="Q66" s="66"/>
      <c r="R66" s="66"/>
    </row>
    <row r="67" ht="24.75" customHeight="1">
      <c r="A67" s="12"/>
      <c r="B67" s="75"/>
      <c r="C67" s="75"/>
      <c r="D67" s="78" t="s">
        <v>127</v>
      </c>
      <c r="E67" s="79">
        <f t="shared" ref="E67:K67" si="7">SUM(E60,E57,E54,E51,E48,E45,E42,E39,E36,E33,E30,E27,E24,E21,E18,E15,E12,E9,E6)</f>
        <v>12140</v>
      </c>
      <c r="F67" s="79">
        <f t="shared" si="7"/>
        <v>6888</v>
      </c>
      <c r="G67" s="79">
        <f t="shared" si="7"/>
        <v>10611</v>
      </c>
      <c r="H67" s="79">
        <f t="shared" si="7"/>
        <v>11414</v>
      </c>
      <c r="I67" s="79">
        <f t="shared" si="7"/>
        <v>20755.9</v>
      </c>
      <c r="J67" s="79">
        <f t="shared" si="7"/>
        <v>1251</v>
      </c>
      <c r="K67" s="79">
        <f t="shared" si="7"/>
        <v>3067</v>
      </c>
      <c r="L67" s="80" t="s">
        <v>128</v>
      </c>
      <c r="M67" s="81">
        <f>SUM(E67:K67)</f>
        <v>66126.9</v>
      </c>
      <c r="N67" s="66"/>
      <c r="O67" s="82" t="s">
        <v>88</v>
      </c>
      <c r="P67" s="74">
        <f>COUNTIF(E5:K61, "TRUCK ISSUE")</f>
        <v>8</v>
      </c>
      <c r="Q67" s="75"/>
      <c r="R67" s="75"/>
    </row>
    <row r="68">
      <c r="A68" s="12"/>
      <c r="B68" s="75"/>
      <c r="C68" s="75"/>
      <c r="D68" s="78" t="s">
        <v>129</v>
      </c>
      <c r="E68" s="83">
        <f t="shared" ref="E68:K68" si="8">E64/E67</f>
        <v>2.829818781</v>
      </c>
      <c r="F68" s="83">
        <f t="shared" si="8"/>
        <v>2.402729384</v>
      </c>
      <c r="G68" s="83">
        <f t="shared" si="8"/>
        <v>2.645839223</v>
      </c>
      <c r="H68" s="83">
        <f t="shared" si="8"/>
        <v>2.492553005</v>
      </c>
      <c r="I68" s="83">
        <f t="shared" si="8"/>
        <v>2.36270169</v>
      </c>
      <c r="J68" s="83">
        <f t="shared" si="8"/>
        <v>3.277378098</v>
      </c>
      <c r="K68" s="83">
        <f t="shared" si="8"/>
        <v>2.657319857</v>
      </c>
      <c r="L68" s="80" t="s">
        <v>130</v>
      </c>
      <c r="M68" s="84">
        <f>M64/M67</f>
        <v>2.551442756</v>
      </c>
      <c r="N68" s="63"/>
      <c r="O68" s="82" t="s">
        <v>71</v>
      </c>
      <c r="P68" s="74">
        <f>COUNTIF(E5:K61, "YARD")</f>
        <v>2</v>
      </c>
      <c r="Q68" s="66"/>
      <c r="R68" s="66"/>
    </row>
    <row r="69">
      <c r="A69" s="12"/>
      <c r="B69" s="75"/>
      <c r="C69" s="75"/>
      <c r="D69" s="85" t="s">
        <v>131</v>
      </c>
      <c r="E69" s="86">
        <f t="shared" ref="E69:K69" si="9">E64/E65</f>
        <v>1908.555556</v>
      </c>
      <c r="F69" s="86">
        <f t="shared" si="9"/>
        <v>919.4444444</v>
      </c>
      <c r="G69" s="86">
        <f t="shared" si="9"/>
        <v>1477.631579</v>
      </c>
      <c r="H69" s="86">
        <f t="shared" si="9"/>
        <v>1580.555556</v>
      </c>
      <c r="I69" s="86">
        <f t="shared" si="9"/>
        <v>2884.705882</v>
      </c>
      <c r="J69" s="86">
        <f t="shared" si="9"/>
        <v>256.25</v>
      </c>
      <c r="K69" s="86">
        <f t="shared" si="9"/>
        <v>479.4117647</v>
      </c>
      <c r="L69" s="80" t="s">
        <v>132</v>
      </c>
      <c r="M69" s="84">
        <f>M64/M65</f>
        <v>9601.894309</v>
      </c>
      <c r="N69" s="63"/>
      <c r="O69" s="87" t="s">
        <v>133</v>
      </c>
      <c r="P69" s="88">
        <f>COUNTIF(E5:K61, "MISSED APPOINMENT TIME")+COUNTIF(E5:K61, "CANCELLED")</f>
        <v>0</v>
      </c>
      <c r="Q69" s="48"/>
      <c r="R69" s="48"/>
    </row>
    <row r="70">
      <c r="A70" s="12"/>
      <c r="B70" s="66"/>
      <c r="C70" s="66"/>
      <c r="D70" s="66"/>
      <c r="E70" s="66"/>
      <c r="F70" s="66"/>
      <c r="G70" s="66"/>
      <c r="H70" s="66"/>
      <c r="I70" s="66"/>
      <c r="J70" s="66"/>
      <c r="K70" s="89"/>
      <c r="L70" s="90" t="s">
        <v>134</v>
      </c>
      <c r="M70" s="91">
        <f>M64/M66</f>
        <v>11141.82075</v>
      </c>
      <c r="N70" s="92"/>
      <c r="O70" s="92"/>
      <c r="P70" s="92"/>
      <c r="Q70" s="48"/>
      <c r="R70" s="48"/>
    </row>
    <row r="71">
      <c r="A71" s="93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3"/>
      <c r="P71" s="92"/>
      <c r="Q71" s="22"/>
      <c r="R71" s="22"/>
    </row>
    <row r="72">
      <c r="A72" s="93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19"/>
      <c r="P72" s="22"/>
      <c r="Q72" s="22"/>
      <c r="R72" s="22"/>
    </row>
    <row r="73">
      <c r="A73" s="93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19"/>
      <c r="P73" s="22"/>
      <c r="Q73" s="22"/>
      <c r="R73" s="22"/>
    </row>
    <row r="74" hidden="1">
      <c r="A74" s="93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19"/>
      <c r="P74" s="22"/>
      <c r="Q74" s="22"/>
      <c r="R74" s="22"/>
    </row>
    <row r="75" hidden="1">
      <c r="A75" s="93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19"/>
      <c r="P75" s="22"/>
      <c r="Q75" s="22"/>
      <c r="R75" s="22"/>
    </row>
    <row r="76" hidden="1">
      <c r="A76" s="93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19"/>
      <c r="P76" s="22"/>
      <c r="Q76" s="22"/>
      <c r="R76" s="22"/>
    </row>
    <row r="77" hidden="1">
      <c r="A77" s="93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19"/>
      <c r="P77" s="22"/>
      <c r="Q77" s="22"/>
      <c r="R77" s="22"/>
    </row>
    <row r="78" hidden="1">
      <c r="A78" s="93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19"/>
      <c r="P78" s="22"/>
      <c r="Q78" s="22"/>
      <c r="R78" s="22"/>
    </row>
    <row r="79" hidden="1">
      <c r="A79" s="93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19"/>
      <c r="P79" s="22"/>
      <c r="Q79" s="22"/>
      <c r="R79" s="22"/>
    </row>
    <row r="80" hidden="1">
      <c r="A80" s="93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19"/>
      <c r="P80" s="22"/>
      <c r="Q80" s="22"/>
      <c r="R80" s="22"/>
    </row>
    <row r="81" hidden="1">
      <c r="A81" s="93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19"/>
      <c r="P81" s="22"/>
      <c r="Q81" s="22"/>
      <c r="R81" s="22"/>
    </row>
    <row r="82" hidden="1">
      <c r="A82" s="93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19"/>
      <c r="P82" s="22"/>
      <c r="Q82" s="22"/>
      <c r="R82" s="22"/>
    </row>
    <row r="83" hidden="1">
      <c r="A83" s="93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19"/>
      <c r="P83" s="22"/>
      <c r="Q83" s="22"/>
      <c r="R83" s="22"/>
    </row>
    <row r="84" hidden="1">
      <c r="A84" s="93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19"/>
      <c r="P84" s="22"/>
      <c r="Q84" s="22"/>
      <c r="R84" s="22"/>
    </row>
    <row r="85" hidden="1">
      <c r="A85" s="93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19"/>
      <c r="P85" s="22"/>
      <c r="Q85" s="22"/>
      <c r="R85" s="22"/>
    </row>
    <row r="86" hidden="1">
      <c r="A86" s="93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19"/>
      <c r="P86" s="22"/>
      <c r="Q86" s="22"/>
      <c r="R86" s="22"/>
    </row>
    <row r="87" hidden="1">
      <c r="A87" s="93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19"/>
      <c r="P87" s="22"/>
      <c r="Q87" s="22"/>
      <c r="R87" s="22"/>
    </row>
    <row r="88" hidden="1">
      <c r="A88" s="93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19"/>
      <c r="P88" s="22"/>
      <c r="Q88" s="22"/>
      <c r="R88" s="22"/>
    </row>
    <row r="89" hidden="1">
      <c r="A89" s="93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19"/>
      <c r="P89" s="22"/>
      <c r="Q89" s="22"/>
      <c r="R89" s="22"/>
    </row>
    <row r="90" hidden="1">
      <c r="A90" s="93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19"/>
      <c r="P90" s="22"/>
      <c r="Q90" s="22"/>
      <c r="R90" s="22"/>
    </row>
    <row r="91" hidden="1">
      <c r="A91" s="93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19"/>
      <c r="P91" s="22"/>
      <c r="Q91" s="22"/>
      <c r="R91" s="22"/>
    </row>
    <row r="92" hidden="1">
      <c r="A92" s="93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19"/>
      <c r="P92" s="22"/>
      <c r="Q92" s="22"/>
      <c r="R92" s="22"/>
    </row>
    <row r="93" hidden="1">
      <c r="A93" s="93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19"/>
      <c r="P93" s="22"/>
      <c r="Q93" s="22"/>
      <c r="R93" s="22"/>
    </row>
    <row r="94" hidden="1">
      <c r="A94" s="93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19"/>
      <c r="P94" s="22"/>
      <c r="Q94" s="22"/>
      <c r="R94" s="22"/>
    </row>
    <row r="95" hidden="1">
      <c r="A95" s="93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19"/>
      <c r="P95" s="22"/>
      <c r="Q95" s="22"/>
      <c r="R95" s="22"/>
    </row>
    <row r="96" hidden="1">
      <c r="A96" s="93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19"/>
      <c r="P96" s="22"/>
      <c r="Q96" s="22"/>
      <c r="R96" s="22"/>
    </row>
    <row r="97" hidden="1">
      <c r="A97" s="93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19"/>
      <c r="P97" s="22"/>
      <c r="Q97" s="22"/>
      <c r="R97" s="22"/>
    </row>
    <row r="98" hidden="1">
      <c r="A98" s="93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19"/>
      <c r="P98" s="22"/>
      <c r="Q98" s="22"/>
      <c r="R98" s="22"/>
    </row>
    <row r="99" hidden="1">
      <c r="A99" s="93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19"/>
      <c r="P99" s="22"/>
      <c r="Q99" s="22"/>
      <c r="R99" s="22"/>
    </row>
    <row r="100" hidden="1">
      <c r="A100" s="93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19"/>
      <c r="P100" s="22"/>
      <c r="Q100" s="22"/>
      <c r="R100" s="22"/>
    </row>
    <row r="101" hidden="1">
      <c r="A101" s="93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19"/>
      <c r="P101" s="22"/>
      <c r="Q101" s="22"/>
      <c r="R101" s="22"/>
    </row>
    <row r="102" hidden="1">
      <c r="A102" s="93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19"/>
      <c r="P102" s="22"/>
      <c r="Q102" s="22"/>
      <c r="R102" s="22"/>
    </row>
    <row r="103" hidden="1">
      <c r="A103" s="93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19"/>
      <c r="P103" s="22"/>
      <c r="Q103" s="22"/>
      <c r="R103" s="22"/>
    </row>
    <row r="104" hidden="1">
      <c r="A104" s="93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19"/>
      <c r="P104" s="22"/>
      <c r="Q104" s="22"/>
      <c r="R104" s="22"/>
    </row>
    <row r="105" hidden="1">
      <c r="A105" s="93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19"/>
      <c r="P105" s="22"/>
      <c r="Q105" s="22"/>
      <c r="R105" s="22"/>
    </row>
    <row r="106" hidden="1">
      <c r="A106" s="93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19"/>
      <c r="P106" s="22"/>
      <c r="Q106" s="22"/>
      <c r="R106" s="22"/>
    </row>
    <row r="107" hidden="1">
      <c r="A107" s="93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19"/>
      <c r="P107" s="22"/>
      <c r="Q107" s="22"/>
      <c r="R107" s="22"/>
    </row>
    <row r="108" hidden="1">
      <c r="A108" s="93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19"/>
      <c r="P108" s="22"/>
      <c r="Q108" s="22"/>
      <c r="R108" s="22"/>
    </row>
    <row r="109" hidden="1">
      <c r="A109" s="93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19"/>
      <c r="P109" s="22"/>
      <c r="Q109" s="22"/>
      <c r="R109" s="22"/>
    </row>
    <row r="110" hidden="1">
      <c r="A110" s="93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19"/>
      <c r="P110" s="22"/>
      <c r="Q110" s="22"/>
      <c r="R110" s="22"/>
    </row>
    <row r="111" hidden="1">
      <c r="A111" s="93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19"/>
      <c r="P111" s="22"/>
      <c r="Q111" s="22"/>
      <c r="R111" s="22"/>
    </row>
    <row r="112" hidden="1">
      <c r="A112" s="93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19"/>
      <c r="P112" s="22"/>
      <c r="Q112" s="22"/>
      <c r="R112" s="22"/>
    </row>
    <row r="113" hidden="1">
      <c r="A113" s="93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19"/>
      <c r="P113" s="22"/>
      <c r="Q113" s="22"/>
      <c r="R113" s="22"/>
    </row>
    <row r="114" hidden="1">
      <c r="A114" s="93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19"/>
      <c r="P114" s="22"/>
      <c r="Q114" s="22"/>
      <c r="R114" s="22"/>
    </row>
    <row r="115" hidden="1">
      <c r="A115" s="93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19"/>
      <c r="P115" s="22"/>
      <c r="Q115" s="22"/>
      <c r="R115" s="22"/>
    </row>
    <row r="116" hidden="1">
      <c r="A116" s="93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19"/>
      <c r="P116" s="22"/>
      <c r="Q116" s="22"/>
      <c r="R116" s="22"/>
    </row>
    <row r="117" hidden="1">
      <c r="A117" s="93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19"/>
      <c r="P117" s="22"/>
      <c r="Q117" s="22"/>
      <c r="R117" s="22"/>
    </row>
    <row r="118" hidden="1">
      <c r="A118" s="93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19"/>
      <c r="P118" s="22"/>
      <c r="Q118" s="22"/>
      <c r="R118" s="22"/>
    </row>
    <row r="119" hidden="1">
      <c r="A119" s="93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19"/>
      <c r="P119" s="22"/>
      <c r="Q119" s="22"/>
      <c r="R119" s="22"/>
    </row>
    <row r="120" hidden="1">
      <c r="A120" s="93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19"/>
      <c r="P120" s="22"/>
      <c r="Q120" s="22"/>
      <c r="R120" s="22"/>
    </row>
    <row r="121" hidden="1">
      <c r="A121" s="93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19"/>
      <c r="P121" s="22"/>
      <c r="Q121" s="22"/>
      <c r="R121" s="22"/>
    </row>
    <row r="122" hidden="1">
      <c r="A122" s="93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19"/>
      <c r="P122" s="22"/>
      <c r="Q122" s="22"/>
      <c r="R122" s="22"/>
    </row>
    <row r="123" hidden="1">
      <c r="A123" s="93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19"/>
      <c r="P123" s="22"/>
      <c r="Q123" s="22"/>
      <c r="R123" s="22"/>
    </row>
    <row r="124" hidden="1">
      <c r="A124" s="93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19"/>
      <c r="P124" s="22"/>
      <c r="Q124" s="22"/>
      <c r="R124" s="22"/>
    </row>
    <row r="125" hidden="1">
      <c r="A125" s="93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19"/>
      <c r="P125" s="22"/>
      <c r="Q125" s="22"/>
      <c r="R125" s="22"/>
    </row>
    <row r="126" hidden="1">
      <c r="A126" s="93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19"/>
      <c r="P126" s="22"/>
      <c r="Q126" s="22"/>
      <c r="R126" s="22"/>
    </row>
    <row r="127" hidden="1">
      <c r="A127" s="93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19"/>
      <c r="P127" s="22"/>
      <c r="Q127" s="22"/>
      <c r="R127" s="22"/>
    </row>
    <row r="128" hidden="1">
      <c r="A128" s="93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19"/>
      <c r="P128" s="22"/>
      <c r="Q128" s="22"/>
      <c r="R128" s="22"/>
    </row>
    <row r="129" hidden="1">
      <c r="A129" s="93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19"/>
      <c r="P129" s="22"/>
      <c r="Q129" s="22"/>
      <c r="R129" s="22"/>
    </row>
    <row r="130" hidden="1">
      <c r="A130" s="93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19"/>
      <c r="P130" s="22"/>
      <c r="Q130" s="22"/>
      <c r="R130" s="22"/>
    </row>
    <row r="131" hidden="1">
      <c r="A131" s="93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19"/>
      <c r="P131" s="22"/>
      <c r="Q131" s="22"/>
      <c r="R131" s="22"/>
    </row>
    <row r="132" hidden="1">
      <c r="A132" s="93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19"/>
      <c r="P132" s="22"/>
      <c r="Q132" s="22"/>
      <c r="R132" s="22"/>
    </row>
    <row r="133" hidden="1">
      <c r="A133" s="93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19"/>
      <c r="P133" s="22"/>
      <c r="Q133" s="22"/>
      <c r="R133" s="22"/>
    </row>
    <row r="134" hidden="1">
      <c r="A134" s="93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19"/>
      <c r="P134" s="22"/>
      <c r="Q134" s="22"/>
      <c r="R134" s="22"/>
    </row>
    <row r="135" hidden="1">
      <c r="A135" s="93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19"/>
      <c r="P135" s="22"/>
      <c r="Q135" s="22"/>
      <c r="R135" s="22"/>
    </row>
    <row r="136" hidden="1">
      <c r="A136" s="93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19"/>
      <c r="P136" s="22"/>
      <c r="Q136" s="22"/>
      <c r="R136" s="22"/>
    </row>
    <row r="137" hidden="1">
      <c r="A137" s="93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19"/>
      <c r="P137" s="22"/>
      <c r="Q137" s="22"/>
      <c r="R137" s="22"/>
    </row>
    <row r="138" hidden="1">
      <c r="A138" s="93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19"/>
      <c r="P138" s="22"/>
      <c r="Q138" s="22"/>
      <c r="R138" s="22"/>
    </row>
    <row r="139" hidden="1">
      <c r="A139" s="93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19"/>
      <c r="P139" s="22"/>
      <c r="Q139" s="22"/>
      <c r="R139" s="22"/>
    </row>
    <row r="140" hidden="1">
      <c r="A140" s="93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19"/>
      <c r="P140" s="22"/>
      <c r="Q140" s="22"/>
      <c r="R140" s="22"/>
    </row>
    <row r="141" hidden="1">
      <c r="A141" s="93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19"/>
      <c r="P141" s="22"/>
      <c r="Q141" s="22"/>
      <c r="R141" s="22"/>
    </row>
    <row r="142" hidden="1">
      <c r="A142" s="93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19"/>
      <c r="P142" s="22"/>
      <c r="Q142" s="22"/>
      <c r="R142" s="22"/>
    </row>
    <row r="143" hidden="1">
      <c r="A143" s="93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19"/>
      <c r="P143" s="22"/>
      <c r="Q143" s="22"/>
      <c r="R143" s="22"/>
    </row>
    <row r="144" hidden="1">
      <c r="A144" s="93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19"/>
      <c r="P144" s="22"/>
      <c r="Q144" s="22"/>
      <c r="R144" s="22"/>
    </row>
    <row r="145" hidden="1">
      <c r="A145" s="93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19"/>
      <c r="P145" s="22"/>
      <c r="Q145" s="22"/>
      <c r="R145" s="22"/>
    </row>
    <row r="146" hidden="1">
      <c r="A146" s="93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19"/>
      <c r="P146" s="22"/>
      <c r="Q146" s="22"/>
      <c r="R146" s="22"/>
    </row>
    <row r="147" hidden="1">
      <c r="A147" s="93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19"/>
      <c r="P147" s="22"/>
      <c r="Q147" s="22"/>
      <c r="R147" s="22"/>
    </row>
    <row r="148" hidden="1">
      <c r="A148" s="93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19"/>
      <c r="P148" s="22"/>
      <c r="Q148" s="22"/>
      <c r="R148" s="22"/>
    </row>
    <row r="149" hidden="1">
      <c r="A149" s="93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19"/>
      <c r="P149" s="22"/>
      <c r="Q149" s="22"/>
      <c r="R149" s="22"/>
    </row>
    <row r="150" hidden="1">
      <c r="A150" s="93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19"/>
      <c r="P150" s="22"/>
      <c r="Q150" s="22"/>
      <c r="R150" s="22"/>
    </row>
    <row r="151" hidden="1">
      <c r="A151" s="93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19"/>
      <c r="P151" s="22"/>
      <c r="Q151" s="22"/>
      <c r="R151" s="22"/>
    </row>
    <row r="152" hidden="1">
      <c r="A152" s="93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19"/>
      <c r="P152" s="22"/>
      <c r="Q152" s="22"/>
      <c r="R152" s="22"/>
    </row>
    <row r="153" hidden="1">
      <c r="A153" s="93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19"/>
      <c r="P153" s="22"/>
      <c r="Q153" s="22"/>
      <c r="R153" s="22"/>
    </row>
    <row r="154" hidden="1">
      <c r="A154" s="93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19"/>
      <c r="P154" s="22"/>
      <c r="Q154" s="22"/>
      <c r="R154" s="22"/>
    </row>
    <row r="155" hidden="1">
      <c r="A155" s="93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19"/>
      <c r="P155" s="22"/>
      <c r="Q155" s="22"/>
      <c r="R155" s="22"/>
    </row>
    <row r="156" hidden="1">
      <c r="A156" s="93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19"/>
      <c r="P156" s="22"/>
      <c r="Q156" s="22"/>
      <c r="R156" s="22"/>
    </row>
    <row r="157" hidden="1">
      <c r="A157" s="93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19"/>
      <c r="P157" s="22"/>
      <c r="Q157" s="22"/>
      <c r="R157" s="22"/>
    </row>
    <row r="158" hidden="1">
      <c r="A158" s="93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19"/>
      <c r="P158" s="22"/>
      <c r="Q158" s="22"/>
      <c r="R158" s="22"/>
    </row>
    <row r="159" hidden="1">
      <c r="A159" s="93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19"/>
      <c r="P159" s="22"/>
      <c r="Q159" s="22"/>
      <c r="R159" s="22"/>
    </row>
    <row r="160" hidden="1">
      <c r="A160" s="93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19"/>
      <c r="P160" s="22"/>
      <c r="Q160" s="22"/>
      <c r="R160" s="22"/>
    </row>
    <row r="161" hidden="1">
      <c r="A161" s="93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19"/>
      <c r="P161" s="22"/>
      <c r="Q161" s="22"/>
      <c r="R161" s="22"/>
    </row>
    <row r="162" hidden="1">
      <c r="A162" s="93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19"/>
      <c r="P162" s="22"/>
      <c r="Q162" s="22"/>
      <c r="R162" s="22"/>
    </row>
    <row r="163" hidden="1">
      <c r="A163" s="93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19"/>
      <c r="P163" s="22"/>
      <c r="Q163" s="22"/>
      <c r="R163" s="22"/>
    </row>
    <row r="164" hidden="1">
      <c r="A164" s="93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19"/>
      <c r="P164" s="22"/>
      <c r="Q164" s="22"/>
      <c r="R164" s="22"/>
    </row>
    <row r="165" hidden="1">
      <c r="A165" s="93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19"/>
      <c r="P165" s="22"/>
      <c r="Q165" s="22"/>
      <c r="R165" s="22"/>
    </row>
    <row r="166" hidden="1">
      <c r="A166" s="93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19"/>
      <c r="P166" s="22"/>
      <c r="Q166" s="22"/>
      <c r="R166" s="22"/>
    </row>
    <row r="167" hidden="1">
      <c r="A167" s="93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19"/>
      <c r="P167" s="22"/>
      <c r="Q167" s="22"/>
      <c r="R167" s="22"/>
    </row>
    <row r="168" hidden="1">
      <c r="A168" s="93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19"/>
      <c r="P168" s="22"/>
      <c r="Q168" s="22"/>
      <c r="R168" s="22"/>
    </row>
    <row r="169" hidden="1">
      <c r="A169" s="93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19"/>
      <c r="P169" s="22"/>
      <c r="Q169" s="22"/>
      <c r="R169" s="22"/>
    </row>
    <row r="170" hidden="1">
      <c r="A170" s="93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19"/>
      <c r="P170" s="22"/>
      <c r="Q170" s="22"/>
      <c r="R170" s="22"/>
    </row>
    <row r="171" hidden="1">
      <c r="A171" s="93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19"/>
      <c r="P171" s="22"/>
      <c r="Q171" s="22"/>
      <c r="R171" s="22"/>
    </row>
    <row r="172" hidden="1">
      <c r="A172" s="93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19"/>
      <c r="P172" s="22"/>
      <c r="Q172" s="22"/>
      <c r="R172" s="22"/>
    </row>
    <row r="173" hidden="1">
      <c r="A173" s="93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19"/>
      <c r="P173" s="22"/>
      <c r="Q173" s="22"/>
      <c r="R173" s="22"/>
    </row>
    <row r="174" hidden="1">
      <c r="A174" s="93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19"/>
      <c r="P174" s="22"/>
      <c r="Q174" s="22"/>
      <c r="R174" s="22"/>
    </row>
    <row r="175" hidden="1">
      <c r="A175" s="93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19"/>
      <c r="P175" s="22"/>
      <c r="Q175" s="22"/>
      <c r="R175" s="22"/>
    </row>
    <row r="176" hidden="1">
      <c r="A176" s="93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19"/>
      <c r="P176" s="22"/>
      <c r="Q176" s="22"/>
      <c r="R176" s="22"/>
    </row>
    <row r="177" hidden="1">
      <c r="A177" s="93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19"/>
      <c r="P177" s="22"/>
      <c r="Q177" s="22"/>
      <c r="R177" s="22"/>
    </row>
    <row r="178" hidden="1">
      <c r="A178" s="93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19"/>
      <c r="P178" s="22"/>
      <c r="Q178" s="22"/>
      <c r="R178" s="22"/>
    </row>
    <row r="179" hidden="1">
      <c r="A179" s="93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19"/>
      <c r="P179" s="22"/>
      <c r="Q179" s="22"/>
      <c r="R179" s="22"/>
    </row>
    <row r="180" hidden="1">
      <c r="A180" s="93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19"/>
      <c r="P180" s="22"/>
      <c r="Q180" s="22"/>
      <c r="R180" s="22"/>
    </row>
    <row r="181" hidden="1">
      <c r="A181" s="93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19"/>
      <c r="P181" s="22"/>
      <c r="Q181" s="22"/>
      <c r="R181" s="22"/>
    </row>
    <row r="182" hidden="1">
      <c r="A182" s="93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19"/>
      <c r="P182" s="22"/>
      <c r="Q182" s="22"/>
      <c r="R182" s="22"/>
    </row>
    <row r="183" hidden="1">
      <c r="A183" s="93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19"/>
      <c r="P183" s="22"/>
      <c r="Q183" s="22"/>
      <c r="R183" s="22"/>
    </row>
    <row r="184" hidden="1">
      <c r="A184" s="93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19"/>
      <c r="P184" s="22"/>
      <c r="Q184" s="22"/>
      <c r="R184" s="22"/>
    </row>
    <row r="185" hidden="1">
      <c r="A185" s="93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19"/>
      <c r="P185" s="22"/>
      <c r="Q185" s="22"/>
      <c r="R185" s="22"/>
    </row>
    <row r="186" hidden="1">
      <c r="A186" s="93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19"/>
      <c r="P186" s="22"/>
      <c r="Q186" s="22"/>
      <c r="R186" s="22"/>
    </row>
    <row r="187" hidden="1">
      <c r="A187" s="93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19"/>
      <c r="P187" s="22"/>
      <c r="Q187" s="22"/>
      <c r="R187" s="22"/>
    </row>
    <row r="188" hidden="1">
      <c r="A188" s="93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19"/>
      <c r="P188" s="22"/>
      <c r="Q188" s="22"/>
      <c r="R188" s="22"/>
    </row>
    <row r="189" hidden="1">
      <c r="A189" s="93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19"/>
      <c r="P189" s="22"/>
      <c r="Q189" s="22"/>
      <c r="R189" s="22"/>
    </row>
    <row r="190" hidden="1">
      <c r="A190" s="93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19"/>
      <c r="P190" s="22"/>
      <c r="Q190" s="22"/>
      <c r="R190" s="22"/>
    </row>
    <row r="191" hidden="1">
      <c r="A191" s="93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19"/>
      <c r="P191" s="22"/>
      <c r="Q191" s="22"/>
      <c r="R191" s="22"/>
    </row>
    <row r="192" hidden="1">
      <c r="A192" s="93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19"/>
      <c r="P192" s="22"/>
      <c r="Q192" s="22"/>
      <c r="R192" s="22"/>
    </row>
    <row r="193" hidden="1">
      <c r="A193" s="93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19"/>
      <c r="P193" s="22"/>
      <c r="Q193" s="22"/>
      <c r="R193" s="22"/>
    </row>
    <row r="194" hidden="1">
      <c r="A194" s="93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19"/>
      <c r="P194" s="22"/>
      <c r="Q194" s="22"/>
      <c r="R194" s="22"/>
    </row>
    <row r="195" hidden="1">
      <c r="A195" s="93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19"/>
      <c r="P195" s="22"/>
      <c r="Q195" s="22"/>
      <c r="R195" s="22"/>
    </row>
    <row r="196" hidden="1">
      <c r="A196" s="93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19"/>
      <c r="P196" s="22"/>
      <c r="Q196" s="22"/>
      <c r="R196" s="22"/>
    </row>
    <row r="197" hidden="1">
      <c r="A197" s="93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19"/>
      <c r="P197" s="22"/>
      <c r="Q197" s="22"/>
      <c r="R197" s="22"/>
    </row>
    <row r="198" hidden="1">
      <c r="A198" s="93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19"/>
      <c r="P198" s="22"/>
      <c r="Q198" s="22"/>
      <c r="R198" s="22"/>
    </row>
    <row r="199" hidden="1">
      <c r="A199" s="93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19"/>
      <c r="P199" s="22"/>
      <c r="Q199" s="22"/>
      <c r="R199" s="22"/>
    </row>
    <row r="200" hidden="1">
      <c r="A200" s="93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19"/>
      <c r="P200" s="22"/>
      <c r="Q200" s="22"/>
      <c r="R200" s="22"/>
    </row>
    <row r="201" hidden="1">
      <c r="A201" s="93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19"/>
      <c r="P201" s="22"/>
      <c r="Q201" s="22"/>
      <c r="R201" s="22"/>
    </row>
    <row r="202" hidden="1">
      <c r="A202" s="93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19"/>
      <c r="P202" s="22"/>
      <c r="Q202" s="22"/>
      <c r="R202" s="22"/>
    </row>
    <row r="203" hidden="1">
      <c r="A203" s="93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19"/>
      <c r="P203" s="22"/>
      <c r="Q203" s="22"/>
      <c r="R203" s="22"/>
    </row>
    <row r="204" hidden="1">
      <c r="A204" s="93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19"/>
      <c r="P204" s="22"/>
      <c r="Q204" s="22"/>
      <c r="R204" s="22"/>
    </row>
    <row r="205" hidden="1">
      <c r="A205" s="93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19"/>
      <c r="P205" s="22"/>
      <c r="Q205" s="22"/>
      <c r="R205" s="22"/>
    </row>
    <row r="206" hidden="1">
      <c r="A206" s="93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19"/>
      <c r="P206" s="22"/>
      <c r="Q206" s="22"/>
      <c r="R206" s="22"/>
    </row>
    <row r="207" hidden="1">
      <c r="A207" s="93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19"/>
      <c r="P207" s="22"/>
      <c r="Q207" s="22"/>
      <c r="R207" s="22"/>
    </row>
    <row r="208" hidden="1">
      <c r="A208" s="93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19"/>
      <c r="P208" s="22"/>
      <c r="Q208" s="22"/>
      <c r="R208" s="22"/>
    </row>
    <row r="209" hidden="1">
      <c r="A209" s="93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19"/>
      <c r="P209" s="22"/>
      <c r="Q209" s="22"/>
      <c r="R209" s="22"/>
    </row>
    <row r="210" hidden="1">
      <c r="A210" s="93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19"/>
      <c r="P210" s="22"/>
      <c r="Q210" s="22"/>
      <c r="R210" s="22"/>
    </row>
    <row r="211" hidden="1">
      <c r="A211" s="93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19"/>
      <c r="P211" s="22"/>
      <c r="Q211" s="22"/>
      <c r="R211" s="22"/>
    </row>
    <row r="212" hidden="1">
      <c r="A212" s="93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19"/>
      <c r="P212" s="22"/>
      <c r="Q212" s="22"/>
      <c r="R212" s="22"/>
    </row>
    <row r="213" hidden="1">
      <c r="A213" s="93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19"/>
      <c r="P213" s="22"/>
      <c r="Q213" s="22"/>
      <c r="R213" s="22"/>
    </row>
    <row r="214" hidden="1">
      <c r="A214" s="93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19"/>
      <c r="P214" s="22"/>
      <c r="Q214" s="22"/>
      <c r="R214" s="22"/>
    </row>
    <row r="215" hidden="1">
      <c r="A215" s="93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19"/>
      <c r="P215" s="22"/>
      <c r="Q215" s="22"/>
      <c r="R215" s="22"/>
    </row>
    <row r="216" hidden="1">
      <c r="A216" s="93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19"/>
      <c r="P216" s="22"/>
      <c r="Q216" s="22"/>
      <c r="R216" s="22"/>
    </row>
    <row r="217" hidden="1">
      <c r="A217" s="93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19"/>
      <c r="P217" s="22"/>
      <c r="Q217" s="22"/>
      <c r="R217" s="22"/>
    </row>
    <row r="218" hidden="1">
      <c r="A218" s="93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19"/>
      <c r="P218" s="22"/>
      <c r="Q218" s="22"/>
      <c r="R218" s="22"/>
    </row>
    <row r="219" hidden="1">
      <c r="A219" s="93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19"/>
      <c r="P219" s="22"/>
      <c r="Q219" s="22"/>
      <c r="R219" s="22"/>
    </row>
    <row r="220" hidden="1">
      <c r="A220" s="93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19"/>
      <c r="P220" s="22"/>
      <c r="Q220" s="22"/>
      <c r="R220" s="22"/>
    </row>
    <row r="221" hidden="1">
      <c r="A221" s="93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19"/>
      <c r="P221" s="22"/>
      <c r="Q221" s="22"/>
      <c r="R221" s="22"/>
    </row>
    <row r="222" hidden="1">
      <c r="A222" s="93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19"/>
      <c r="P222" s="22"/>
      <c r="Q222" s="22"/>
      <c r="R222" s="22"/>
    </row>
    <row r="223" hidden="1">
      <c r="A223" s="93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19"/>
      <c r="P223" s="22"/>
      <c r="Q223" s="22"/>
      <c r="R223" s="22"/>
    </row>
    <row r="224" hidden="1">
      <c r="A224" s="93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19"/>
      <c r="P224" s="22"/>
      <c r="Q224" s="22"/>
      <c r="R224" s="22"/>
    </row>
    <row r="225" hidden="1">
      <c r="A225" s="93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19"/>
      <c r="P225" s="22"/>
      <c r="Q225" s="22"/>
      <c r="R225" s="22"/>
    </row>
    <row r="226" hidden="1">
      <c r="A226" s="93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19"/>
      <c r="P226" s="22"/>
      <c r="Q226" s="22"/>
      <c r="R226" s="22"/>
    </row>
    <row r="227" hidden="1">
      <c r="A227" s="93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19"/>
      <c r="P227" s="22"/>
      <c r="Q227" s="22"/>
      <c r="R227" s="22"/>
    </row>
    <row r="228" hidden="1">
      <c r="A228" s="93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19"/>
      <c r="P228" s="22"/>
      <c r="Q228" s="22"/>
      <c r="R228" s="22"/>
    </row>
    <row r="229" hidden="1">
      <c r="A229" s="93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19"/>
      <c r="P229" s="22"/>
      <c r="Q229" s="22"/>
      <c r="R229" s="22"/>
    </row>
    <row r="230" hidden="1">
      <c r="A230" s="93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19"/>
      <c r="P230" s="22"/>
      <c r="Q230" s="22"/>
      <c r="R230" s="22"/>
    </row>
    <row r="231" hidden="1">
      <c r="A231" s="93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19"/>
      <c r="P231" s="22"/>
      <c r="Q231" s="22"/>
      <c r="R231" s="22"/>
    </row>
    <row r="232" hidden="1">
      <c r="A232" s="93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19"/>
      <c r="P232" s="22"/>
      <c r="Q232" s="22"/>
      <c r="R232" s="22"/>
    </row>
    <row r="233" hidden="1">
      <c r="A233" s="93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19"/>
      <c r="P233" s="22"/>
      <c r="Q233" s="22"/>
      <c r="R233" s="22"/>
    </row>
    <row r="234" hidden="1">
      <c r="A234" s="93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19"/>
      <c r="P234" s="22"/>
      <c r="Q234" s="22"/>
      <c r="R234" s="22"/>
    </row>
    <row r="235" hidden="1">
      <c r="A235" s="93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19"/>
      <c r="P235" s="22"/>
      <c r="Q235" s="22"/>
      <c r="R235" s="22"/>
    </row>
    <row r="236" hidden="1">
      <c r="A236" s="93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19"/>
      <c r="P236" s="22"/>
      <c r="Q236" s="22"/>
      <c r="R236" s="22"/>
    </row>
    <row r="237" hidden="1">
      <c r="A237" s="93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19"/>
      <c r="P237" s="22"/>
      <c r="Q237" s="22"/>
      <c r="R237" s="22"/>
    </row>
    <row r="238" hidden="1">
      <c r="A238" s="93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19"/>
      <c r="P238" s="22"/>
      <c r="Q238" s="22"/>
      <c r="R238" s="22"/>
    </row>
    <row r="239" hidden="1">
      <c r="A239" s="93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19"/>
      <c r="P239" s="22"/>
      <c r="Q239" s="22"/>
      <c r="R239" s="22"/>
    </row>
    <row r="240" hidden="1">
      <c r="A240" s="93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19"/>
      <c r="P240" s="22"/>
      <c r="Q240" s="22"/>
      <c r="R240" s="22"/>
    </row>
    <row r="241" hidden="1">
      <c r="A241" s="93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19"/>
      <c r="P241" s="22"/>
      <c r="Q241" s="22"/>
      <c r="R241" s="22"/>
    </row>
    <row r="242" hidden="1">
      <c r="A242" s="93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19"/>
      <c r="P242" s="22"/>
      <c r="Q242" s="22"/>
      <c r="R242" s="22"/>
    </row>
    <row r="243" hidden="1">
      <c r="A243" s="93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19"/>
      <c r="P243" s="22"/>
      <c r="Q243" s="22"/>
      <c r="R243" s="22"/>
    </row>
    <row r="244" hidden="1">
      <c r="A244" s="93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19"/>
      <c r="P244" s="22"/>
      <c r="Q244" s="22"/>
      <c r="R244" s="22"/>
    </row>
    <row r="245" hidden="1">
      <c r="A245" s="93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19"/>
      <c r="P245" s="22"/>
      <c r="Q245" s="22"/>
      <c r="R245" s="22"/>
    </row>
    <row r="246" hidden="1">
      <c r="A246" s="93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19"/>
      <c r="P246" s="22"/>
      <c r="Q246" s="22"/>
      <c r="R246" s="22"/>
    </row>
    <row r="247" hidden="1">
      <c r="A247" s="93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19"/>
      <c r="P247" s="22"/>
      <c r="Q247" s="22"/>
      <c r="R247" s="22"/>
    </row>
    <row r="248" hidden="1">
      <c r="A248" s="93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19"/>
      <c r="P248" s="22"/>
      <c r="Q248" s="22"/>
      <c r="R248" s="22"/>
    </row>
    <row r="249" hidden="1">
      <c r="A249" s="93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19"/>
      <c r="P249" s="22"/>
      <c r="Q249" s="22"/>
      <c r="R249" s="22"/>
    </row>
    <row r="250" hidden="1">
      <c r="A250" s="93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19"/>
      <c r="P250" s="22"/>
      <c r="Q250" s="22"/>
      <c r="R250" s="22"/>
    </row>
    <row r="251" hidden="1">
      <c r="A251" s="93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19"/>
      <c r="P251" s="22"/>
      <c r="Q251" s="22"/>
      <c r="R251" s="22"/>
    </row>
    <row r="252" hidden="1">
      <c r="A252" s="93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19"/>
      <c r="P252" s="22"/>
      <c r="Q252" s="22"/>
      <c r="R252" s="22"/>
    </row>
    <row r="253" hidden="1">
      <c r="A253" s="93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19"/>
      <c r="P253" s="22"/>
      <c r="Q253" s="22"/>
      <c r="R253" s="22"/>
    </row>
    <row r="254" hidden="1">
      <c r="A254" s="93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19"/>
      <c r="P254" s="22"/>
      <c r="Q254" s="22"/>
      <c r="R254" s="22"/>
    </row>
    <row r="255" hidden="1">
      <c r="A255" s="93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19"/>
      <c r="P255" s="22"/>
      <c r="Q255" s="22"/>
      <c r="R255" s="22"/>
    </row>
    <row r="256" hidden="1">
      <c r="A256" s="93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19"/>
      <c r="P256" s="22"/>
      <c r="Q256" s="22"/>
      <c r="R256" s="22"/>
    </row>
    <row r="257" hidden="1">
      <c r="A257" s="93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19"/>
      <c r="P257" s="22"/>
      <c r="Q257" s="22"/>
      <c r="R257" s="22"/>
    </row>
    <row r="258" hidden="1">
      <c r="A258" s="93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19"/>
      <c r="P258" s="22"/>
      <c r="Q258" s="22"/>
      <c r="R258" s="22"/>
    </row>
    <row r="259" hidden="1">
      <c r="A259" s="93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19"/>
      <c r="P259" s="22"/>
      <c r="Q259" s="22"/>
      <c r="R259" s="22"/>
    </row>
    <row r="260" hidden="1">
      <c r="A260" s="93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19"/>
      <c r="P260" s="22"/>
      <c r="Q260" s="22"/>
      <c r="R260" s="22"/>
    </row>
    <row r="261" hidden="1">
      <c r="A261" s="93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19"/>
      <c r="P261" s="22"/>
      <c r="Q261" s="22"/>
      <c r="R261" s="22"/>
    </row>
    <row r="262" hidden="1">
      <c r="A262" s="93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19"/>
      <c r="P262" s="22"/>
      <c r="Q262" s="22"/>
      <c r="R262" s="22"/>
    </row>
    <row r="263" hidden="1">
      <c r="A263" s="93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19"/>
      <c r="P263" s="22"/>
      <c r="Q263" s="22"/>
      <c r="R263" s="22"/>
    </row>
    <row r="264" hidden="1">
      <c r="A264" s="93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19"/>
      <c r="P264" s="22"/>
      <c r="Q264" s="22"/>
      <c r="R264" s="22"/>
    </row>
    <row r="265" hidden="1">
      <c r="A265" s="93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19"/>
      <c r="P265" s="22"/>
      <c r="Q265" s="22"/>
      <c r="R265" s="22"/>
    </row>
    <row r="266" hidden="1">
      <c r="A266" s="93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19"/>
      <c r="P266" s="22"/>
      <c r="Q266" s="22"/>
      <c r="R266" s="22"/>
    </row>
    <row r="267" hidden="1">
      <c r="A267" s="93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19"/>
      <c r="P267" s="22"/>
      <c r="Q267" s="22"/>
      <c r="R267" s="22"/>
    </row>
    <row r="268" hidden="1">
      <c r="A268" s="93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19"/>
      <c r="P268" s="22"/>
      <c r="Q268" s="22"/>
      <c r="R268" s="22"/>
    </row>
    <row r="269" hidden="1">
      <c r="A269" s="93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19"/>
      <c r="P269" s="22"/>
      <c r="Q269" s="22"/>
      <c r="R269" s="22"/>
    </row>
    <row r="270" hidden="1">
      <c r="A270" s="93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19"/>
      <c r="P270" s="22"/>
      <c r="Q270" s="22"/>
      <c r="R270" s="22"/>
    </row>
    <row r="271" hidden="1">
      <c r="A271" s="93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19"/>
      <c r="P271" s="22"/>
      <c r="Q271" s="22"/>
      <c r="R271" s="22"/>
    </row>
    <row r="272" hidden="1">
      <c r="A272" s="93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19"/>
      <c r="P272" s="22"/>
      <c r="Q272" s="22"/>
      <c r="R272" s="22"/>
    </row>
    <row r="273" hidden="1">
      <c r="A273" s="93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19"/>
      <c r="P273" s="22"/>
      <c r="Q273" s="22"/>
      <c r="R273" s="22"/>
    </row>
    <row r="274" hidden="1">
      <c r="A274" s="93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19"/>
      <c r="P274" s="22"/>
      <c r="Q274" s="22"/>
      <c r="R274" s="22"/>
    </row>
    <row r="275" hidden="1">
      <c r="A275" s="93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19"/>
      <c r="P275" s="22"/>
      <c r="Q275" s="22"/>
      <c r="R275" s="22"/>
    </row>
    <row r="276" hidden="1">
      <c r="A276" s="93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19"/>
      <c r="P276" s="22"/>
      <c r="Q276" s="22"/>
      <c r="R276" s="22"/>
    </row>
    <row r="277" hidden="1">
      <c r="A277" s="93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19"/>
      <c r="P277" s="22"/>
      <c r="Q277" s="22"/>
      <c r="R277" s="22"/>
    </row>
    <row r="278" hidden="1">
      <c r="A278" s="93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19"/>
      <c r="P278" s="22"/>
      <c r="Q278" s="22"/>
      <c r="R278" s="22"/>
    </row>
    <row r="279" hidden="1">
      <c r="A279" s="93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19"/>
      <c r="P279" s="22"/>
      <c r="Q279" s="22"/>
      <c r="R279" s="22"/>
    </row>
    <row r="280" hidden="1">
      <c r="A280" s="93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19"/>
      <c r="P280" s="22"/>
      <c r="Q280" s="22"/>
      <c r="R280" s="22"/>
    </row>
    <row r="281" hidden="1">
      <c r="A281" s="93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19"/>
      <c r="P281" s="22"/>
      <c r="Q281" s="22"/>
      <c r="R281" s="22"/>
    </row>
    <row r="282" hidden="1">
      <c r="A282" s="93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19"/>
      <c r="P282" s="22"/>
      <c r="Q282" s="22"/>
      <c r="R282" s="22"/>
    </row>
    <row r="283" hidden="1">
      <c r="A283" s="93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19"/>
      <c r="P283" s="22"/>
      <c r="Q283" s="22"/>
      <c r="R283" s="22"/>
    </row>
    <row r="284" hidden="1">
      <c r="A284" s="93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19"/>
      <c r="P284" s="22"/>
      <c r="Q284" s="22"/>
      <c r="R284" s="22"/>
    </row>
    <row r="285" hidden="1">
      <c r="A285" s="93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19"/>
      <c r="P285" s="22"/>
      <c r="Q285" s="22"/>
      <c r="R285" s="22"/>
    </row>
    <row r="286" hidden="1">
      <c r="A286" s="93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19"/>
      <c r="P286" s="22"/>
      <c r="Q286" s="22"/>
      <c r="R286" s="22"/>
    </row>
    <row r="287" hidden="1">
      <c r="A287" s="93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19"/>
      <c r="P287" s="22"/>
      <c r="Q287" s="22"/>
      <c r="R287" s="22"/>
    </row>
    <row r="288" hidden="1">
      <c r="A288" s="93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19"/>
      <c r="P288" s="22"/>
      <c r="Q288" s="22"/>
      <c r="R288" s="22"/>
    </row>
    <row r="289" hidden="1">
      <c r="A289" s="93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19"/>
      <c r="P289" s="22"/>
      <c r="Q289" s="22"/>
      <c r="R289" s="22"/>
    </row>
    <row r="290" hidden="1">
      <c r="A290" s="93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19"/>
      <c r="P290" s="22"/>
      <c r="Q290" s="22"/>
      <c r="R290" s="22"/>
    </row>
    <row r="291" hidden="1">
      <c r="A291" s="93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19"/>
      <c r="P291" s="22"/>
      <c r="Q291" s="22"/>
      <c r="R291" s="22"/>
    </row>
    <row r="292" hidden="1">
      <c r="A292" s="93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19"/>
      <c r="P292" s="22"/>
      <c r="Q292" s="22"/>
      <c r="R292" s="22"/>
    </row>
    <row r="293" hidden="1">
      <c r="A293" s="93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19"/>
      <c r="P293" s="22"/>
      <c r="Q293" s="22"/>
      <c r="R293" s="22"/>
    </row>
    <row r="294" hidden="1">
      <c r="A294" s="93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19"/>
      <c r="P294" s="22"/>
      <c r="Q294" s="22"/>
      <c r="R294" s="22"/>
    </row>
    <row r="295" hidden="1">
      <c r="A295" s="93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19"/>
      <c r="P295" s="22"/>
      <c r="Q295" s="22"/>
      <c r="R295" s="22"/>
    </row>
    <row r="296" hidden="1">
      <c r="A296" s="93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19"/>
      <c r="P296" s="22"/>
      <c r="Q296" s="22"/>
      <c r="R296" s="22"/>
    </row>
    <row r="297" hidden="1">
      <c r="A297" s="93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19"/>
      <c r="P297" s="22"/>
      <c r="Q297" s="22"/>
      <c r="R297" s="22"/>
    </row>
    <row r="298" hidden="1">
      <c r="A298" s="93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19"/>
      <c r="P298" s="22"/>
      <c r="Q298" s="22"/>
      <c r="R298" s="22"/>
    </row>
    <row r="299" hidden="1">
      <c r="A299" s="93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19"/>
      <c r="P299" s="22"/>
      <c r="Q299" s="22"/>
      <c r="R299" s="22"/>
    </row>
    <row r="300" hidden="1">
      <c r="A300" s="93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19"/>
      <c r="P300" s="22"/>
      <c r="Q300" s="22"/>
      <c r="R300" s="22"/>
    </row>
    <row r="301" hidden="1">
      <c r="A301" s="93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19"/>
      <c r="P301" s="22"/>
      <c r="Q301" s="22"/>
      <c r="R301" s="22"/>
    </row>
    <row r="302" hidden="1">
      <c r="A302" s="93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19"/>
      <c r="P302" s="22"/>
      <c r="Q302" s="22"/>
      <c r="R302" s="22"/>
    </row>
    <row r="303" hidden="1">
      <c r="A303" s="93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19"/>
      <c r="P303" s="22"/>
      <c r="Q303" s="22"/>
      <c r="R303" s="22"/>
    </row>
    <row r="304" hidden="1">
      <c r="A304" s="93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19"/>
      <c r="P304" s="22"/>
      <c r="Q304" s="22"/>
      <c r="R304" s="22"/>
    </row>
    <row r="305" hidden="1">
      <c r="A305" s="93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19"/>
      <c r="P305" s="22"/>
      <c r="Q305" s="22"/>
      <c r="R305" s="22"/>
    </row>
    <row r="306" hidden="1">
      <c r="A306" s="93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19"/>
      <c r="P306" s="22"/>
      <c r="Q306" s="22"/>
      <c r="R306" s="22"/>
    </row>
    <row r="307" hidden="1">
      <c r="A307" s="93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19"/>
      <c r="P307" s="22"/>
      <c r="Q307" s="22"/>
      <c r="R307" s="22"/>
    </row>
    <row r="308" hidden="1">
      <c r="A308" s="93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19"/>
      <c r="P308" s="22"/>
      <c r="Q308" s="22"/>
      <c r="R308" s="22"/>
    </row>
    <row r="309" hidden="1">
      <c r="A309" s="93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19"/>
      <c r="P309" s="22"/>
      <c r="Q309" s="22"/>
      <c r="R309" s="22"/>
    </row>
    <row r="310" hidden="1">
      <c r="A310" s="93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19"/>
      <c r="P310" s="22"/>
      <c r="Q310" s="22"/>
      <c r="R310" s="22"/>
    </row>
    <row r="311" hidden="1">
      <c r="A311" s="93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19"/>
      <c r="P311" s="22"/>
      <c r="Q311" s="22"/>
      <c r="R311" s="22"/>
    </row>
    <row r="312" hidden="1">
      <c r="A312" s="93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19"/>
      <c r="P312" s="22"/>
      <c r="Q312" s="22"/>
      <c r="R312" s="22"/>
    </row>
    <row r="313" hidden="1">
      <c r="A313" s="93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19"/>
      <c r="P313" s="22"/>
      <c r="Q313" s="22"/>
      <c r="R313" s="22"/>
    </row>
    <row r="314" hidden="1">
      <c r="A314" s="93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19"/>
      <c r="P314" s="22"/>
      <c r="Q314" s="22"/>
      <c r="R314" s="22"/>
    </row>
    <row r="315" hidden="1">
      <c r="A315" s="93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19"/>
      <c r="P315" s="22"/>
      <c r="Q315" s="22"/>
      <c r="R315" s="22"/>
    </row>
    <row r="316" hidden="1">
      <c r="A316" s="93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19"/>
      <c r="P316" s="22"/>
      <c r="Q316" s="22"/>
      <c r="R316" s="22"/>
    </row>
    <row r="317" hidden="1">
      <c r="A317" s="93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19"/>
      <c r="P317" s="22"/>
      <c r="Q317" s="22"/>
      <c r="R317" s="22"/>
    </row>
    <row r="318" hidden="1">
      <c r="A318" s="93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19"/>
      <c r="P318" s="22"/>
      <c r="Q318" s="22"/>
      <c r="R318" s="22"/>
    </row>
    <row r="319" hidden="1">
      <c r="A319" s="93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19"/>
      <c r="P319" s="22"/>
      <c r="Q319" s="22"/>
      <c r="R319" s="22"/>
    </row>
    <row r="320" hidden="1">
      <c r="A320" s="93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19"/>
      <c r="P320" s="22"/>
      <c r="Q320" s="22"/>
      <c r="R320" s="22"/>
    </row>
    <row r="321" hidden="1">
      <c r="A321" s="93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19"/>
      <c r="P321" s="22"/>
      <c r="Q321" s="22"/>
      <c r="R321" s="22"/>
    </row>
    <row r="322" hidden="1">
      <c r="A322" s="93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19"/>
      <c r="P322" s="22"/>
      <c r="Q322" s="22"/>
      <c r="R322" s="22"/>
    </row>
    <row r="323" hidden="1">
      <c r="A323" s="93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19"/>
      <c r="P323" s="22"/>
      <c r="Q323" s="22"/>
      <c r="R323" s="22"/>
    </row>
    <row r="324" hidden="1">
      <c r="A324" s="93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19"/>
      <c r="P324" s="22"/>
      <c r="Q324" s="22"/>
      <c r="R324" s="22"/>
    </row>
    <row r="325" hidden="1">
      <c r="A325" s="93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19"/>
      <c r="P325" s="22"/>
      <c r="Q325" s="22"/>
      <c r="R325" s="22"/>
    </row>
    <row r="326" hidden="1">
      <c r="A326" s="93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19"/>
      <c r="P326" s="22"/>
      <c r="Q326" s="22"/>
      <c r="R326" s="22"/>
    </row>
    <row r="327" hidden="1">
      <c r="A327" s="93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19"/>
      <c r="P327" s="22"/>
      <c r="Q327" s="22"/>
      <c r="R327" s="22"/>
    </row>
    <row r="328" hidden="1">
      <c r="A328" s="93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19"/>
      <c r="P328" s="22"/>
      <c r="Q328" s="22"/>
      <c r="R328" s="22"/>
    </row>
    <row r="329" hidden="1">
      <c r="A329" s="93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19"/>
      <c r="P329" s="22"/>
      <c r="Q329" s="22"/>
      <c r="R329" s="22"/>
    </row>
    <row r="330" hidden="1">
      <c r="A330" s="93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19"/>
      <c r="P330" s="22"/>
      <c r="Q330" s="22"/>
      <c r="R330" s="22"/>
    </row>
    <row r="331" hidden="1">
      <c r="A331" s="93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19"/>
      <c r="P331" s="22"/>
      <c r="Q331" s="22"/>
      <c r="R331" s="22"/>
    </row>
    <row r="332" hidden="1">
      <c r="A332" s="93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19"/>
      <c r="P332" s="22"/>
      <c r="Q332" s="22"/>
      <c r="R332" s="22"/>
    </row>
    <row r="333" hidden="1">
      <c r="A333" s="93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19"/>
      <c r="P333" s="22"/>
      <c r="Q333" s="22"/>
      <c r="R333" s="22"/>
    </row>
    <row r="334" hidden="1">
      <c r="A334" s="93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19"/>
      <c r="P334" s="22"/>
      <c r="Q334" s="22"/>
      <c r="R334" s="22"/>
    </row>
    <row r="335" hidden="1">
      <c r="A335" s="93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19"/>
      <c r="P335" s="22"/>
      <c r="Q335" s="22"/>
      <c r="R335" s="22"/>
    </row>
    <row r="336" hidden="1">
      <c r="A336" s="93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19"/>
      <c r="P336" s="22"/>
      <c r="Q336" s="22"/>
      <c r="R336" s="22"/>
    </row>
    <row r="337" hidden="1">
      <c r="A337" s="93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19"/>
      <c r="P337" s="22"/>
      <c r="Q337" s="22"/>
      <c r="R337" s="22"/>
    </row>
    <row r="338" hidden="1">
      <c r="A338" s="93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19"/>
      <c r="P338" s="22"/>
      <c r="Q338" s="22"/>
      <c r="R338" s="22"/>
    </row>
    <row r="339" hidden="1">
      <c r="A339" s="93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19"/>
      <c r="P339" s="22"/>
      <c r="Q339" s="22"/>
      <c r="R339" s="22"/>
    </row>
    <row r="340" hidden="1">
      <c r="A340" s="93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19"/>
      <c r="P340" s="22"/>
      <c r="Q340" s="22"/>
      <c r="R340" s="22"/>
    </row>
    <row r="341" hidden="1">
      <c r="A341" s="93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19"/>
      <c r="P341" s="22"/>
      <c r="Q341" s="22"/>
      <c r="R341" s="22"/>
    </row>
    <row r="342" hidden="1">
      <c r="A342" s="93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19"/>
      <c r="P342" s="22"/>
      <c r="Q342" s="22"/>
      <c r="R342" s="22"/>
    </row>
    <row r="343" hidden="1">
      <c r="A343" s="93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19"/>
      <c r="P343" s="22"/>
      <c r="Q343" s="22"/>
      <c r="R343" s="22"/>
    </row>
    <row r="344" hidden="1">
      <c r="A344" s="93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19"/>
      <c r="P344" s="22"/>
      <c r="Q344" s="22"/>
      <c r="R344" s="22"/>
    </row>
    <row r="345" hidden="1">
      <c r="A345" s="93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19"/>
      <c r="P345" s="22"/>
      <c r="Q345" s="22"/>
      <c r="R345" s="22"/>
    </row>
    <row r="346" hidden="1">
      <c r="A346" s="93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19"/>
      <c r="P346" s="22"/>
      <c r="Q346" s="22"/>
      <c r="R346" s="22"/>
    </row>
    <row r="347" hidden="1">
      <c r="A347" s="93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19"/>
      <c r="P347" s="22"/>
      <c r="Q347" s="22"/>
      <c r="R347" s="22"/>
    </row>
    <row r="348" hidden="1">
      <c r="A348" s="93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19"/>
      <c r="P348" s="22"/>
      <c r="Q348" s="22"/>
      <c r="R348" s="22"/>
    </row>
    <row r="349" hidden="1">
      <c r="A349" s="93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19"/>
      <c r="P349" s="22"/>
      <c r="Q349" s="22"/>
      <c r="R349" s="22"/>
    </row>
    <row r="350" hidden="1">
      <c r="A350" s="93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19"/>
      <c r="P350" s="22"/>
      <c r="Q350" s="22"/>
      <c r="R350" s="22"/>
    </row>
    <row r="351" hidden="1">
      <c r="A351" s="93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19"/>
      <c r="P351" s="22"/>
      <c r="Q351" s="22"/>
      <c r="R351" s="22"/>
    </row>
    <row r="352" hidden="1">
      <c r="A352" s="93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19"/>
      <c r="P352" s="22"/>
      <c r="Q352" s="22"/>
      <c r="R352" s="22"/>
    </row>
    <row r="353" hidden="1">
      <c r="A353" s="93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19"/>
      <c r="P353" s="22"/>
      <c r="Q353" s="22"/>
      <c r="R353" s="22"/>
    </row>
    <row r="354" hidden="1">
      <c r="A354" s="93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19"/>
      <c r="P354" s="22"/>
      <c r="Q354" s="22"/>
      <c r="R354" s="22"/>
    </row>
    <row r="355" hidden="1">
      <c r="A355" s="93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19"/>
      <c r="P355" s="22"/>
      <c r="Q355" s="22"/>
      <c r="R355" s="22"/>
    </row>
    <row r="356" hidden="1">
      <c r="A356" s="93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19"/>
      <c r="P356" s="22"/>
      <c r="Q356" s="22"/>
      <c r="R356" s="22"/>
    </row>
    <row r="357" hidden="1">
      <c r="A357" s="93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19"/>
      <c r="P357" s="22"/>
      <c r="Q357" s="22"/>
      <c r="R357" s="22"/>
    </row>
    <row r="358" hidden="1">
      <c r="A358" s="93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19"/>
      <c r="P358" s="22"/>
      <c r="Q358" s="22"/>
      <c r="R358" s="22"/>
    </row>
    <row r="359" hidden="1">
      <c r="A359" s="93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19"/>
      <c r="P359" s="22"/>
      <c r="Q359" s="22"/>
      <c r="R359" s="22"/>
    </row>
    <row r="360" hidden="1">
      <c r="A360" s="93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19"/>
      <c r="P360" s="22"/>
      <c r="Q360" s="22"/>
      <c r="R360" s="22"/>
    </row>
    <row r="361" hidden="1">
      <c r="A361" s="93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19"/>
      <c r="P361" s="22"/>
      <c r="Q361" s="22"/>
      <c r="R361" s="22"/>
    </row>
    <row r="362" hidden="1">
      <c r="A362" s="93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19"/>
      <c r="P362" s="22"/>
      <c r="Q362" s="22"/>
      <c r="R362" s="22"/>
    </row>
    <row r="363" hidden="1">
      <c r="A363" s="93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19"/>
      <c r="P363" s="22"/>
      <c r="Q363" s="22"/>
      <c r="R363" s="22"/>
    </row>
    <row r="364" hidden="1">
      <c r="A364" s="93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19"/>
      <c r="P364" s="22"/>
      <c r="Q364" s="22"/>
      <c r="R364" s="22"/>
    </row>
    <row r="365" hidden="1">
      <c r="A365" s="93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19"/>
      <c r="P365" s="22"/>
      <c r="Q365" s="22"/>
      <c r="R365" s="22"/>
    </row>
    <row r="366" hidden="1">
      <c r="A366" s="93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19"/>
      <c r="P366" s="22"/>
      <c r="Q366" s="22"/>
      <c r="R366" s="22"/>
    </row>
    <row r="367" hidden="1">
      <c r="A367" s="93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19"/>
      <c r="P367" s="22"/>
      <c r="Q367" s="22"/>
      <c r="R367" s="22"/>
    </row>
    <row r="368" hidden="1">
      <c r="A368" s="93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19"/>
      <c r="P368" s="22"/>
      <c r="Q368" s="22"/>
      <c r="R368" s="22"/>
    </row>
    <row r="369" hidden="1">
      <c r="A369" s="93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19"/>
      <c r="P369" s="22"/>
      <c r="Q369" s="22"/>
      <c r="R369" s="22"/>
    </row>
    <row r="370" hidden="1">
      <c r="A370" s="93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19"/>
      <c r="P370" s="22"/>
      <c r="Q370" s="22"/>
      <c r="R370" s="22"/>
    </row>
    <row r="371" hidden="1">
      <c r="A371" s="93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19"/>
      <c r="P371" s="22"/>
      <c r="Q371" s="22"/>
      <c r="R371" s="22"/>
    </row>
    <row r="372" hidden="1">
      <c r="A372" s="93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19"/>
      <c r="P372" s="22"/>
      <c r="Q372" s="22"/>
      <c r="R372" s="22"/>
    </row>
    <row r="373" hidden="1">
      <c r="A373" s="93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19"/>
      <c r="P373" s="22"/>
      <c r="Q373" s="22"/>
      <c r="R373" s="22"/>
    </row>
    <row r="374" hidden="1">
      <c r="A374" s="93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19"/>
      <c r="P374" s="22"/>
      <c r="Q374" s="22"/>
      <c r="R374" s="22"/>
    </row>
    <row r="375" hidden="1">
      <c r="A375" s="93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19"/>
      <c r="P375" s="22"/>
      <c r="Q375" s="22"/>
      <c r="R375" s="22"/>
    </row>
    <row r="376" hidden="1">
      <c r="A376" s="93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19"/>
      <c r="P376" s="22"/>
      <c r="Q376" s="22"/>
      <c r="R376" s="22"/>
    </row>
    <row r="377" hidden="1">
      <c r="A377" s="93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19"/>
      <c r="P377" s="22"/>
      <c r="Q377" s="22"/>
      <c r="R377" s="22"/>
    </row>
    <row r="378" hidden="1">
      <c r="A378" s="93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19"/>
      <c r="P378" s="22"/>
      <c r="Q378" s="22"/>
      <c r="R378" s="22"/>
    </row>
    <row r="379" hidden="1">
      <c r="A379" s="93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19"/>
      <c r="P379" s="22"/>
      <c r="Q379" s="22"/>
      <c r="R379" s="22"/>
    </row>
    <row r="380" hidden="1">
      <c r="A380" s="93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19"/>
      <c r="P380" s="22"/>
      <c r="Q380" s="22"/>
      <c r="R380" s="22"/>
    </row>
    <row r="381" hidden="1">
      <c r="A381" s="93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19"/>
      <c r="P381" s="22"/>
      <c r="Q381" s="22"/>
      <c r="R381" s="22"/>
    </row>
    <row r="382" hidden="1">
      <c r="A382" s="93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19"/>
      <c r="P382" s="22"/>
      <c r="Q382" s="22"/>
      <c r="R382" s="22"/>
    </row>
    <row r="383" hidden="1">
      <c r="A383" s="93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19"/>
      <c r="P383" s="22"/>
      <c r="Q383" s="22"/>
      <c r="R383" s="22"/>
    </row>
    <row r="384" hidden="1">
      <c r="A384" s="93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19"/>
      <c r="P384" s="22"/>
      <c r="Q384" s="22"/>
      <c r="R384" s="22"/>
    </row>
    <row r="385" hidden="1">
      <c r="A385" s="93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19"/>
      <c r="P385" s="22"/>
      <c r="Q385" s="22"/>
      <c r="R385" s="22"/>
    </row>
    <row r="386" hidden="1">
      <c r="A386" s="93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19"/>
      <c r="P386" s="22"/>
      <c r="Q386" s="22"/>
      <c r="R386" s="22"/>
    </row>
    <row r="387" hidden="1">
      <c r="A387" s="93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19"/>
      <c r="P387" s="22"/>
      <c r="Q387" s="22"/>
      <c r="R387" s="22"/>
    </row>
    <row r="388" hidden="1">
      <c r="A388" s="93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19"/>
      <c r="P388" s="22"/>
      <c r="Q388" s="22"/>
      <c r="R388" s="22"/>
    </row>
    <row r="389" hidden="1">
      <c r="A389" s="93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19"/>
      <c r="P389" s="22"/>
      <c r="Q389" s="22"/>
      <c r="R389" s="22"/>
    </row>
    <row r="390" hidden="1">
      <c r="A390" s="93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19"/>
      <c r="P390" s="22"/>
      <c r="Q390" s="22"/>
      <c r="R390" s="22"/>
    </row>
    <row r="391" hidden="1">
      <c r="A391" s="93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19"/>
      <c r="P391" s="22"/>
      <c r="Q391" s="22"/>
      <c r="R391" s="22"/>
    </row>
    <row r="392" hidden="1">
      <c r="A392" s="93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19"/>
      <c r="P392" s="22"/>
      <c r="Q392" s="22"/>
      <c r="R392" s="22"/>
    </row>
    <row r="393" hidden="1">
      <c r="A393" s="93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19"/>
      <c r="P393" s="22"/>
      <c r="Q393" s="22"/>
      <c r="R393" s="22"/>
    </row>
    <row r="394" hidden="1">
      <c r="A394" s="93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19"/>
      <c r="P394" s="22"/>
      <c r="Q394" s="22"/>
      <c r="R394" s="22"/>
    </row>
    <row r="395" hidden="1">
      <c r="A395" s="93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19"/>
      <c r="P395" s="22"/>
      <c r="Q395" s="22"/>
      <c r="R395" s="22"/>
    </row>
    <row r="396" hidden="1">
      <c r="A396" s="93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19"/>
      <c r="P396" s="22"/>
      <c r="Q396" s="22"/>
      <c r="R396" s="22"/>
    </row>
    <row r="397" hidden="1">
      <c r="A397" s="93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19"/>
      <c r="P397" s="22"/>
      <c r="Q397" s="22"/>
      <c r="R397" s="22"/>
    </row>
    <row r="398" hidden="1">
      <c r="A398" s="93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19"/>
      <c r="P398" s="22"/>
      <c r="Q398" s="22"/>
      <c r="R398" s="22"/>
    </row>
    <row r="399" hidden="1">
      <c r="A399" s="93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19"/>
      <c r="P399" s="22"/>
      <c r="Q399" s="22"/>
      <c r="R399" s="22"/>
    </row>
    <row r="400" hidden="1">
      <c r="A400" s="93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19"/>
      <c r="P400" s="22"/>
      <c r="Q400" s="22"/>
      <c r="R400" s="22"/>
    </row>
    <row r="401" hidden="1">
      <c r="A401" s="93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19"/>
      <c r="P401" s="22"/>
      <c r="Q401" s="22"/>
      <c r="R401" s="22"/>
    </row>
    <row r="402" hidden="1">
      <c r="A402" s="93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19"/>
      <c r="P402" s="22"/>
      <c r="Q402" s="22"/>
      <c r="R402" s="22"/>
    </row>
    <row r="403" hidden="1">
      <c r="A403" s="93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19"/>
      <c r="P403" s="22"/>
      <c r="Q403" s="22"/>
      <c r="R403" s="22"/>
    </row>
    <row r="404" hidden="1">
      <c r="A404" s="93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19"/>
      <c r="P404" s="22"/>
      <c r="Q404" s="22"/>
      <c r="R404" s="22"/>
    </row>
    <row r="405" hidden="1">
      <c r="A405" s="93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19"/>
      <c r="P405" s="22"/>
      <c r="Q405" s="22"/>
      <c r="R405" s="22"/>
    </row>
    <row r="406" hidden="1">
      <c r="A406" s="93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19"/>
      <c r="P406" s="22"/>
      <c r="Q406" s="22"/>
      <c r="R406" s="22"/>
    </row>
    <row r="407" hidden="1">
      <c r="A407" s="93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19"/>
      <c r="P407" s="22"/>
      <c r="Q407" s="22"/>
      <c r="R407" s="22"/>
    </row>
    <row r="408" hidden="1">
      <c r="A408" s="93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19"/>
      <c r="P408" s="22"/>
      <c r="Q408" s="22"/>
      <c r="R408" s="22"/>
    </row>
    <row r="409" hidden="1">
      <c r="A409" s="93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19"/>
      <c r="P409" s="22"/>
      <c r="Q409" s="22"/>
      <c r="R409" s="22"/>
    </row>
    <row r="410" hidden="1">
      <c r="A410" s="93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19"/>
      <c r="P410" s="22"/>
      <c r="Q410" s="22"/>
      <c r="R410" s="22"/>
    </row>
    <row r="411" hidden="1">
      <c r="A411" s="93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19"/>
      <c r="P411" s="22"/>
      <c r="Q411" s="22"/>
      <c r="R411" s="22"/>
    </row>
    <row r="412" hidden="1">
      <c r="A412" s="93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19"/>
      <c r="P412" s="22"/>
      <c r="Q412" s="22"/>
      <c r="R412" s="22"/>
    </row>
    <row r="413" hidden="1">
      <c r="A413" s="93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19"/>
      <c r="P413" s="22"/>
      <c r="Q413" s="22"/>
      <c r="R413" s="22"/>
    </row>
    <row r="414" hidden="1">
      <c r="A414" s="93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19"/>
      <c r="P414" s="22"/>
      <c r="Q414" s="22"/>
      <c r="R414" s="22"/>
    </row>
    <row r="415" hidden="1">
      <c r="A415" s="93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19"/>
      <c r="P415" s="22"/>
      <c r="Q415" s="22"/>
      <c r="R415" s="22"/>
    </row>
    <row r="416" hidden="1">
      <c r="A416" s="93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19"/>
      <c r="P416" s="22"/>
      <c r="Q416" s="22"/>
      <c r="R416" s="22"/>
    </row>
    <row r="417" hidden="1">
      <c r="A417" s="93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19"/>
      <c r="P417" s="22"/>
      <c r="Q417" s="22"/>
      <c r="R417" s="22"/>
    </row>
    <row r="418" hidden="1">
      <c r="A418" s="93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19"/>
      <c r="P418" s="22"/>
      <c r="Q418" s="22"/>
      <c r="R418" s="22"/>
    </row>
    <row r="419" hidden="1">
      <c r="A419" s="93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19"/>
      <c r="P419" s="22"/>
      <c r="Q419" s="22"/>
      <c r="R419" s="22"/>
    </row>
    <row r="420" hidden="1">
      <c r="A420" s="93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19"/>
      <c r="P420" s="22"/>
      <c r="Q420" s="22"/>
      <c r="R420" s="22"/>
    </row>
    <row r="421" hidden="1">
      <c r="A421" s="93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19"/>
      <c r="P421" s="22"/>
      <c r="Q421" s="22"/>
      <c r="R421" s="22"/>
    </row>
    <row r="422" hidden="1">
      <c r="A422" s="93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19"/>
      <c r="P422" s="22"/>
      <c r="Q422" s="22"/>
      <c r="R422" s="22"/>
    </row>
    <row r="423" hidden="1">
      <c r="A423" s="93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19"/>
      <c r="P423" s="22"/>
      <c r="Q423" s="22"/>
      <c r="R423" s="22"/>
    </row>
    <row r="424" hidden="1">
      <c r="A424" s="93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19"/>
      <c r="P424" s="22"/>
      <c r="Q424" s="22"/>
      <c r="R424" s="22"/>
    </row>
    <row r="425" hidden="1">
      <c r="A425" s="93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19"/>
      <c r="P425" s="22"/>
      <c r="Q425" s="22"/>
      <c r="R425" s="22"/>
    </row>
    <row r="426" hidden="1">
      <c r="A426" s="93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19"/>
      <c r="P426" s="22"/>
      <c r="Q426" s="22"/>
      <c r="R426" s="22"/>
    </row>
    <row r="427" hidden="1">
      <c r="A427" s="93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19"/>
      <c r="P427" s="22"/>
      <c r="Q427" s="22"/>
      <c r="R427" s="22"/>
    </row>
    <row r="428" hidden="1">
      <c r="A428" s="93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19"/>
      <c r="P428" s="22"/>
      <c r="Q428" s="22"/>
      <c r="R428" s="22"/>
    </row>
    <row r="429" hidden="1">
      <c r="A429" s="93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19"/>
      <c r="P429" s="22"/>
      <c r="Q429" s="22"/>
      <c r="R429" s="22"/>
    </row>
    <row r="430" hidden="1">
      <c r="A430" s="93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19"/>
      <c r="P430" s="22"/>
      <c r="Q430" s="22"/>
      <c r="R430" s="22"/>
    </row>
    <row r="431" hidden="1">
      <c r="A431" s="93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19"/>
      <c r="P431" s="22"/>
      <c r="Q431" s="22"/>
      <c r="R431" s="22"/>
    </row>
    <row r="432" hidden="1">
      <c r="A432" s="93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19"/>
      <c r="P432" s="22"/>
      <c r="Q432" s="22"/>
      <c r="R432" s="22"/>
    </row>
    <row r="433" hidden="1">
      <c r="A433" s="93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19"/>
      <c r="P433" s="22"/>
      <c r="Q433" s="22"/>
      <c r="R433" s="22"/>
    </row>
    <row r="434" hidden="1">
      <c r="A434" s="93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19"/>
      <c r="P434" s="22"/>
      <c r="Q434" s="22"/>
      <c r="R434" s="22"/>
    </row>
    <row r="435" hidden="1">
      <c r="A435" s="93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19"/>
      <c r="P435" s="22"/>
      <c r="Q435" s="22"/>
      <c r="R435" s="22"/>
    </row>
    <row r="436" hidden="1">
      <c r="A436" s="93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19"/>
      <c r="P436" s="22"/>
      <c r="Q436" s="22"/>
      <c r="R436" s="22"/>
    </row>
    <row r="437" hidden="1">
      <c r="A437" s="93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19"/>
      <c r="P437" s="22"/>
      <c r="Q437" s="22"/>
      <c r="R437" s="22"/>
    </row>
    <row r="438" hidden="1">
      <c r="A438" s="93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19"/>
      <c r="P438" s="22"/>
      <c r="Q438" s="22"/>
      <c r="R438" s="22"/>
    </row>
    <row r="439" hidden="1">
      <c r="A439" s="93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19"/>
      <c r="P439" s="22"/>
      <c r="Q439" s="22"/>
      <c r="R439" s="22"/>
    </row>
    <row r="440" hidden="1">
      <c r="A440" s="93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19"/>
      <c r="P440" s="22"/>
      <c r="Q440" s="22"/>
      <c r="R440" s="22"/>
    </row>
    <row r="441" hidden="1">
      <c r="A441" s="93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19"/>
      <c r="P441" s="22"/>
      <c r="Q441" s="22"/>
      <c r="R441" s="22"/>
    </row>
    <row r="442" hidden="1">
      <c r="A442" s="93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19"/>
      <c r="P442" s="22"/>
      <c r="Q442" s="22"/>
      <c r="R442" s="22"/>
    </row>
    <row r="443" hidden="1">
      <c r="A443" s="93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19"/>
      <c r="P443" s="22"/>
      <c r="Q443" s="22"/>
      <c r="R443" s="22"/>
    </row>
    <row r="444" hidden="1">
      <c r="A444" s="93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19"/>
      <c r="P444" s="22"/>
      <c r="Q444" s="22"/>
      <c r="R444" s="22"/>
    </row>
    <row r="445" hidden="1">
      <c r="A445" s="93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19"/>
      <c r="P445" s="22"/>
      <c r="Q445" s="22"/>
      <c r="R445" s="22"/>
    </row>
    <row r="446" hidden="1">
      <c r="A446" s="93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19"/>
      <c r="P446" s="22"/>
      <c r="Q446" s="22"/>
      <c r="R446" s="22"/>
    </row>
    <row r="447" hidden="1">
      <c r="A447" s="93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19"/>
      <c r="P447" s="22"/>
      <c r="Q447" s="22"/>
      <c r="R447" s="22"/>
    </row>
    <row r="448" hidden="1">
      <c r="A448" s="93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19"/>
      <c r="P448" s="22"/>
      <c r="Q448" s="22"/>
      <c r="R448" s="22"/>
    </row>
    <row r="449" hidden="1">
      <c r="A449" s="93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19"/>
      <c r="P449" s="22"/>
      <c r="Q449" s="22"/>
      <c r="R449" s="22"/>
    </row>
    <row r="450" hidden="1">
      <c r="A450" s="93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19"/>
      <c r="P450" s="22"/>
      <c r="Q450" s="22"/>
      <c r="R450" s="22"/>
    </row>
    <row r="451" hidden="1">
      <c r="A451" s="93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19"/>
      <c r="P451" s="22"/>
      <c r="Q451" s="22"/>
      <c r="R451" s="22"/>
    </row>
    <row r="452" hidden="1">
      <c r="A452" s="93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19"/>
      <c r="P452" s="22"/>
      <c r="Q452" s="22"/>
      <c r="R452" s="22"/>
    </row>
    <row r="453" hidden="1">
      <c r="A453" s="93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19"/>
      <c r="P453" s="22"/>
      <c r="Q453" s="22"/>
      <c r="R453" s="22"/>
    </row>
    <row r="454" hidden="1">
      <c r="A454" s="93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19"/>
      <c r="P454" s="22"/>
      <c r="Q454" s="22"/>
      <c r="R454" s="22"/>
    </row>
    <row r="455" hidden="1">
      <c r="A455" s="93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19"/>
      <c r="P455" s="22"/>
      <c r="Q455" s="22"/>
      <c r="R455" s="22"/>
    </row>
    <row r="456" hidden="1">
      <c r="A456" s="93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19"/>
      <c r="P456" s="22"/>
      <c r="Q456" s="22"/>
      <c r="R456" s="22"/>
    </row>
    <row r="457" hidden="1">
      <c r="A457" s="93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19"/>
      <c r="P457" s="22"/>
      <c r="Q457" s="22"/>
      <c r="R457" s="22"/>
    </row>
    <row r="458" hidden="1">
      <c r="A458" s="93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19"/>
      <c r="P458" s="22"/>
      <c r="Q458" s="22"/>
      <c r="R458" s="22"/>
    </row>
    <row r="459" hidden="1">
      <c r="A459" s="93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19"/>
      <c r="P459" s="22"/>
      <c r="Q459" s="22"/>
      <c r="R459" s="22"/>
    </row>
    <row r="460" hidden="1">
      <c r="A460" s="93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19"/>
      <c r="P460" s="22"/>
      <c r="Q460" s="22"/>
      <c r="R460" s="22"/>
    </row>
    <row r="461" hidden="1">
      <c r="A461" s="93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19"/>
      <c r="P461" s="22"/>
      <c r="Q461" s="22"/>
      <c r="R461" s="22"/>
    </row>
    <row r="462" hidden="1">
      <c r="A462" s="93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19"/>
      <c r="P462" s="22"/>
      <c r="Q462" s="22"/>
      <c r="R462" s="22"/>
    </row>
    <row r="463" hidden="1">
      <c r="A463" s="93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19"/>
      <c r="P463" s="22"/>
      <c r="Q463" s="22"/>
      <c r="R463" s="22"/>
    </row>
    <row r="464" hidden="1">
      <c r="A464" s="93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19"/>
      <c r="P464" s="22"/>
      <c r="Q464" s="22"/>
      <c r="R464" s="22"/>
    </row>
    <row r="465" hidden="1">
      <c r="A465" s="93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19"/>
      <c r="P465" s="22"/>
      <c r="Q465" s="22"/>
      <c r="R465" s="22"/>
    </row>
    <row r="466" hidden="1">
      <c r="A466" s="93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19"/>
      <c r="P466" s="22"/>
      <c r="Q466" s="22"/>
      <c r="R466" s="22"/>
    </row>
    <row r="467" hidden="1">
      <c r="A467" s="93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19"/>
      <c r="P467" s="22"/>
      <c r="Q467" s="22"/>
      <c r="R467" s="22"/>
    </row>
    <row r="468" hidden="1">
      <c r="A468" s="93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19"/>
      <c r="P468" s="22"/>
      <c r="Q468" s="22"/>
      <c r="R468" s="22"/>
    </row>
    <row r="469" hidden="1">
      <c r="A469" s="93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19"/>
      <c r="P469" s="22"/>
      <c r="Q469" s="22"/>
      <c r="R469" s="22"/>
    </row>
    <row r="470" hidden="1">
      <c r="A470" s="93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19"/>
      <c r="P470" s="22"/>
      <c r="Q470" s="22"/>
      <c r="R470" s="22"/>
    </row>
    <row r="471" hidden="1">
      <c r="A471" s="93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19"/>
      <c r="P471" s="22"/>
      <c r="Q471" s="22"/>
      <c r="R471" s="22"/>
    </row>
    <row r="472" hidden="1">
      <c r="A472" s="93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19"/>
      <c r="P472" s="22"/>
      <c r="Q472" s="22"/>
      <c r="R472" s="22"/>
    </row>
    <row r="473" hidden="1">
      <c r="A473" s="93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19"/>
      <c r="P473" s="22"/>
      <c r="Q473" s="22"/>
      <c r="R473" s="22"/>
    </row>
    <row r="474" hidden="1">
      <c r="A474" s="93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19"/>
      <c r="P474" s="22"/>
      <c r="Q474" s="22"/>
      <c r="R474" s="22"/>
    </row>
    <row r="475" hidden="1">
      <c r="A475" s="93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19"/>
      <c r="P475" s="22"/>
      <c r="Q475" s="22"/>
      <c r="R475" s="22"/>
    </row>
    <row r="476" hidden="1">
      <c r="A476" s="93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19"/>
      <c r="P476" s="22"/>
      <c r="Q476" s="22"/>
      <c r="R476" s="22"/>
    </row>
    <row r="477" hidden="1">
      <c r="A477" s="93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19"/>
      <c r="P477" s="22"/>
      <c r="Q477" s="22"/>
      <c r="R477" s="22"/>
    </row>
    <row r="478" hidden="1">
      <c r="A478" s="93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19"/>
      <c r="P478" s="22"/>
      <c r="Q478" s="22"/>
      <c r="R478" s="22"/>
    </row>
    <row r="479" hidden="1">
      <c r="A479" s="93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19"/>
      <c r="P479" s="22"/>
      <c r="Q479" s="22"/>
      <c r="R479" s="22"/>
    </row>
    <row r="480" hidden="1">
      <c r="A480" s="93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19"/>
      <c r="P480" s="22"/>
      <c r="Q480" s="22"/>
      <c r="R480" s="22"/>
    </row>
    <row r="481" hidden="1">
      <c r="A481" s="93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19"/>
      <c r="P481" s="22"/>
      <c r="Q481" s="22"/>
      <c r="R481" s="22"/>
    </row>
    <row r="482" hidden="1">
      <c r="A482" s="93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19"/>
      <c r="P482" s="22"/>
      <c r="Q482" s="22"/>
      <c r="R482" s="22"/>
    </row>
    <row r="483" hidden="1">
      <c r="A483" s="93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19"/>
      <c r="P483" s="22"/>
      <c r="Q483" s="22"/>
      <c r="R483" s="22"/>
    </row>
    <row r="484" hidden="1">
      <c r="A484" s="93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19"/>
      <c r="P484" s="22"/>
      <c r="Q484" s="22"/>
      <c r="R484" s="22"/>
    </row>
    <row r="485" hidden="1">
      <c r="A485" s="93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19"/>
      <c r="P485" s="22"/>
      <c r="Q485" s="22"/>
      <c r="R485" s="22"/>
    </row>
    <row r="486" hidden="1">
      <c r="A486" s="93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19"/>
      <c r="P486" s="22"/>
      <c r="Q486" s="22"/>
      <c r="R486" s="22"/>
    </row>
    <row r="487" hidden="1">
      <c r="A487" s="93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19"/>
      <c r="P487" s="22"/>
      <c r="Q487" s="22"/>
      <c r="R487" s="22"/>
    </row>
    <row r="488" hidden="1">
      <c r="A488" s="93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19"/>
      <c r="P488" s="22"/>
      <c r="Q488" s="22"/>
      <c r="R488" s="22"/>
    </row>
    <row r="489" hidden="1">
      <c r="A489" s="93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19"/>
      <c r="P489" s="22"/>
      <c r="Q489" s="22"/>
      <c r="R489" s="22"/>
    </row>
    <row r="490" hidden="1">
      <c r="A490" s="93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19"/>
      <c r="P490" s="22"/>
      <c r="Q490" s="22"/>
      <c r="R490" s="22"/>
    </row>
    <row r="491" hidden="1">
      <c r="A491" s="93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19"/>
      <c r="P491" s="22"/>
      <c r="Q491" s="22"/>
      <c r="R491" s="22"/>
    </row>
    <row r="492" hidden="1">
      <c r="A492" s="93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19"/>
      <c r="P492" s="22"/>
      <c r="Q492" s="22"/>
      <c r="R492" s="22"/>
    </row>
    <row r="493" hidden="1">
      <c r="A493" s="93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19"/>
      <c r="P493" s="22"/>
      <c r="Q493" s="22"/>
      <c r="R493" s="22"/>
    </row>
    <row r="494" hidden="1">
      <c r="A494" s="93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19"/>
      <c r="P494" s="22"/>
      <c r="Q494" s="22"/>
      <c r="R494" s="22"/>
    </row>
    <row r="495" hidden="1">
      <c r="A495" s="93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19"/>
      <c r="P495" s="22"/>
      <c r="Q495" s="22"/>
      <c r="R495" s="22"/>
    </row>
    <row r="496" hidden="1">
      <c r="A496" s="93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19"/>
      <c r="P496" s="22"/>
      <c r="Q496" s="22"/>
      <c r="R496" s="22"/>
    </row>
    <row r="497" hidden="1">
      <c r="A497" s="93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19"/>
      <c r="P497" s="22"/>
      <c r="Q497" s="22"/>
      <c r="R497" s="22"/>
    </row>
    <row r="498" hidden="1">
      <c r="A498" s="93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19"/>
      <c r="P498" s="22"/>
      <c r="Q498" s="22"/>
      <c r="R498" s="22"/>
    </row>
    <row r="499" hidden="1">
      <c r="A499" s="93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19"/>
      <c r="P499" s="22"/>
      <c r="Q499" s="22"/>
      <c r="R499" s="22"/>
    </row>
    <row r="500" hidden="1">
      <c r="A500" s="93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19"/>
      <c r="P500" s="22"/>
      <c r="Q500" s="22"/>
      <c r="R500" s="22"/>
    </row>
    <row r="501" hidden="1">
      <c r="A501" s="93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19"/>
      <c r="P501" s="22"/>
      <c r="Q501" s="22"/>
      <c r="R501" s="22"/>
    </row>
    <row r="502" hidden="1">
      <c r="A502" s="93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19"/>
      <c r="P502" s="22"/>
      <c r="Q502" s="22"/>
      <c r="R502" s="22"/>
    </row>
    <row r="503" hidden="1">
      <c r="A503" s="93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19"/>
      <c r="P503" s="22"/>
      <c r="Q503" s="22"/>
      <c r="R503" s="22"/>
    </row>
    <row r="504" hidden="1">
      <c r="A504" s="93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19"/>
      <c r="P504" s="22"/>
      <c r="Q504" s="22"/>
      <c r="R504" s="22"/>
    </row>
    <row r="505" hidden="1">
      <c r="A505" s="93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19"/>
      <c r="P505" s="22"/>
      <c r="Q505" s="22"/>
      <c r="R505" s="22"/>
    </row>
    <row r="506" hidden="1">
      <c r="A506" s="93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19"/>
      <c r="P506" s="22"/>
      <c r="Q506" s="22"/>
      <c r="R506" s="22"/>
    </row>
    <row r="507" hidden="1">
      <c r="A507" s="93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19"/>
      <c r="P507" s="22"/>
      <c r="Q507" s="22"/>
      <c r="R507" s="22"/>
    </row>
    <row r="508" hidden="1">
      <c r="A508" s="93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19"/>
      <c r="P508" s="22"/>
      <c r="Q508" s="22"/>
      <c r="R508" s="22"/>
    </row>
    <row r="509" hidden="1">
      <c r="A509" s="93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19"/>
      <c r="P509" s="22"/>
      <c r="Q509" s="22"/>
      <c r="R509" s="22"/>
    </row>
    <row r="510" hidden="1">
      <c r="A510" s="93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19"/>
      <c r="P510" s="22"/>
      <c r="Q510" s="22"/>
      <c r="R510" s="22"/>
    </row>
    <row r="511" hidden="1">
      <c r="A511" s="93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19"/>
      <c r="P511" s="22"/>
      <c r="Q511" s="22"/>
      <c r="R511" s="22"/>
    </row>
    <row r="512" hidden="1">
      <c r="A512" s="93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19"/>
      <c r="P512" s="22"/>
      <c r="Q512" s="22"/>
      <c r="R512" s="22"/>
    </row>
    <row r="513" hidden="1">
      <c r="A513" s="93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19"/>
      <c r="P513" s="22"/>
      <c r="Q513" s="22"/>
      <c r="R513" s="22"/>
    </row>
    <row r="514" hidden="1">
      <c r="A514" s="93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19"/>
      <c r="P514" s="22"/>
      <c r="Q514" s="22"/>
      <c r="R514" s="22"/>
    </row>
    <row r="515" hidden="1">
      <c r="A515" s="93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19"/>
      <c r="P515" s="22"/>
      <c r="Q515" s="22"/>
      <c r="R515" s="22"/>
    </row>
    <row r="516" hidden="1">
      <c r="A516" s="93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19"/>
      <c r="P516" s="22"/>
      <c r="Q516" s="22"/>
      <c r="R516" s="22"/>
    </row>
    <row r="517" hidden="1">
      <c r="A517" s="93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19"/>
      <c r="P517" s="22"/>
      <c r="Q517" s="22"/>
      <c r="R517" s="22"/>
    </row>
    <row r="518" hidden="1">
      <c r="A518" s="93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19"/>
      <c r="P518" s="22"/>
      <c r="Q518" s="22"/>
      <c r="R518" s="22"/>
    </row>
    <row r="519" hidden="1">
      <c r="A519" s="93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19"/>
      <c r="P519" s="22"/>
      <c r="Q519" s="22"/>
      <c r="R519" s="22"/>
    </row>
    <row r="520" hidden="1">
      <c r="A520" s="93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19"/>
      <c r="P520" s="22"/>
      <c r="Q520" s="22"/>
      <c r="R520" s="22"/>
    </row>
    <row r="521" hidden="1">
      <c r="A521" s="93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19"/>
      <c r="P521" s="22"/>
      <c r="Q521" s="22"/>
      <c r="R521" s="22"/>
    </row>
    <row r="522" hidden="1">
      <c r="A522" s="93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19"/>
      <c r="P522" s="22"/>
      <c r="Q522" s="22"/>
      <c r="R522" s="22"/>
    </row>
    <row r="523" hidden="1">
      <c r="A523" s="93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19"/>
      <c r="P523" s="22"/>
      <c r="Q523" s="22"/>
      <c r="R523" s="22"/>
    </row>
    <row r="524" hidden="1">
      <c r="A524" s="93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19"/>
      <c r="P524" s="22"/>
      <c r="Q524" s="22"/>
      <c r="R524" s="22"/>
    </row>
    <row r="525" hidden="1">
      <c r="A525" s="93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19"/>
      <c r="P525" s="22"/>
      <c r="Q525" s="22"/>
      <c r="R525" s="22"/>
    </row>
    <row r="526" hidden="1">
      <c r="A526" s="93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19"/>
      <c r="P526" s="22"/>
      <c r="Q526" s="22"/>
      <c r="R526" s="22"/>
    </row>
    <row r="527" hidden="1">
      <c r="A527" s="93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19"/>
      <c r="P527" s="22"/>
      <c r="Q527" s="22"/>
      <c r="R527" s="22"/>
    </row>
    <row r="528" hidden="1">
      <c r="A528" s="93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19"/>
      <c r="P528" s="22"/>
      <c r="Q528" s="22"/>
      <c r="R528" s="22"/>
    </row>
    <row r="529" hidden="1">
      <c r="A529" s="93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19"/>
      <c r="P529" s="22"/>
      <c r="Q529" s="22"/>
      <c r="R529" s="22"/>
    </row>
    <row r="530" hidden="1">
      <c r="A530" s="93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19"/>
      <c r="P530" s="22"/>
      <c r="Q530" s="22"/>
      <c r="R530" s="22"/>
    </row>
    <row r="531" hidden="1">
      <c r="A531" s="93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19"/>
      <c r="P531" s="22"/>
      <c r="Q531" s="22"/>
      <c r="R531" s="22"/>
    </row>
    <row r="532" hidden="1">
      <c r="A532" s="93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19"/>
      <c r="P532" s="22"/>
      <c r="Q532" s="22"/>
      <c r="R532" s="22"/>
    </row>
    <row r="533" hidden="1">
      <c r="A533" s="93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19"/>
      <c r="P533" s="22"/>
      <c r="Q533" s="22"/>
      <c r="R533" s="22"/>
    </row>
    <row r="534" hidden="1">
      <c r="A534" s="93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19"/>
      <c r="P534" s="22"/>
      <c r="Q534" s="22"/>
      <c r="R534" s="22"/>
    </row>
    <row r="535" hidden="1">
      <c r="A535" s="93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19"/>
      <c r="P535" s="22"/>
      <c r="Q535" s="22"/>
      <c r="R535" s="22"/>
    </row>
    <row r="536" hidden="1">
      <c r="A536" s="93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19"/>
      <c r="P536" s="22"/>
      <c r="Q536" s="22"/>
      <c r="R536" s="22"/>
    </row>
    <row r="537" hidden="1">
      <c r="A537" s="93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19"/>
      <c r="P537" s="22"/>
      <c r="Q537" s="22"/>
      <c r="R537" s="22"/>
    </row>
    <row r="538" hidden="1">
      <c r="A538" s="93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19"/>
      <c r="P538" s="22"/>
      <c r="Q538" s="22"/>
      <c r="R538" s="22"/>
    </row>
    <row r="539" hidden="1">
      <c r="A539" s="93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19"/>
      <c r="P539" s="22"/>
      <c r="Q539" s="22"/>
      <c r="R539" s="22"/>
    </row>
    <row r="540" hidden="1">
      <c r="A540" s="93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19"/>
      <c r="P540" s="22"/>
      <c r="Q540" s="22"/>
      <c r="R540" s="22"/>
    </row>
    <row r="541" hidden="1">
      <c r="A541" s="93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19"/>
      <c r="P541" s="22"/>
      <c r="Q541" s="22"/>
      <c r="R541" s="22"/>
    </row>
    <row r="542" hidden="1">
      <c r="A542" s="93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19"/>
      <c r="P542" s="22"/>
      <c r="Q542" s="22"/>
      <c r="R542" s="22"/>
    </row>
    <row r="543" hidden="1">
      <c r="A543" s="93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19"/>
      <c r="P543" s="22"/>
      <c r="Q543" s="22"/>
      <c r="R543" s="22"/>
    </row>
    <row r="544" hidden="1">
      <c r="A544" s="93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19"/>
      <c r="P544" s="22"/>
      <c r="Q544" s="22"/>
      <c r="R544" s="22"/>
    </row>
    <row r="545" hidden="1">
      <c r="A545" s="93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19"/>
      <c r="P545" s="22"/>
      <c r="Q545" s="22"/>
      <c r="R545" s="22"/>
    </row>
    <row r="546" hidden="1">
      <c r="A546" s="93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19"/>
      <c r="P546" s="22"/>
      <c r="Q546" s="22"/>
      <c r="R546" s="22"/>
    </row>
    <row r="547" hidden="1">
      <c r="A547" s="93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19"/>
      <c r="P547" s="22"/>
      <c r="Q547" s="22"/>
      <c r="R547" s="22"/>
    </row>
    <row r="548" hidden="1">
      <c r="A548" s="93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19"/>
      <c r="P548" s="22"/>
      <c r="Q548" s="22"/>
      <c r="R548" s="22"/>
    </row>
    <row r="549" hidden="1">
      <c r="A549" s="93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19"/>
      <c r="P549" s="22"/>
      <c r="Q549" s="22"/>
      <c r="R549" s="22"/>
    </row>
    <row r="550" hidden="1">
      <c r="A550" s="93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19"/>
      <c r="P550" s="22"/>
      <c r="Q550" s="22"/>
      <c r="R550" s="22"/>
    </row>
    <row r="551" hidden="1">
      <c r="A551" s="93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19"/>
      <c r="P551" s="22"/>
      <c r="Q551" s="22"/>
      <c r="R551" s="22"/>
    </row>
    <row r="552" hidden="1">
      <c r="A552" s="93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19"/>
      <c r="P552" s="22"/>
      <c r="Q552" s="22"/>
      <c r="R552" s="22"/>
    </row>
    <row r="553" hidden="1">
      <c r="A553" s="93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19"/>
      <c r="P553" s="22"/>
      <c r="Q553" s="22"/>
      <c r="R553" s="22"/>
    </row>
    <row r="554" hidden="1">
      <c r="A554" s="93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19"/>
      <c r="P554" s="22"/>
      <c r="Q554" s="22"/>
      <c r="R554" s="22"/>
    </row>
    <row r="555" hidden="1">
      <c r="A555" s="93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19"/>
      <c r="P555" s="22"/>
      <c r="Q555" s="22"/>
      <c r="R555" s="22"/>
    </row>
    <row r="556" hidden="1">
      <c r="A556" s="93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19"/>
      <c r="P556" s="22"/>
      <c r="Q556" s="22"/>
      <c r="R556" s="22"/>
    </row>
    <row r="557" hidden="1">
      <c r="A557" s="93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19"/>
      <c r="P557" s="22"/>
      <c r="Q557" s="22"/>
      <c r="R557" s="22"/>
    </row>
    <row r="558" hidden="1">
      <c r="A558" s="93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19"/>
      <c r="P558" s="22"/>
      <c r="Q558" s="22"/>
      <c r="R558" s="22"/>
    </row>
    <row r="559" hidden="1">
      <c r="A559" s="93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19"/>
      <c r="P559" s="22"/>
      <c r="Q559" s="22"/>
      <c r="R559" s="22"/>
    </row>
    <row r="560" hidden="1">
      <c r="A560" s="93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19"/>
      <c r="P560" s="22"/>
      <c r="Q560" s="22"/>
      <c r="R560" s="22"/>
    </row>
    <row r="561" hidden="1">
      <c r="A561" s="93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19"/>
      <c r="P561" s="22"/>
      <c r="Q561" s="22"/>
      <c r="R561" s="22"/>
    </row>
    <row r="562" hidden="1">
      <c r="A562" s="93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19"/>
      <c r="P562" s="22"/>
      <c r="Q562" s="22"/>
      <c r="R562" s="22"/>
    </row>
    <row r="563" hidden="1">
      <c r="A563" s="93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19"/>
      <c r="P563" s="22"/>
      <c r="Q563" s="22"/>
      <c r="R563" s="22"/>
    </row>
    <row r="564" hidden="1">
      <c r="A564" s="93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19"/>
      <c r="P564" s="22"/>
      <c r="Q564" s="22"/>
      <c r="R564" s="22"/>
    </row>
    <row r="565" hidden="1">
      <c r="A565" s="93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19"/>
      <c r="P565" s="22"/>
      <c r="Q565" s="22"/>
      <c r="R565" s="22"/>
    </row>
    <row r="566" hidden="1">
      <c r="A566" s="93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19"/>
      <c r="P566" s="22"/>
      <c r="Q566" s="22"/>
      <c r="R566" s="22"/>
    </row>
    <row r="567" hidden="1">
      <c r="A567" s="93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19"/>
      <c r="P567" s="22"/>
      <c r="Q567" s="22"/>
      <c r="R567" s="22"/>
    </row>
    <row r="568" hidden="1">
      <c r="A568" s="93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19"/>
      <c r="P568" s="22"/>
      <c r="Q568" s="22"/>
      <c r="R568" s="22"/>
    </row>
    <row r="569" hidden="1">
      <c r="A569" s="93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19"/>
      <c r="P569" s="22"/>
      <c r="Q569" s="22"/>
      <c r="R569" s="22"/>
    </row>
    <row r="570" hidden="1">
      <c r="A570" s="93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19"/>
      <c r="P570" s="22"/>
      <c r="Q570" s="22"/>
      <c r="R570" s="22"/>
    </row>
    <row r="571" hidden="1">
      <c r="A571" s="93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19"/>
      <c r="P571" s="22"/>
      <c r="Q571" s="22"/>
      <c r="R571" s="22"/>
    </row>
    <row r="572" hidden="1">
      <c r="A572" s="93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19"/>
      <c r="P572" s="22"/>
      <c r="Q572" s="22"/>
      <c r="R572" s="22"/>
    </row>
    <row r="573" hidden="1">
      <c r="A573" s="93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19"/>
      <c r="P573" s="22"/>
      <c r="Q573" s="22"/>
      <c r="R573" s="22"/>
    </row>
    <row r="574" hidden="1">
      <c r="A574" s="93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19"/>
      <c r="P574" s="22"/>
      <c r="Q574" s="22"/>
      <c r="R574" s="22"/>
    </row>
    <row r="575" hidden="1">
      <c r="A575" s="93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19"/>
      <c r="P575" s="22"/>
      <c r="Q575" s="22"/>
      <c r="R575" s="22"/>
    </row>
    <row r="576" hidden="1">
      <c r="A576" s="93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19"/>
      <c r="P576" s="22"/>
      <c r="Q576" s="22"/>
      <c r="R576" s="22"/>
    </row>
    <row r="577" hidden="1">
      <c r="A577" s="93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19"/>
      <c r="P577" s="22"/>
      <c r="Q577" s="22"/>
      <c r="R577" s="22"/>
    </row>
    <row r="578" hidden="1">
      <c r="A578" s="93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19"/>
      <c r="P578" s="22"/>
      <c r="Q578" s="22"/>
      <c r="R578" s="22"/>
    </row>
    <row r="579" hidden="1">
      <c r="A579" s="93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19"/>
      <c r="P579" s="22"/>
      <c r="Q579" s="22"/>
      <c r="R579" s="22"/>
    </row>
    <row r="580" hidden="1">
      <c r="A580" s="93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19"/>
      <c r="P580" s="22"/>
      <c r="Q580" s="22"/>
      <c r="R580" s="22"/>
    </row>
    <row r="581" hidden="1">
      <c r="A581" s="93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19"/>
      <c r="P581" s="22"/>
      <c r="Q581" s="22"/>
      <c r="R581" s="22"/>
    </row>
    <row r="582" hidden="1">
      <c r="A582" s="93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19"/>
      <c r="P582" s="22"/>
      <c r="Q582" s="22"/>
      <c r="R582" s="22"/>
    </row>
    <row r="583" hidden="1">
      <c r="A583" s="93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19"/>
      <c r="P583" s="22"/>
      <c r="Q583" s="22"/>
      <c r="R583" s="22"/>
    </row>
    <row r="584" hidden="1">
      <c r="A584" s="93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19"/>
      <c r="P584" s="22"/>
      <c r="Q584" s="22"/>
      <c r="R584" s="22"/>
    </row>
    <row r="585" hidden="1">
      <c r="A585" s="93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19"/>
      <c r="P585" s="22"/>
      <c r="Q585" s="22"/>
      <c r="R585" s="22"/>
    </row>
    <row r="586" hidden="1">
      <c r="A586" s="93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19"/>
      <c r="P586" s="22"/>
      <c r="Q586" s="22"/>
      <c r="R586" s="22"/>
    </row>
    <row r="587" hidden="1">
      <c r="A587" s="93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19"/>
      <c r="P587" s="22"/>
      <c r="Q587" s="22"/>
      <c r="R587" s="22"/>
    </row>
    <row r="588" hidden="1">
      <c r="A588" s="93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19"/>
      <c r="P588" s="22"/>
      <c r="Q588" s="22"/>
      <c r="R588" s="22"/>
    </row>
    <row r="589" hidden="1">
      <c r="A589" s="93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19"/>
      <c r="P589" s="22"/>
      <c r="Q589" s="22"/>
      <c r="R589" s="22"/>
    </row>
    <row r="590" hidden="1">
      <c r="A590" s="93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19"/>
      <c r="P590" s="22"/>
      <c r="Q590" s="22"/>
      <c r="R590" s="22"/>
    </row>
    <row r="591" hidden="1">
      <c r="A591" s="93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19"/>
      <c r="P591" s="22"/>
      <c r="Q591" s="22"/>
      <c r="R591" s="22"/>
    </row>
    <row r="592" hidden="1">
      <c r="A592" s="93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19"/>
      <c r="P592" s="22"/>
      <c r="Q592" s="22"/>
      <c r="R592" s="22"/>
    </row>
    <row r="593" hidden="1">
      <c r="A593" s="93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19"/>
      <c r="P593" s="22"/>
      <c r="Q593" s="22"/>
      <c r="R593" s="22"/>
    </row>
    <row r="594" hidden="1">
      <c r="A594" s="93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19"/>
      <c r="P594" s="22"/>
      <c r="Q594" s="22"/>
      <c r="R594" s="22"/>
    </row>
    <row r="595" hidden="1">
      <c r="A595" s="93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19"/>
      <c r="P595" s="22"/>
      <c r="Q595" s="22"/>
      <c r="R595" s="22"/>
    </row>
    <row r="596" hidden="1">
      <c r="A596" s="93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19"/>
      <c r="P596" s="22"/>
      <c r="Q596" s="22"/>
      <c r="R596" s="22"/>
    </row>
    <row r="597" hidden="1">
      <c r="A597" s="93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19"/>
      <c r="P597" s="22"/>
      <c r="Q597" s="22"/>
      <c r="R597" s="22"/>
    </row>
    <row r="598" hidden="1">
      <c r="A598" s="93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19"/>
      <c r="P598" s="22"/>
      <c r="Q598" s="22"/>
      <c r="R598" s="22"/>
    </row>
    <row r="599" hidden="1">
      <c r="A599" s="93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19"/>
      <c r="P599" s="22"/>
      <c r="Q599" s="22"/>
      <c r="R599" s="22"/>
    </row>
    <row r="600" hidden="1">
      <c r="A600" s="93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19"/>
      <c r="P600" s="22"/>
      <c r="Q600" s="22"/>
      <c r="R600" s="22"/>
    </row>
    <row r="601" hidden="1">
      <c r="A601" s="93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19"/>
      <c r="P601" s="22"/>
      <c r="Q601" s="22"/>
      <c r="R601" s="22"/>
    </row>
    <row r="602" hidden="1">
      <c r="A602" s="93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19"/>
      <c r="P602" s="22"/>
      <c r="Q602" s="22"/>
      <c r="R602" s="22"/>
    </row>
    <row r="603" hidden="1">
      <c r="A603" s="93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19"/>
      <c r="P603" s="22"/>
      <c r="Q603" s="22"/>
      <c r="R603" s="22"/>
    </row>
    <row r="604" hidden="1">
      <c r="A604" s="93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19"/>
      <c r="P604" s="22"/>
      <c r="Q604" s="22"/>
      <c r="R604" s="22"/>
    </row>
    <row r="605" hidden="1">
      <c r="A605" s="93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19"/>
      <c r="P605" s="22"/>
      <c r="Q605" s="22"/>
      <c r="R605" s="22"/>
    </row>
    <row r="606" hidden="1">
      <c r="A606" s="93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19"/>
      <c r="P606" s="22"/>
      <c r="Q606" s="22"/>
      <c r="R606" s="22"/>
    </row>
    <row r="607" hidden="1">
      <c r="A607" s="93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19"/>
      <c r="P607" s="22"/>
      <c r="Q607" s="22"/>
      <c r="R607" s="22"/>
    </row>
    <row r="608" hidden="1">
      <c r="A608" s="93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19"/>
      <c r="P608" s="22"/>
      <c r="Q608" s="22"/>
      <c r="R608" s="22"/>
    </row>
    <row r="609" hidden="1">
      <c r="A609" s="93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19"/>
      <c r="P609" s="22"/>
      <c r="Q609" s="22"/>
      <c r="R609" s="22"/>
    </row>
    <row r="610" hidden="1">
      <c r="A610" s="93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19"/>
      <c r="P610" s="22"/>
      <c r="Q610" s="22"/>
      <c r="R610" s="22"/>
    </row>
    <row r="611" hidden="1">
      <c r="A611" s="93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19"/>
      <c r="P611" s="22"/>
      <c r="Q611" s="22"/>
      <c r="R611" s="22"/>
    </row>
    <row r="612" hidden="1">
      <c r="A612" s="93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19"/>
      <c r="P612" s="22"/>
      <c r="Q612" s="22"/>
      <c r="R612" s="22"/>
    </row>
    <row r="613" hidden="1">
      <c r="A613" s="93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19"/>
      <c r="P613" s="22"/>
      <c r="Q613" s="22"/>
      <c r="R613" s="22"/>
    </row>
    <row r="614" hidden="1">
      <c r="A614" s="93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19"/>
      <c r="P614" s="22"/>
      <c r="Q614" s="22"/>
      <c r="R614" s="22"/>
    </row>
    <row r="615" hidden="1">
      <c r="A615" s="93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19"/>
      <c r="P615" s="22"/>
      <c r="Q615" s="22"/>
      <c r="R615" s="22"/>
    </row>
    <row r="616" hidden="1">
      <c r="A616" s="93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19"/>
      <c r="P616" s="22"/>
      <c r="Q616" s="22"/>
      <c r="R616" s="22"/>
    </row>
    <row r="617" hidden="1">
      <c r="A617" s="93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19"/>
      <c r="P617" s="22"/>
      <c r="Q617" s="22"/>
      <c r="R617" s="22"/>
    </row>
    <row r="618" hidden="1">
      <c r="A618" s="93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19"/>
      <c r="P618" s="22"/>
      <c r="Q618" s="22"/>
      <c r="R618" s="22"/>
    </row>
    <row r="619" hidden="1">
      <c r="A619" s="93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19"/>
      <c r="P619" s="22"/>
      <c r="Q619" s="22"/>
      <c r="R619" s="22"/>
    </row>
    <row r="620" hidden="1">
      <c r="A620" s="93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19"/>
      <c r="P620" s="22"/>
      <c r="Q620" s="22"/>
      <c r="R620" s="22"/>
    </row>
    <row r="621" hidden="1">
      <c r="A621" s="93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19"/>
      <c r="P621" s="22"/>
      <c r="Q621" s="22"/>
      <c r="R621" s="22"/>
    </row>
    <row r="622" hidden="1">
      <c r="A622" s="93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19"/>
      <c r="P622" s="22"/>
      <c r="Q622" s="22"/>
      <c r="R622" s="22"/>
    </row>
    <row r="623" hidden="1">
      <c r="A623" s="93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19"/>
      <c r="P623" s="22"/>
      <c r="Q623" s="22"/>
      <c r="R623" s="22"/>
    </row>
    <row r="624" hidden="1">
      <c r="A624" s="93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19"/>
      <c r="P624" s="22"/>
      <c r="Q624" s="22"/>
      <c r="R624" s="22"/>
    </row>
    <row r="625" hidden="1">
      <c r="A625" s="93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19"/>
      <c r="P625" s="22"/>
      <c r="Q625" s="22"/>
      <c r="R625" s="22"/>
    </row>
    <row r="626" hidden="1">
      <c r="A626" s="93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19"/>
      <c r="P626" s="22"/>
      <c r="Q626" s="22"/>
      <c r="R626" s="22"/>
    </row>
    <row r="627" hidden="1">
      <c r="A627" s="93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19"/>
      <c r="P627" s="22"/>
      <c r="Q627" s="22"/>
      <c r="R627" s="22"/>
    </row>
    <row r="628" hidden="1">
      <c r="A628" s="93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19"/>
      <c r="P628" s="22"/>
      <c r="Q628" s="22"/>
      <c r="R628" s="22"/>
    </row>
    <row r="629" hidden="1">
      <c r="A629" s="93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19"/>
      <c r="P629" s="22"/>
      <c r="Q629" s="22"/>
      <c r="R629" s="22"/>
    </row>
    <row r="630" hidden="1">
      <c r="A630" s="93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19"/>
      <c r="P630" s="22"/>
      <c r="Q630" s="22"/>
      <c r="R630" s="22"/>
    </row>
    <row r="631" hidden="1">
      <c r="A631" s="93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19"/>
      <c r="P631" s="22"/>
      <c r="Q631" s="22"/>
      <c r="R631" s="22"/>
    </row>
    <row r="632" hidden="1">
      <c r="A632" s="93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19"/>
      <c r="P632" s="22"/>
      <c r="Q632" s="22"/>
      <c r="R632" s="22"/>
    </row>
    <row r="633" hidden="1">
      <c r="A633" s="93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19"/>
      <c r="P633" s="22"/>
      <c r="Q633" s="22"/>
      <c r="R633" s="22"/>
    </row>
    <row r="634" hidden="1">
      <c r="A634" s="93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19"/>
      <c r="P634" s="22"/>
      <c r="Q634" s="22"/>
      <c r="R634" s="22"/>
    </row>
    <row r="635" hidden="1">
      <c r="A635" s="93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19"/>
      <c r="P635" s="22"/>
      <c r="Q635" s="22"/>
      <c r="R635" s="22"/>
    </row>
    <row r="636" hidden="1">
      <c r="A636" s="93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19"/>
      <c r="P636" s="22"/>
      <c r="Q636" s="22"/>
      <c r="R636" s="22"/>
    </row>
    <row r="637" hidden="1">
      <c r="A637" s="93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19"/>
      <c r="P637" s="22"/>
      <c r="Q637" s="22"/>
      <c r="R637" s="22"/>
    </row>
    <row r="638" hidden="1">
      <c r="A638" s="93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19"/>
      <c r="P638" s="22"/>
      <c r="Q638" s="22"/>
      <c r="R638" s="22"/>
    </row>
    <row r="639" hidden="1">
      <c r="A639" s="93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19"/>
      <c r="P639" s="22"/>
      <c r="Q639" s="22"/>
      <c r="R639" s="22"/>
    </row>
    <row r="640" hidden="1">
      <c r="A640" s="93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19"/>
      <c r="P640" s="22"/>
      <c r="Q640" s="22"/>
      <c r="R640" s="22"/>
    </row>
    <row r="641" hidden="1">
      <c r="A641" s="93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19"/>
      <c r="P641" s="22"/>
      <c r="Q641" s="22"/>
      <c r="R641" s="22"/>
    </row>
    <row r="642" hidden="1">
      <c r="A642" s="93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19"/>
      <c r="P642" s="22"/>
      <c r="Q642" s="22"/>
      <c r="R642" s="22"/>
    </row>
    <row r="643" hidden="1">
      <c r="A643" s="93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19"/>
      <c r="P643" s="22"/>
      <c r="Q643" s="22"/>
      <c r="R643" s="22"/>
    </row>
    <row r="644" hidden="1">
      <c r="A644" s="93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19"/>
      <c r="P644" s="22"/>
      <c r="Q644" s="22"/>
      <c r="R644" s="22"/>
    </row>
    <row r="645" hidden="1">
      <c r="A645" s="93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19"/>
      <c r="P645" s="22"/>
      <c r="Q645" s="22"/>
      <c r="R645" s="22"/>
    </row>
    <row r="646" hidden="1">
      <c r="A646" s="93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19"/>
      <c r="P646" s="22"/>
      <c r="Q646" s="22"/>
      <c r="R646" s="22"/>
    </row>
    <row r="647" hidden="1">
      <c r="A647" s="93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19"/>
      <c r="P647" s="22"/>
      <c r="Q647" s="22"/>
      <c r="R647" s="22"/>
    </row>
    <row r="648" hidden="1">
      <c r="A648" s="93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19"/>
      <c r="P648" s="22"/>
      <c r="Q648" s="22"/>
      <c r="R648" s="22"/>
    </row>
    <row r="649" hidden="1">
      <c r="A649" s="93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19"/>
      <c r="P649" s="22"/>
      <c r="Q649" s="22"/>
      <c r="R649" s="22"/>
    </row>
    <row r="650" hidden="1">
      <c r="A650" s="93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19"/>
      <c r="P650" s="22"/>
      <c r="Q650" s="22"/>
      <c r="R650" s="22"/>
    </row>
    <row r="651" hidden="1">
      <c r="A651" s="93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19"/>
      <c r="P651" s="22"/>
      <c r="Q651" s="22"/>
      <c r="R651" s="22"/>
    </row>
    <row r="652" hidden="1">
      <c r="A652" s="93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19"/>
      <c r="P652" s="22"/>
      <c r="Q652" s="22"/>
      <c r="R652" s="22"/>
    </row>
    <row r="653" hidden="1">
      <c r="A653" s="93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19"/>
      <c r="P653" s="22"/>
      <c r="Q653" s="22"/>
      <c r="R653" s="22"/>
    </row>
    <row r="654" hidden="1">
      <c r="A654" s="93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19"/>
      <c r="P654" s="22"/>
      <c r="Q654" s="22"/>
      <c r="R654" s="22"/>
    </row>
    <row r="655" hidden="1">
      <c r="A655" s="93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19"/>
      <c r="P655" s="22"/>
      <c r="Q655" s="22"/>
      <c r="R655" s="22"/>
    </row>
    <row r="656" hidden="1">
      <c r="A656" s="93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19"/>
      <c r="P656" s="22"/>
      <c r="Q656" s="22"/>
      <c r="R656" s="22"/>
    </row>
    <row r="657" hidden="1">
      <c r="A657" s="93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19"/>
      <c r="P657" s="22"/>
      <c r="Q657" s="22"/>
      <c r="R657" s="22"/>
    </row>
    <row r="658" hidden="1">
      <c r="A658" s="93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19"/>
      <c r="P658" s="22"/>
      <c r="Q658" s="22"/>
      <c r="R658" s="22"/>
    </row>
    <row r="659" hidden="1">
      <c r="A659" s="93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19"/>
      <c r="P659" s="22"/>
      <c r="Q659" s="22"/>
      <c r="R659" s="22"/>
    </row>
    <row r="660" hidden="1">
      <c r="A660" s="93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19"/>
      <c r="P660" s="22"/>
      <c r="Q660" s="22"/>
      <c r="R660" s="22"/>
    </row>
    <row r="661" hidden="1">
      <c r="A661" s="93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19"/>
      <c r="P661" s="22"/>
      <c r="Q661" s="22"/>
      <c r="R661" s="22"/>
    </row>
    <row r="662" hidden="1">
      <c r="A662" s="93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19"/>
      <c r="P662" s="22"/>
      <c r="Q662" s="22"/>
      <c r="R662" s="22"/>
    </row>
    <row r="663" hidden="1">
      <c r="A663" s="93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19"/>
      <c r="P663" s="22"/>
      <c r="Q663" s="22"/>
      <c r="R663" s="22"/>
    </row>
    <row r="664" hidden="1">
      <c r="A664" s="93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19"/>
      <c r="P664" s="22"/>
      <c r="Q664" s="22"/>
      <c r="R664" s="22"/>
    </row>
    <row r="665" hidden="1">
      <c r="A665" s="93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19"/>
      <c r="P665" s="22"/>
      <c r="Q665" s="22"/>
      <c r="R665" s="22"/>
    </row>
    <row r="666" hidden="1">
      <c r="A666" s="93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19"/>
      <c r="P666" s="22"/>
      <c r="Q666" s="22"/>
      <c r="R666" s="22"/>
    </row>
    <row r="667" hidden="1">
      <c r="A667" s="93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19"/>
      <c r="P667" s="22"/>
      <c r="Q667" s="22"/>
      <c r="R667" s="22"/>
    </row>
    <row r="668" hidden="1">
      <c r="A668" s="93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19"/>
      <c r="P668" s="22"/>
      <c r="Q668" s="22"/>
      <c r="R668" s="22"/>
    </row>
    <row r="669" hidden="1">
      <c r="A669" s="93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19"/>
      <c r="P669" s="22"/>
      <c r="Q669" s="22"/>
      <c r="R669" s="22"/>
    </row>
    <row r="670" hidden="1">
      <c r="A670" s="93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19"/>
      <c r="P670" s="22"/>
      <c r="Q670" s="22"/>
      <c r="R670" s="22"/>
    </row>
    <row r="671" hidden="1">
      <c r="A671" s="93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19"/>
      <c r="P671" s="22"/>
      <c r="Q671" s="22"/>
      <c r="R671" s="22"/>
    </row>
    <row r="672" hidden="1">
      <c r="A672" s="93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19"/>
      <c r="P672" s="22"/>
      <c r="Q672" s="22"/>
      <c r="R672" s="22"/>
    </row>
    <row r="673" hidden="1">
      <c r="A673" s="93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19"/>
      <c r="P673" s="22"/>
      <c r="Q673" s="22"/>
      <c r="R673" s="22"/>
    </row>
    <row r="674" hidden="1">
      <c r="A674" s="93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19"/>
      <c r="P674" s="22"/>
      <c r="Q674" s="22"/>
      <c r="R674" s="22"/>
    </row>
    <row r="675" hidden="1">
      <c r="A675" s="93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19"/>
      <c r="P675" s="22"/>
      <c r="Q675" s="22"/>
      <c r="R675" s="22"/>
    </row>
    <row r="676" hidden="1">
      <c r="A676" s="93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19"/>
      <c r="P676" s="22"/>
      <c r="Q676" s="22"/>
      <c r="R676" s="22"/>
    </row>
    <row r="677" hidden="1">
      <c r="A677" s="93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19"/>
      <c r="P677" s="22"/>
      <c r="Q677" s="22"/>
      <c r="R677" s="22"/>
    </row>
    <row r="678" hidden="1">
      <c r="A678" s="93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19"/>
      <c r="P678" s="22"/>
      <c r="Q678" s="22"/>
      <c r="R678" s="22"/>
    </row>
    <row r="679" hidden="1">
      <c r="A679" s="93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19"/>
      <c r="P679" s="22"/>
      <c r="Q679" s="22"/>
      <c r="R679" s="22"/>
    </row>
    <row r="680" hidden="1">
      <c r="A680" s="93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19"/>
      <c r="P680" s="22"/>
      <c r="Q680" s="22"/>
      <c r="R680" s="22"/>
    </row>
    <row r="681" hidden="1">
      <c r="A681" s="93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19"/>
      <c r="P681" s="22"/>
      <c r="Q681" s="22"/>
      <c r="R681" s="22"/>
    </row>
    <row r="682" hidden="1">
      <c r="A682" s="93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19"/>
      <c r="P682" s="22"/>
      <c r="Q682" s="22"/>
      <c r="R682" s="22"/>
    </row>
    <row r="683" hidden="1">
      <c r="A683" s="93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19"/>
      <c r="P683" s="22"/>
      <c r="Q683" s="22"/>
      <c r="R683" s="22"/>
    </row>
    <row r="684" hidden="1">
      <c r="A684" s="93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19"/>
      <c r="P684" s="22"/>
      <c r="Q684" s="22"/>
      <c r="R684" s="22"/>
    </row>
    <row r="685" hidden="1">
      <c r="A685" s="93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19"/>
      <c r="P685" s="22"/>
      <c r="Q685" s="22"/>
      <c r="R685" s="22"/>
    </row>
    <row r="686" hidden="1">
      <c r="A686" s="93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19"/>
      <c r="P686" s="22"/>
      <c r="Q686" s="22"/>
      <c r="R686" s="22"/>
    </row>
    <row r="687" hidden="1">
      <c r="A687" s="93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19"/>
      <c r="P687" s="22"/>
      <c r="Q687" s="22"/>
      <c r="R687" s="22"/>
    </row>
    <row r="688" hidden="1">
      <c r="A688" s="93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19"/>
      <c r="P688" s="22"/>
      <c r="Q688" s="22"/>
      <c r="R688" s="22"/>
    </row>
    <row r="689" hidden="1">
      <c r="A689" s="93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19"/>
      <c r="P689" s="22"/>
      <c r="Q689" s="22"/>
      <c r="R689" s="22"/>
    </row>
    <row r="690" hidden="1">
      <c r="A690" s="93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19"/>
      <c r="P690" s="22"/>
      <c r="Q690" s="22"/>
      <c r="R690" s="22"/>
    </row>
    <row r="691" hidden="1">
      <c r="A691" s="93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19"/>
      <c r="P691" s="22"/>
      <c r="Q691" s="22"/>
      <c r="R691" s="22"/>
    </row>
    <row r="692" hidden="1">
      <c r="A692" s="93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19"/>
      <c r="P692" s="22"/>
      <c r="Q692" s="22"/>
      <c r="R692" s="22"/>
    </row>
    <row r="693" hidden="1">
      <c r="A693" s="93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19"/>
      <c r="P693" s="22"/>
      <c r="Q693" s="22"/>
      <c r="R693" s="22"/>
    </row>
    <row r="694" hidden="1">
      <c r="A694" s="93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19"/>
      <c r="P694" s="22"/>
      <c r="Q694" s="22"/>
      <c r="R694" s="22"/>
    </row>
    <row r="695" hidden="1">
      <c r="A695" s="93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19"/>
      <c r="P695" s="22"/>
      <c r="Q695" s="22"/>
      <c r="R695" s="22"/>
    </row>
    <row r="696" hidden="1">
      <c r="A696" s="93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19"/>
      <c r="P696" s="22"/>
      <c r="Q696" s="22"/>
      <c r="R696" s="22"/>
    </row>
    <row r="697" hidden="1">
      <c r="A697" s="93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19"/>
      <c r="P697" s="22"/>
      <c r="Q697" s="22"/>
      <c r="R697" s="22"/>
    </row>
    <row r="698" hidden="1">
      <c r="A698" s="93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19"/>
      <c r="P698" s="22"/>
      <c r="Q698" s="22"/>
      <c r="R698" s="22"/>
    </row>
    <row r="699" hidden="1">
      <c r="A699" s="93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19"/>
      <c r="P699" s="22"/>
      <c r="Q699" s="22"/>
      <c r="R699" s="22"/>
    </row>
    <row r="700" hidden="1">
      <c r="A700" s="93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19"/>
      <c r="P700" s="22"/>
      <c r="Q700" s="22"/>
      <c r="R700" s="22"/>
    </row>
    <row r="701" hidden="1">
      <c r="A701" s="93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19"/>
      <c r="P701" s="22"/>
      <c r="Q701" s="22"/>
      <c r="R701" s="22"/>
    </row>
    <row r="702" hidden="1">
      <c r="A702" s="93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19"/>
      <c r="P702" s="22"/>
      <c r="Q702" s="22"/>
      <c r="R702" s="22"/>
    </row>
    <row r="703" hidden="1">
      <c r="A703" s="93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19"/>
      <c r="P703" s="22"/>
      <c r="Q703" s="22"/>
      <c r="R703" s="22"/>
    </row>
    <row r="704" hidden="1">
      <c r="A704" s="93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19"/>
      <c r="P704" s="22"/>
      <c r="Q704" s="22"/>
      <c r="R704" s="22"/>
    </row>
    <row r="705" hidden="1">
      <c r="A705" s="93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19"/>
      <c r="P705" s="22"/>
      <c r="Q705" s="22"/>
      <c r="R705" s="22"/>
    </row>
    <row r="706" hidden="1">
      <c r="A706" s="93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19"/>
      <c r="P706" s="22"/>
      <c r="Q706" s="22"/>
      <c r="R706" s="22"/>
    </row>
    <row r="707" hidden="1">
      <c r="A707" s="93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19"/>
      <c r="P707" s="22"/>
      <c r="Q707" s="22"/>
      <c r="R707" s="22"/>
    </row>
    <row r="708" hidden="1">
      <c r="A708" s="93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19"/>
      <c r="P708" s="22"/>
      <c r="Q708" s="22"/>
      <c r="R708" s="22"/>
    </row>
    <row r="709" hidden="1">
      <c r="A709" s="93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19"/>
      <c r="P709" s="22"/>
      <c r="Q709" s="22"/>
      <c r="R709" s="22"/>
    </row>
    <row r="710" hidden="1">
      <c r="A710" s="93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19"/>
      <c r="P710" s="22"/>
      <c r="Q710" s="22"/>
      <c r="R710" s="22"/>
    </row>
    <row r="711" hidden="1">
      <c r="A711" s="93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19"/>
      <c r="P711" s="22"/>
      <c r="Q711" s="22"/>
      <c r="R711" s="22"/>
    </row>
    <row r="712" hidden="1">
      <c r="A712" s="93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19"/>
      <c r="P712" s="22"/>
      <c r="Q712" s="22"/>
      <c r="R712" s="22"/>
    </row>
    <row r="713" hidden="1">
      <c r="A713" s="93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19"/>
      <c r="P713" s="22"/>
      <c r="Q713" s="22"/>
      <c r="R713" s="22"/>
    </row>
    <row r="714" hidden="1">
      <c r="A714" s="93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19"/>
      <c r="P714" s="22"/>
      <c r="Q714" s="22"/>
      <c r="R714" s="22"/>
    </row>
    <row r="715" hidden="1">
      <c r="A715" s="93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19"/>
      <c r="P715" s="22"/>
      <c r="Q715" s="22"/>
      <c r="R715" s="22"/>
    </row>
    <row r="716" hidden="1">
      <c r="A716" s="93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19"/>
      <c r="P716" s="22"/>
      <c r="Q716" s="22"/>
      <c r="R716" s="22"/>
    </row>
    <row r="717" hidden="1">
      <c r="A717" s="93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19"/>
      <c r="P717" s="22"/>
      <c r="Q717" s="22"/>
      <c r="R717" s="22"/>
    </row>
    <row r="718" hidden="1">
      <c r="A718" s="93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19"/>
      <c r="P718" s="22"/>
      <c r="Q718" s="22"/>
      <c r="R718" s="22"/>
    </row>
    <row r="719" hidden="1">
      <c r="A719" s="93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19"/>
      <c r="P719" s="22"/>
      <c r="Q719" s="22"/>
      <c r="R719" s="22"/>
    </row>
    <row r="720" hidden="1">
      <c r="A720" s="93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19"/>
      <c r="P720" s="22"/>
      <c r="Q720" s="22"/>
      <c r="R720" s="22"/>
    </row>
    <row r="721" hidden="1">
      <c r="A721" s="93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19"/>
      <c r="P721" s="22"/>
      <c r="Q721" s="22"/>
      <c r="R721" s="22"/>
    </row>
    <row r="722" hidden="1">
      <c r="A722" s="93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19"/>
      <c r="P722" s="22"/>
      <c r="Q722" s="22"/>
      <c r="R722" s="22"/>
    </row>
    <row r="723" hidden="1">
      <c r="A723" s="93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19"/>
      <c r="P723" s="22"/>
      <c r="Q723" s="22"/>
      <c r="R723" s="22"/>
    </row>
    <row r="724" hidden="1">
      <c r="A724" s="93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19"/>
      <c r="P724" s="22"/>
      <c r="Q724" s="22"/>
      <c r="R724" s="22"/>
    </row>
    <row r="725" hidden="1">
      <c r="A725" s="93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19"/>
      <c r="P725" s="22"/>
      <c r="Q725" s="22"/>
      <c r="R725" s="22"/>
    </row>
    <row r="726" hidden="1">
      <c r="A726" s="93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19"/>
      <c r="P726" s="22"/>
      <c r="Q726" s="22"/>
      <c r="R726" s="22"/>
    </row>
    <row r="727" hidden="1">
      <c r="A727" s="93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19"/>
      <c r="P727" s="22"/>
      <c r="Q727" s="22"/>
      <c r="R727" s="22"/>
    </row>
    <row r="728" hidden="1">
      <c r="A728" s="93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19"/>
      <c r="P728" s="22"/>
      <c r="Q728" s="22"/>
      <c r="R728" s="22"/>
    </row>
    <row r="729" hidden="1">
      <c r="A729" s="93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19"/>
      <c r="P729" s="22"/>
      <c r="Q729" s="22"/>
      <c r="R729" s="22"/>
    </row>
    <row r="730" hidden="1">
      <c r="A730" s="93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19"/>
      <c r="P730" s="22"/>
      <c r="Q730" s="22"/>
      <c r="R730" s="22"/>
    </row>
    <row r="731" hidden="1">
      <c r="A731" s="93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19"/>
      <c r="P731" s="22"/>
      <c r="Q731" s="22"/>
      <c r="R731" s="22"/>
    </row>
    <row r="732" hidden="1">
      <c r="A732" s="93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19"/>
      <c r="P732" s="22"/>
      <c r="Q732" s="22"/>
      <c r="R732" s="22"/>
    </row>
    <row r="733" hidden="1">
      <c r="A733" s="93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19"/>
      <c r="P733" s="22"/>
      <c r="Q733" s="22"/>
      <c r="R733" s="22"/>
    </row>
    <row r="734" hidden="1">
      <c r="A734" s="93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19"/>
      <c r="P734" s="22"/>
      <c r="Q734" s="22"/>
      <c r="R734" s="22"/>
    </row>
    <row r="735" hidden="1">
      <c r="A735" s="93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19"/>
      <c r="P735" s="22"/>
      <c r="Q735" s="22"/>
      <c r="R735" s="22"/>
    </row>
    <row r="736" hidden="1">
      <c r="A736" s="93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19"/>
      <c r="P736" s="22"/>
      <c r="Q736" s="22"/>
      <c r="R736" s="22"/>
    </row>
    <row r="737" hidden="1">
      <c r="A737" s="93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19"/>
      <c r="P737" s="22"/>
      <c r="Q737" s="22"/>
      <c r="R737" s="22"/>
    </row>
    <row r="738" hidden="1">
      <c r="A738" s="93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19"/>
      <c r="P738" s="22"/>
      <c r="Q738" s="22"/>
      <c r="R738" s="22"/>
    </row>
    <row r="739" hidden="1">
      <c r="A739" s="93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19"/>
      <c r="P739" s="22"/>
      <c r="Q739" s="22"/>
      <c r="R739" s="22"/>
    </row>
    <row r="740" hidden="1">
      <c r="A740" s="93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19"/>
      <c r="P740" s="22"/>
      <c r="Q740" s="22"/>
      <c r="R740" s="22"/>
    </row>
    <row r="741" hidden="1">
      <c r="A741" s="93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19"/>
      <c r="P741" s="22"/>
      <c r="Q741" s="22"/>
      <c r="R741" s="22"/>
    </row>
    <row r="742" hidden="1">
      <c r="A742" s="93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19"/>
      <c r="P742" s="22"/>
      <c r="Q742" s="22"/>
      <c r="R742" s="22"/>
    </row>
    <row r="743" hidden="1">
      <c r="A743" s="93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19"/>
      <c r="P743" s="22"/>
      <c r="Q743" s="22"/>
      <c r="R743" s="22"/>
    </row>
    <row r="744" hidden="1">
      <c r="A744" s="93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19"/>
      <c r="P744" s="22"/>
      <c r="Q744" s="22"/>
      <c r="R744" s="22"/>
    </row>
    <row r="745" hidden="1">
      <c r="A745" s="93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19"/>
      <c r="P745" s="22"/>
      <c r="Q745" s="22"/>
      <c r="R745" s="22"/>
    </row>
    <row r="746" hidden="1">
      <c r="A746" s="93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19"/>
      <c r="P746" s="22"/>
      <c r="Q746" s="22"/>
      <c r="R746" s="22"/>
    </row>
    <row r="747" hidden="1">
      <c r="A747" s="93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19"/>
      <c r="P747" s="22"/>
      <c r="Q747" s="22"/>
      <c r="R747" s="22"/>
    </row>
    <row r="748" hidden="1">
      <c r="A748" s="93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19"/>
      <c r="P748" s="22"/>
      <c r="Q748" s="22"/>
      <c r="R748" s="22"/>
    </row>
    <row r="749" hidden="1">
      <c r="A749" s="93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19"/>
      <c r="P749" s="22"/>
      <c r="Q749" s="22"/>
      <c r="R749" s="22"/>
    </row>
    <row r="750" hidden="1">
      <c r="A750" s="93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19"/>
      <c r="P750" s="22"/>
      <c r="Q750" s="22"/>
      <c r="R750" s="22"/>
    </row>
    <row r="751" hidden="1">
      <c r="A751" s="93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19"/>
      <c r="P751" s="22"/>
      <c r="Q751" s="22"/>
      <c r="R751" s="22"/>
    </row>
    <row r="752" hidden="1">
      <c r="A752" s="93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19"/>
      <c r="P752" s="22"/>
      <c r="Q752" s="22"/>
      <c r="R752" s="22"/>
    </row>
    <row r="753" hidden="1">
      <c r="A753" s="93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19"/>
      <c r="P753" s="22"/>
      <c r="Q753" s="22"/>
      <c r="R753" s="22"/>
    </row>
    <row r="754" hidden="1">
      <c r="A754" s="93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19"/>
      <c r="P754" s="22"/>
      <c r="Q754" s="22"/>
      <c r="R754" s="22"/>
    </row>
    <row r="755" hidden="1">
      <c r="A755" s="93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19"/>
      <c r="P755" s="22"/>
      <c r="Q755" s="22"/>
      <c r="R755" s="22"/>
    </row>
    <row r="756" hidden="1">
      <c r="A756" s="93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19"/>
      <c r="P756" s="22"/>
      <c r="Q756" s="22"/>
      <c r="R756" s="22"/>
    </row>
    <row r="757" hidden="1">
      <c r="A757" s="93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19"/>
      <c r="P757" s="22"/>
      <c r="Q757" s="22"/>
      <c r="R757" s="22"/>
    </row>
    <row r="758" hidden="1">
      <c r="A758" s="93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19"/>
      <c r="P758" s="22"/>
      <c r="Q758" s="22"/>
      <c r="R758" s="22"/>
    </row>
    <row r="759" hidden="1">
      <c r="A759" s="93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19"/>
      <c r="P759" s="22"/>
      <c r="Q759" s="22"/>
      <c r="R759" s="22"/>
    </row>
    <row r="760" hidden="1">
      <c r="A760" s="93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19"/>
      <c r="P760" s="22"/>
      <c r="Q760" s="22"/>
      <c r="R760" s="22"/>
    </row>
    <row r="761" hidden="1">
      <c r="A761" s="93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19"/>
      <c r="P761" s="22"/>
      <c r="Q761" s="22"/>
      <c r="R761" s="22"/>
    </row>
    <row r="762" hidden="1">
      <c r="A762" s="93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19"/>
      <c r="P762" s="22"/>
      <c r="Q762" s="22"/>
      <c r="R762" s="22"/>
    </row>
    <row r="763" hidden="1">
      <c r="A763" s="93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19"/>
      <c r="P763" s="22"/>
      <c r="Q763" s="22"/>
      <c r="R763" s="22"/>
    </row>
    <row r="764" hidden="1">
      <c r="A764" s="93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19"/>
      <c r="P764" s="22"/>
      <c r="Q764" s="22"/>
      <c r="R764" s="22"/>
    </row>
    <row r="765" hidden="1">
      <c r="A765" s="93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19"/>
      <c r="P765" s="22"/>
      <c r="Q765" s="22"/>
      <c r="R765" s="22"/>
    </row>
    <row r="766" hidden="1">
      <c r="A766" s="93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19"/>
      <c r="P766" s="22"/>
      <c r="Q766" s="22"/>
      <c r="R766" s="22"/>
    </row>
    <row r="767" hidden="1">
      <c r="A767" s="93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19"/>
      <c r="P767" s="22"/>
      <c r="Q767" s="22"/>
      <c r="R767" s="22"/>
    </row>
    <row r="768" hidden="1">
      <c r="A768" s="93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19"/>
      <c r="P768" s="22"/>
      <c r="Q768" s="22"/>
      <c r="R768" s="22"/>
    </row>
    <row r="769" hidden="1">
      <c r="A769" s="93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19"/>
      <c r="P769" s="22"/>
      <c r="Q769" s="22"/>
      <c r="R769" s="22"/>
    </row>
    <row r="770" hidden="1">
      <c r="A770" s="93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19"/>
      <c r="P770" s="22"/>
      <c r="Q770" s="22"/>
      <c r="R770" s="22"/>
    </row>
    <row r="771" hidden="1">
      <c r="A771" s="93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19"/>
      <c r="P771" s="22"/>
      <c r="Q771" s="22"/>
      <c r="R771" s="22"/>
    </row>
    <row r="772" hidden="1">
      <c r="A772" s="93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19"/>
      <c r="P772" s="22"/>
      <c r="Q772" s="22"/>
      <c r="R772" s="22"/>
    </row>
    <row r="773" hidden="1">
      <c r="A773" s="93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19"/>
      <c r="P773" s="22"/>
      <c r="Q773" s="22"/>
      <c r="R773" s="22"/>
    </row>
    <row r="774" hidden="1">
      <c r="A774" s="93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19"/>
      <c r="P774" s="22"/>
      <c r="Q774" s="22"/>
      <c r="R774" s="22"/>
    </row>
    <row r="775" hidden="1">
      <c r="A775" s="93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19"/>
      <c r="P775" s="22"/>
      <c r="Q775" s="22"/>
      <c r="R775" s="22"/>
    </row>
    <row r="776" hidden="1">
      <c r="A776" s="93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19"/>
      <c r="P776" s="22"/>
      <c r="Q776" s="22"/>
      <c r="R776" s="22"/>
    </row>
    <row r="777" hidden="1">
      <c r="A777" s="93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19"/>
      <c r="P777" s="22"/>
      <c r="Q777" s="22"/>
      <c r="R777" s="22"/>
    </row>
    <row r="778" hidden="1">
      <c r="A778" s="93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19"/>
      <c r="P778" s="22"/>
      <c r="Q778" s="22"/>
      <c r="R778" s="22"/>
    </row>
    <row r="779" hidden="1">
      <c r="A779" s="93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19"/>
      <c r="P779" s="22"/>
      <c r="Q779" s="22"/>
      <c r="R779" s="22"/>
    </row>
    <row r="780" hidden="1">
      <c r="A780" s="93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19"/>
      <c r="P780" s="22"/>
      <c r="Q780" s="22"/>
      <c r="R780" s="22"/>
    </row>
    <row r="781" hidden="1">
      <c r="A781" s="93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19"/>
      <c r="P781" s="22"/>
      <c r="Q781" s="22"/>
      <c r="R781" s="22"/>
    </row>
    <row r="782" hidden="1">
      <c r="A782" s="93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19"/>
      <c r="P782" s="22"/>
      <c r="Q782" s="22"/>
      <c r="R782" s="22"/>
    </row>
    <row r="783" hidden="1">
      <c r="A783" s="93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19"/>
      <c r="P783" s="22"/>
      <c r="Q783" s="22"/>
      <c r="R783" s="22"/>
    </row>
    <row r="784" hidden="1">
      <c r="A784" s="93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19"/>
      <c r="P784" s="22"/>
      <c r="Q784" s="22"/>
      <c r="R784" s="22"/>
    </row>
    <row r="785" hidden="1">
      <c r="A785" s="93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19"/>
      <c r="P785" s="22"/>
      <c r="Q785" s="22"/>
      <c r="R785" s="22"/>
    </row>
    <row r="786" hidden="1">
      <c r="A786" s="93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19"/>
      <c r="P786" s="22"/>
      <c r="Q786" s="22"/>
      <c r="R786" s="22"/>
    </row>
    <row r="787" hidden="1">
      <c r="A787" s="93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19"/>
      <c r="P787" s="22"/>
      <c r="Q787" s="22"/>
      <c r="R787" s="22"/>
    </row>
    <row r="788" hidden="1">
      <c r="A788" s="93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19"/>
      <c r="P788" s="22"/>
      <c r="Q788" s="22"/>
      <c r="R788" s="22"/>
    </row>
    <row r="789" hidden="1">
      <c r="A789" s="93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19"/>
      <c r="P789" s="22"/>
      <c r="Q789" s="22"/>
      <c r="R789" s="22"/>
    </row>
    <row r="790" hidden="1">
      <c r="A790" s="93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19"/>
      <c r="P790" s="22"/>
      <c r="Q790" s="22"/>
      <c r="R790" s="22"/>
    </row>
    <row r="791" hidden="1">
      <c r="A791" s="93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19"/>
      <c r="P791" s="22"/>
      <c r="Q791" s="22"/>
      <c r="R791" s="22"/>
    </row>
    <row r="792" hidden="1">
      <c r="A792" s="93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19"/>
      <c r="P792" s="22"/>
      <c r="Q792" s="22"/>
      <c r="R792" s="22"/>
    </row>
    <row r="793" hidden="1">
      <c r="A793" s="93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19"/>
      <c r="P793" s="22"/>
      <c r="Q793" s="22"/>
      <c r="R793" s="22"/>
    </row>
    <row r="794" hidden="1">
      <c r="A794" s="93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19"/>
      <c r="P794" s="22"/>
      <c r="Q794" s="22"/>
      <c r="R794" s="22"/>
    </row>
    <row r="795" hidden="1">
      <c r="A795" s="93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19"/>
      <c r="P795" s="22"/>
      <c r="Q795" s="22"/>
      <c r="R795" s="22"/>
    </row>
    <row r="796" hidden="1">
      <c r="A796" s="93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19"/>
      <c r="P796" s="22"/>
      <c r="Q796" s="22"/>
      <c r="R796" s="22"/>
    </row>
    <row r="797" hidden="1">
      <c r="A797" s="93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19"/>
      <c r="P797" s="22"/>
      <c r="Q797" s="22"/>
      <c r="R797" s="22"/>
    </row>
    <row r="798" hidden="1">
      <c r="A798" s="93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19"/>
      <c r="P798" s="22"/>
      <c r="Q798" s="22"/>
      <c r="R798" s="22"/>
    </row>
    <row r="799" hidden="1">
      <c r="A799" s="93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19"/>
      <c r="P799" s="22"/>
      <c r="Q799" s="22"/>
      <c r="R799" s="22"/>
    </row>
    <row r="800" hidden="1">
      <c r="A800" s="93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19"/>
      <c r="P800" s="22"/>
      <c r="Q800" s="22"/>
      <c r="R800" s="22"/>
    </row>
    <row r="801" hidden="1">
      <c r="A801" s="93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19"/>
      <c r="P801" s="22"/>
      <c r="Q801" s="22"/>
      <c r="R801" s="22"/>
    </row>
    <row r="802" hidden="1">
      <c r="A802" s="93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19"/>
      <c r="P802" s="22"/>
      <c r="Q802" s="22"/>
      <c r="R802" s="22"/>
    </row>
    <row r="803" hidden="1">
      <c r="A803" s="93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19"/>
      <c r="P803" s="22"/>
      <c r="Q803" s="22"/>
      <c r="R803" s="22"/>
    </row>
    <row r="804" hidden="1">
      <c r="A804" s="93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19"/>
      <c r="P804" s="22"/>
      <c r="Q804" s="22"/>
      <c r="R804" s="22"/>
    </row>
    <row r="805" hidden="1">
      <c r="A805" s="93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19"/>
      <c r="P805" s="22"/>
      <c r="Q805" s="22"/>
      <c r="R805" s="22"/>
    </row>
    <row r="806" hidden="1">
      <c r="A806" s="93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19"/>
      <c r="P806" s="22"/>
      <c r="Q806" s="22"/>
      <c r="R806" s="22"/>
    </row>
    <row r="807" hidden="1">
      <c r="A807" s="93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19"/>
      <c r="P807" s="22"/>
      <c r="Q807" s="22"/>
      <c r="R807" s="22"/>
    </row>
    <row r="808" hidden="1">
      <c r="A808" s="93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19"/>
      <c r="P808" s="22"/>
      <c r="Q808" s="22"/>
      <c r="R808" s="22"/>
    </row>
    <row r="809" hidden="1">
      <c r="A809" s="93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19"/>
      <c r="P809" s="22"/>
      <c r="Q809" s="22"/>
      <c r="R809" s="22"/>
    </row>
    <row r="810" hidden="1">
      <c r="A810" s="93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19"/>
      <c r="P810" s="22"/>
      <c r="Q810" s="22"/>
      <c r="R810" s="22"/>
    </row>
    <row r="811" hidden="1">
      <c r="A811" s="93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19"/>
      <c r="P811" s="22"/>
      <c r="Q811" s="22"/>
      <c r="R811" s="22"/>
    </row>
    <row r="812" hidden="1">
      <c r="A812" s="93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19"/>
      <c r="P812" s="22"/>
      <c r="Q812" s="22"/>
      <c r="R812" s="22"/>
    </row>
    <row r="813" hidden="1">
      <c r="A813" s="93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19"/>
      <c r="P813" s="22"/>
      <c r="Q813" s="22"/>
      <c r="R813" s="22"/>
    </row>
    <row r="814" hidden="1">
      <c r="A814" s="93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19"/>
      <c r="P814" s="22"/>
      <c r="Q814" s="22"/>
      <c r="R814" s="22"/>
    </row>
    <row r="815" hidden="1">
      <c r="A815" s="93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19"/>
      <c r="P815" s="22"/>
      <c r="Q815" s="22"/>
      <c r="R815" s="22"/>
    </row>
    <row r="816" hidden="1">
      <c r="A816" s="93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19"/>
      <c r="P816" s="22"/>
      <c r="Q816" s="22"/>
      <c r="R816" s="22"/>
    </row>
    <row r="817" hidden="1">
      <c r="A817" s="93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19"/>
      <c r="P817" s="22"/>
      <c r="Q817" s="22"/>
      <c r="R817" s="22"/>
    </row>
    <row r="818" hidden="1">
      <c r="A818" s="93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19"/>
      <c r="P818" s="22"/>
      <c r="Q818" s="22"/>
      <c r="R818" s="22"/>
    </row>
    <row r="819" hidden="1">
      <c r="A819" s="93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19"/>
      <c r="P819" s="22"/>
      <c r="Q819" s="22"/>
      <c r="R819" s="22"/>
    </row>
    <row r="820" hidden="1">
      <c r="A820" s="93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19"/>
      <c r="P820" s="22"/>
      <c r="Q820" s="22"/>
      <c r="R820" s="22"/>
    </row>
    <row r="821" hidden="1">
      <c r="A821" s="93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19"/>
      <c r="P821" s="22"/>
      <c r="Q821" s="22"/>
      <c r="R821" s="22"/>
    </row>
    <row r="822" hidden="1">
      <c r="A822" s="93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19"/>
      <c r="P822" s="22"/>
      <c r="Q822" s="22"/>
      <c r="R822" s="22"/>
    </row>
    <row r="823" hidden="1">
      <c r="A823" s="93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19"/>
      <c r="P823" s="22"/>
      <c r="Q823" s="22"/>
      <c r="R823" s="22"/>
    </row>
    <row r="824" hidden="1">
      <c r="A824" s="93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19"/>
      <c r="P824" s="22"/>
      <c r="Q824" s="22"/>
      <c r="R824" s="22"/>
    </row>
    <row r="825" hidden="1">
      <c r="A825" s="93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19"/>
      <c r="P825" s="22"/>
      <c r="Q825" s="22"/>
      <c r="R825" s="22"/>
    </row>
    <row r="826" hidden="1">
      <c r="A826" s="93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19"/>
      <c r="P826" s="22"/>
      <c r="Q826" s="22"/>
      <c r="R826" s="22"/>
    </row>
    <row r="827" hidden="1">
      <c r="A827" s="93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19"/>
      <c r="P827" s="22"/>
      <c r="Q827" s="22"/>
      <c r="R827" s="22"/>
    </row>
    <row r="828" hidden="1">
      <c r="A828" s="93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19"/>
      <c r="P828" s="22"/>
      <c r="Q828" s="22"/>
      <c r="R828" s="22"/>
    </row>
    <row r="829" hidden="1">
      <c r="A829" s="93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19"/>
      <c r="P829" s="22"/>
      <c r="Q829" s="22"/>
      <c r="R829" s="22"/>
    </row>
    <row r="830" hidden="1">
      <c r="A830" s="93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19"/>
      <c r="P830" s="22"/>
      <c r="Q830" s="22"/>
      <c r="R830" s="22"/>
    </row>
    <row r="831" hidden="1">
      <c r="A831" s="93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19"/>
      <c r="P831" s="22"/>
      <c r="Q831" s="22"/>
      <c r="R831" s="22"/>
    </row>
    <row r="832" hidden="1">
      <c r="A832" s="93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19"/>
      <c r="P832" s="22"/>
      <c r="Q832" s="22"/>
      <c r="R832" s="22"/>
    </row>
    <row r="833" hidden="1">
      <c r="A833" s="93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19"/>
      <c r="P833" s="22"/>
      <c r="Q833" s="22"/>
      <c r="R833" s="22"/>
    </row>
    <row r="834" hidden="1">
      <c r="A834" s="93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19"/>
      <c r="P834" s="22"/>
      <c r="Q834" s="22"/>
      <c r="R834" s="22"/>
    </row>
    <row r="835" hidden="1">
      <c r="A835" s="93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19"/>
      <c r="P835" s="22"/>
      <c r="Q835" s="22"/>
      <c r="R835" s="22"/>
    </row>
    <row r="836" hidden="1">
      <c r="A836" s="93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19"/>
      <c r="P836" s="22"/>
      <c r="Q836" s="22"/>
      <c r="R836" s="22"/>
    </row>
    <row r="837" hidden="1">
      <c r="A837" s="93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19"/>
      <c r="P837" s="22"/>
      <c r="Q837" s="22"/>
      <c r="R837" s="22"/>
    </row>
    <row r="838" hidden="1">
      <c r="A838" s="93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19"/>
      <c r="P838" s="22"/>
      <c r="Q838" s="22"/>
      <c r="R838" s="22"/>
    </row>
    <row r="839" hidden="1">
      <c r="A839" s="93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19"/>
      <c r="P839" s="22"/>
      <c r="Q839" s="22"/>
      <c r="R839" s="22"/>
    </row>
    <row r="840" hidden="1">
      <c r="A840" s="93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19"/>
      <c r="P840" s="22"/>
      <c r="Q840" s="22"/>
      <c r="R840" s="22"/>
    </row>
    <row r="841" hidden="1">
      <c r="A841" s="93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19"/>
      <c r="P841" s="22"/>
      <c r="Q841" s="22"/>
      <c r="R841" s="22"/>
    </row>
    <row r="842" hidden="1">
      <c r="A842" s="93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19"/>
      <c r="P842" s="22"/>
      <c r="Q842" s="22"/>
      <c r="R842" s="22"/>
    </row>
    <row r="843" hidden="1">
      <c r="A843" s="93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19"/>
      <c r="P843" s="22"/>
      <c r="Q843" s="22"/>
      <c r="R843" s="22"/>
    </row>
    <row r="844" hidden="1">
      <c r="A844" s="93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19"/>
      <c r="P844" s="22"/>
      <c r="Q844" s="22"/>
      <c r="R844" s="22"/>
    </row>
    <row r="845" hidden="1">
      <c r="A845" s="93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19"/>
      <c r="P845" s="22"/>
      <c r="Q845" s="22"/>
      <c r="R845" s="22"/>
    </row>
    <row r="846" hidden="1">
      <c r="A846" s="93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19"/>
      <c r="P846" s="22"/>
      <c r="Q846" s="22"/>
      <c r="R846" s="22"/>
    </row>
    <row r="847" hidden="1">
      <c r="A847" s="93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19"/>
      <c r="P847" s="22"/>
      <c r="Q847" s="22"/>
      <c r="R847" s="22"/>
    </row>
    <row r="848" hidden="1">
      <c r="A848" s="93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19"/>
      <c r="P848" s="22"/>
      <c r="Q848" s="22"/>
      <c r="R848" s="22"/>
    </row>
    <row r="849" hidden="1">
      <c r="A849" s="93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19"/>
      <c r="P849" s="22"/>
      <c r="Q849" s="22"/>
      <c r="R849" s="22"/>
    </row>
    <row r="850" hidden="1">
      <c r="A850" s="93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19"/>
      <c r="P850" s="22"/>
      <c r="Q850" s="22"/>
      <c r="R850" s="22"/>
    </row>
    <row r="851" hidden="1">
      <c r="A851" s="93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19"/>
      <c r="P851" s="22"/>
      <c r="Q851" s="22"/>
      <c r="R851" s="22"/>
    </row>
    <row r="852" hidden="1">
      <c r="A852" s="93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19"/>
      <c r="P852" s="22"/>
      <c r="Q852" s="22"/>
      <c r="R852" s="22"/>
    </row>
    <row r="853" hidden="1">
      <c r="A853" s="93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19"/>
      <c r="P853" s="22"/>
      <c r="Q853" s="22"/>
      <c r="R853" s="22"/>
    </row>
    <row r="854" hidden="1">
      <c r="A854" s="93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19"/>
      <c r="P854" s="22"/>
      <c r="Q854" s="22"/>
      <c r="R854" s="22"/>
    </row>
    <row r="855" hidden="1">
      <c r="A855" s="93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19"/>
      <c r="P855" s="22"/>
      <c r="Q855" s="22"/>
      <c r="R855" s="22"/>
    </row>
    <row r="856" hidden="1">
      <c r="A856" s="93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19"/>
      <c r="P856" s="22"/>
      <c r="Q856" s="22"/>
      <c r="R856" s="22"/>
    </row>
    <row r="857" hidden="1">
      <c r="A857" s="93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19"/>
      <c r="P857" s="22"/>
      <c r="Q857" s="22"/>
      <c r="R857" s="22"/>
    </row>
    <row r="858" hidden="1">
      <c r="A858" s="93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19"/>
      <c r="P858" s="22"/>
      <c r="Q858" s="22"/>
      <c r="R858" s="22"/>
    </row>
    <row r="859" hidden="1">
      <c r="A859" s="93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19"/>
      <c r="P859" s="22"/>
      <c r="Q859" s="22"/>
      <c r="R859" s="22"/>
    </row>
    <row r="860" hidden="1">
      <c r="A860" s="93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19"/>
      <c r="P860" s="22"/>
      <c r="Q860" s="22"/>
      <c r="R860" s="22"/>
    </row>
    <row r="861" hidden="1">
      <c r="A861" s="93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19"/>
      <c r="P861" s="22"/>
      <c r="Q861" s="22"/>
      <c r="R861" s="22"/>
    </row>
    <row r="862" hidden="1">
      <c r="A862" s="93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19"/>
      <c r="P862" s="22"/>
      <c r="Q862" s="22"/>
      <c r="R862" s="22"/>
    </row>
    <row r="863" hidden="1">
      <c r="A863" s="93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19"/>
      <c r="P863" s="22"/>
      <c r="Q863" s="22"/>
      <c r="R863" s="22"/>
    </row>
    <row r="864" hidden="1">
      <c r="A864" s="93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19"/>
      <c r="P864" s="22"/>
      <c r="Q864" s="22"/>
      <c r="R864" s="22"/>
    </row>
    <row r="865" hidden="1">
      <c r="A865" s="93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19"/>
      <c r="P865" s="22"/>
      <c r="Q865" s="22"/>
      <c r="R865" s="22"/>
    </row>
    <row r="866" hidden="1">
      <c r="A866" s="93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19"/>
      <c r="P866" s="22"/>
      <c r="Q866" s="22"/>
      <c r="R866" s="22"/>
    </row>
    <row r="867" hidden="1">
      <c r="A867" s="93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19"/>
      <c r="P867" s="22"/>
      <c r="Q867" s="22"/>
      <c r="R867" s="22"/>
    </row>
    <row r="868" hidden="1">
      <c r="A868" s="93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19"/>
      <c r="P868" s="22"/>
      <c r="Q868" s="22"/>
      <c r="R868" s="22"/>
    </row>
    <row r="869" hidden="1">
      <c r="A869" s="93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19"/>
      <c r="P869" s="22"/>
      <c r="Q869" s="22"/>
      <c r="R869" s="22"/>
    </row>
    <row r="870" hidden="1">
      <c r="A870" s="93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19"/>
      <c r="P870" s="22"/>
      <c r="Q870" s="22"/>
      <c r="R870" s="22"/>
    </row>
    <row r="871" hidden="1">
      <c r="A871" s="93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19"/>
      <c r="P871" s="22"/>
      <c r="Q871" s="22"/>
      <c r="R871" s="22"/>
    </row>
    <row r="872" hidden="1">
      <c r="A872" s="93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19"/>
      <c r="P872" s="22"/>
      <c r="Q872" s="22"/>
      <c r="R872" s="22"/>
    </row>
    <row r="873" hidden="1">
      <c r="A873" s="93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19"/>
      <c r="P873" s="22"/>
      <c r="Q873" s="22"/>
      <c r="R873" s="22"/>
    </row>
    <row r="874" hidden="1">
      <c r="A874" s="93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19"/>
      <c r="P874" s="22"/>
      <c r="Q874" s="22"/>
      <c r="R874" s="22"/>
    </row>
    <row r="875" hidden="1">
      <c r="A875" s="93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19"/>
      <c r="P875" s="22"/>
      <c r="Q875" s="22"/>
      <c r="R875" s="22"/>
    </row>
    <row r="876" hidden="1">
      <c r="A876" s="93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19"/>
      <c r="P876" s="22"/>
      <c r="Q876" s="22"/>
      <c r="R876" s="22"/>
    </row>
    <row r="877" hidden="1">
      <c r="A877" s="93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19"/>
      <c r="P877" s="22"/>
      <c r="Q877" s="22"/>
      <c r="R877" s="22"/>
    </row>
    <row r="878" hidden="1">
      <c r="A878" s="93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19"/>
      <c r="P878" s="22"/>
      <c r="Q878" s="22"/>
      <c r="R878" s="22"/>
    </row>
    <row r="879" hidden="1">
      <c r="A879" s="93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19"/>
      <c r="P879" s="22"/>
      <c r="Q879" s="22"/>
      <c r="R879" s="22"/>
    </row>
    <row r="880" hidden="1">
      <c r="A880" s="93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19"/>
      <c r="P880" s="22"/>
      <c r="Q880" s="22"/>
      <c r="R880" s="22"/>
    </row>
    <row r="881" hidden="1">
      <c r="A881" s="93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19"/>
      <c r="P881" s="22"/>
      <c r="Q881" s="22"/>
      <c r="R881" s="22"/>
    </row>
    <row r="882" hidden="1">
      <c r="A882" s="93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19"/>
      <c r="P882" s="22"/>
      <c r="Q882" s="22"/>
      <c r="R882" s="22"/>
    </row>
    <row r="883" hidden="1">
      <c r="A883" s="93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19"/>
      <c r="P883" s="22"/>
      <c r="Q883" s="22"/>
      <c r="R883" s="22"/>
    </row>
    <row r="884" hidden="1">
      <c r="A884" s="93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19"/>
      <c r="P884" s="22"/>
      <c r="Q884" s="22"/>
      <c r="R884" s="22"/>
    </row>
    <row r="885" hidden="1">
      <c r="A885" s="93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19"/>
      <c r="P885" s="22"/>
      <c r="Q885" s="22"/>
      <c r="R885" s="22"/>
    </row>
    <row r="886" hidden="1">
      <c r="A886" s="93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19"/>
      <c r="P886" s="22"/>
      <c r="Q886" s="22"/>
      <c r="R886" s="22"/>
    </row>
    <row r="887" hidden="1">
      <c r="A887" s="93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19"/>
      <c r="P887" s="22"/>
      <c r="Q887" s="22"/>
      <c r="R887" s="22"/>
    </row>
    <row r="888" hidden="1">
      <c r="A888" s="93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19"/>
      <c r="P888" s="22"/>
      <c r="Q888" s="22"/>
      <c r="R888" s="22"/>
    </row>
    <row r="889" hidden="1">
      <c r="A889" s="93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19"/>
      <c r="P889" s="22"/>
      <c r="Q889" s="22"/>
      <c r="R889" s="22"/>
    </row>
    <row r="890" hidden="1">
      <c r="A890" s="93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19"/>
      <c r="P890" s="22"/>
      <c r="Q890" s="22"/>
      <c r="R890" s="22"/>
    </row>
    <row r="891" hidden="1">
      <c r="A891" s="93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19"/>
      <c r="P891" s="22"/>
      <c r="Q891" s="22"/>
      <c r="R891" s="22"/>
    </row>
    <row r="892" hidden="1">
      <c r="A892" s="93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19"/>
      <c r="P892" s="22"/>
      <c r="Q892" s="22"/>
      <c r="R892" s="22"/>
    </row>
    <row r="893" hidden="1">
      <c r="A893" s="93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19"/>
      <c r="P893" s="22"/>
      <c r="Q893" s="22"/>
      <c r="R893" s="22"/>
    </row>
    <row r="894" hidden="1">
      <c r="A894" s="93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19"/>
      <c r="P894" s="22"/>
      <c r="Q894" s="22"/>
      <c r="R894" s="22"/>
    </row>
    <row r="895" hidden="1">
      <c r="A895" s="93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19"/>
      <c r="P895" s="22"/>
      <c r="Q895" s="22"/>
      <c r="R895" s="22"/>
    </row>
    <row r="896" hidden="1">
      <c r="A896" s="93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19"/>
      <c r="P896" s="22"/>
      <c r="Q896" s="22"/>
      <c r="R896" s="22"/>
    </row>
    <row r="897" hidden="1">
      <c r="A897" s="93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19"/>
      <c r="P897" s="22"/>
      <c r="Q897" s="22"/>
      <c r="R897" s="22"/>
    </row>
    <row r="898" hidden="1">
      <c r="A898" s="93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19"/>
      <c r="P898" s="22"/>
      <c r="Q898" s="22"/>
      <c r="R898" s="22"/>
    </row>
    <row r="899" hidden="1">
      <c r="A899" s="93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19"/>
      <c r="P899" s="22"/>
      <c r="Q899" s="22"/>
      <c r="R899" s="22"/>
    </row>
    <row r="900" hidden="1">
      <c r="A900" s="93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19"/>
      <c r="P900" s="22"/>
      <c r="Q900" s="22"/>
      <c r="R900" s="22"/>
    </row>
    <row r="901" hidden="1">
      <c r="A901" s="93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19"/>
      <c r="P901" s="22"/>
      <c r="Q901" s="22"/>
      <c r="R901" s="22"/>
    </row>
    <row r="902" hidden="1">
      <c r="A902" s="93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19"/>
      <c r="P902" s="22"/>
      <c r="Q902" s="22"/>
      <c r="R902" s="22"/>
    </row>
    <row r="903" hidden="1">
      <c r="A903" s="93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19"/>
      <c r="P903" s="22"/>
      <c r="Q903" s="22"/>
      <c r="R903" s="22"/>
    </row>
    <row r="904" hidden="1">
      <c r="A904" s="93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19"/>
      <c r="P904" s="22"/>
      <c r="Q904" s="22"/>
      <c r="R904" s="22"/>
    </row>
    <row r="905" hidden="1">
      <c r="A905" s="93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19"/>
      <c r="P905" s="22"/>
      <c r="Q905" s="22"/>
      <c r="R905" s="22"/>
    </row>
    <row r="906" hidden="1">
      <c r="A906" s="93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19"/>
      <c r="P906" s="22"/>
      <c r="Q906" s="22"/>
      <c r="R906" s="22"/>
    </row>
    <row r="907" hidden="1">
      <c r="A907" s="93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19"/>
      <c r="P907" s="22"/>
      <c r="Q907" s="22"/>
      <c r="R907" s="22"/>
    </row>
    <row r="908" hidden="1">
      <c r="A908" s="93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19"/>
      <c r="P908" s="22"/>
      <c r="Q908" s="22"/>
      <c r="R908" s="22"/>
    </row>
    <row r="909" hidden="1">
      <c r="A909" s="93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19"/>
      <c r="P909" s="22"/>
      <c r="Q909" s="22"/>
      <c r="R909" s="22"/>
    </row>
    <row r="910" hidden="1">
      <c r="A910" s="93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19"/>
      <c r="P910" s="22"/>
      <c r="Q910" s="22"/>
      <c r="R910" s="22"/>
    </row>
    <row r="911" hidden="1">
      <c r="A911" s="93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19"/>
      <c r="P911" s="22"/>
      <c r="Q911" s="22"/>
      <c r="R911" s="22"/>
    </row>
    <row r="912" hidden="1">
      <c r="A912" s="93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19"/>
      <c r="P912" s="22"/>
      <c r="Q912" s="22"/>
      <c r="R912" s="22"/>
    </row>
    <row r="913" hidden="1">
      <c r="A913" s="93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19"/>
      <c r="P913" s="22"/>
      <c r="Q913" s="22"/>
      <c r="R913" s="22"/>
    </row>
    <row r="914" hidden="1">
      <c r="A914" s="93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19"/>
      <c r="P914" s="22"/>
      <c r="Q914" s="22"/>
      <c r="R914" s="22"/>
    </row>
    <row r="915" hidden="1">
      <c r="A915" s="93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19"/>
      <c r="P915" s="22"/>
      <c r="Q915" s="22"/>
      <c r="R915" s="22"/>
    </row>
    <row r="916" hidden="1">
      <c r="A916" s="93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19"/>
      <c r="P916" s="22"/>
      <c r="Q916" s="22"/>
      <c r="R916" s="22"/>
    </row>
    <row r="917" hidden="1">
      <c r="A917" s="93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19"/>
      <c r="P917" s="22"/>
      <c r="Q917" s="22"/>
      <c r="R917" s="22"/>
    </row>
    <row r="918" hidden="1">
      <c r="A918" s="93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19"/>
      <c r="P918" s="22"/>
      <c r="Q918" s="22"/>
      <c r="R918" s="22"/>
    </row>
    <row r="919" hidden="1">
      <c r="A919" s="93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19"/>
      <c r="P919" s="22"/>
      <c r="Q919" s="22"/>
      <c r="R919" s="22"/>
    </row>
    <row r="920" hidden="1">
      <c r="A920" s="93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19"/>
      <c r="P920" s="22"/>
      <c r="Q920" s="22"/>
      <c r="R920" s="22"/>
    </row>
    <row r="921" hidden="1">
      <c r="A921" s="93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19"/>
      <c r="P921" s="22"/>
      <c r="Q921" s="22"/>
      <c r="R921" s="22"/>
    </row>
    <row r="922" hidden="1">
      <c r="A922" s="93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19"/>
      <c r="P922" s="22"/>
      <c r="Q922" s="22"/>
      <c r="R922" s="22"/>
    </row>
    <row r="923" hidden="1">
      <c r="A923" s="93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19"/>
      <c r="P923" s="22"/>
      <c r="Q923" s="22"/>
      <c r="R923" s="22"/>
    </row>
    <row r="924" hidden="1">
      <c r="A924" s="93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19"/>
      <c r="P924" s="22"/>
      <c r="Q924" s="22"/>
      <c r="R924" s="22"/>
    </row>
    <row r="925" hidden="1">
      <c r="A925" s="93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19"/>
      <c r="P925" s="22"/>
      <c r="Q925" s="22"/>
      <c r="R925" s="22"/>
    </row>
    <row r="926" hidden="1">
      <c r="A926" s="93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19"/>
      <c r="P926" s="22"/>
      <c r="Q926" s="22"/>
      <c r="R926" s="22"/>
    </row>
    <row r="927" hidden="1">
      <c r="A927" s="93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19"/>
      <c r="P927" s="22"/>
      <c r="Q927" s="22"/>
      <c r="R927" s="22"/>
    </row>
    <row r="928" hidden="1">
      <c r="A928" s="93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19"/>
      <c r="P928" s="22"/>
      <c r="Q928" s="22"/>
      <c r="R928" s="22"/>
    </row>
    <row r="929" hidden="1">
      <c r="A929" s="93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19"/>
      <c r="P929" s="22"/>
      <c r="Q929" s="22"/>
      <c r="R929" s="22"/>
    </row>
    <row r="930" hidden="1">
      <c r="A930" s="93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19"/>
      <c r="P930" s="22"/>
      <c r="Q930" s="22"/>
      <c r="R930" s="22"/>
    </row>
    <row r="931" hidden="1">
      <c r="A931" s="93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19"/>
      <c r="P931" s="22"/>
      <c r="Q931" s="22"/>
      <c r="R931" s="22"/>
    </row>
    <row r="932" hidden="1">
      <c r="A932" s="93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19"/>
      <c r="P932" s="22"/>
      <c r="Q932" s="22"/>
      <c r="R932" s="22"/>
    </row>
    <row r="933" hidden="1">
      <c r="A933" s="93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19"/>
      <c r="P933" s="22"/>
      <c r="Q933" s="22"/>
      <c r="R933" s="22"/>
    </row>
    <row r="934" hidden="1">
      <c r="A934" s="93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19"/>
      <c r="P934" s="22"/>
      <c r="Q934" s="22"/>
      <c r="R934" s="22"/>
    </row>
    <row r="935" hidden="1">
      <c r="A935" s="93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19"/>
      <c r="P935" s="22"/>
      <c r="Q935" s="22"/>
      <c r="R935" s="22"/>
    </row>
    <row r="936" hidden="1">
      <c r="A936" s="93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19"/>
      <c r="P936" s="22"/>
      <c r="Q936" s="22"/>
      <c r="R936" s="22"/>
    </row>
    <row r="937" hidden="1">
      <c r="A937" s="93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19"/>
      <c r="P937" s="22"/>
      <c r="Q937" s="22"/>
      <c r="R937" s="22"/>
    </row>
    <row r="938" hidden="1">
      <c r="A938" s="93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19"/>
      <c r="P938" s="22"/>
      <c r="Q938" s="22"/>
      <c r="R938" s="22"/>
    </row>
    <row r="939" hidden="1">
      <c r="A939" s="93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19"/>
      <c r="P939" s="22"/>
      <c r="Q939" s="22"/>
      <c r="R939" s="22"/>
    </row>
    <row r="940" hidden="1">
      <c r="A940" s="93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19"/>
      <c r="P940" s="22"/>
      <c r="Q940" s="22"/>
      <c r="R940" s="22"/>
    </row>
    <row r="941" hidden="1">
      <c r="A941" s="93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19"/>
      <c r="P941" s="22"/>
      <c r="Q941" s="22"/>
      <c r="R941" s="22"/>
    </row>
    <row r="942" hidden="1">
      <c r="A942" s="93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19"/>
      <c r="P942" s="22"/>
      <c r="Q942" s="22"/>
      <c r="R942" s="22"/>
    </row>
    <row r="943" hidden="1">
      <c r="A943" s="93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19"/>
      <c r="P943" s="22"/>
      <c r="Q943" s="22"/>
      <c r="R943" s="22"/>
    </row>
    <row r="944" hidden="1">
      <c r="A944" s="93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19"/>
      <c r="P944" s="22"/>
      <c r="Q944" s="22"/>
      <c r="R944" s="22"/>
    </row>
    <row r="945" hidden="1">
      <c r="A945" s="93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19"/>
      <c r="P945" s="22"/>
      <c r="Q945" s="22"/>
      <c r="R945" s="22"/>
    </row>
    <row r="946" hidden="1">
      <c r="A946" s="93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19"/>
      <c r="P946" s="22"/>
      <c r="Q946" s="22"/>
      <c r="R946" s="22"/>
    </row>
    <row r="947" hidden="1">
      <c r="A947" s="93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19"/>
      <c r="P947" s="22"/>
      <c r="Q947" s="22"/>
      <c r="R947" s="22"/>
    </row>
    <row r="948" hidden="1">
      <c r="A948" s="93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19"/>
      <c r="P948" s="22"/>
      <c r="Q948" s="22"/>
      <c r="R948" s="22"/>
    </row>
    <row r="949" hidden="1">
      <c r="A949" s="93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19"/>
      <c r="P949" s="22"/>
      <c r="Q949" s="22"/>
      <c r="R949" s="22"/>
    </row>
    <row r="950" hidden="1">
      <c r="A950" s="93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19"/>
      <c r="P950" s="22"/>
      <c r="Q950" s="22"/>
      <c r="R950" s="22"/>
    </row>
    <row r="951" hidden="1">
      <c r="A951" s="93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19"/>
      <c r="P951" s="22"/>
      <c r="Q951" s="22"/>
      <c r="R951" s="22"/>
    </row>
    <row r="952" hidden="1">
      <c r="A952" s="93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19"/>
      <c r="P952" s="22"/>
      <c r="Q952" s="22"/>
      <c r="R952" s="22"/>
    </row>
    <row r="953" hidden="1">
      <c r="A953" s="93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19"/>
      <c r="P953" s="22"/>
      <c r="Q953" s="22"/>
      <c r="R953" s="22"/>
    </row>
    <row r="954" hidden="1">
      <c r="A954" s="93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19"/>
      <c r="P954" s="22"/>
      <c r="Q954" s="22"/>
      <c r="R954" s="22"/>
    </row>
    <row r="955" hidden="1">
      <c r="A955" s="93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19"/>
      <c r="P955" s="22"/>
      <c r="Q955" s="22"/>
      <c r="R955" s="22"/>
    </row>
    <row r="956" hidden="1">
      <c r="A956" s="93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19"/>
      <c r="P956" s="22"/>
      <c r="Q956" s="22"/>
      <c r="R956" s="22"/>
    </row>
    <row r="957" hidden="1">
      <c r="A957" s="93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19"/>
      <c r="P957" s="22"/>
      <c r="Q957" s="22"/>
      <c r="R957" s="22"/>
    </row>
    <row r="958" hidden="1">
      <c r="A958" s="93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19"/>
      <c r="P958" s="22"/>
      <c r="Q958" s="22"/>
      <c r="R958" s="22"/>
    </row>
    <row r="959" hidden="1">
      <c r="A959" s="93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19"/>
      <c r="P959" s="22"/>
      <c r="Q959" s="22"/>
      <c r="R959" s="22"/>
    </row>
    <row r="960" hidden="1">
      <c r="A960" s="93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19"/>
      <c r="P960" s="22"/>
      <c r="Q960" s="22"/>
      <c r="R960" s="22"/>
    </row>
    <row r="961" hidden="1">
      <c r="A961" s="93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19"/>
      <c r="P961" s="22"/>
      <c r="Q961" s="22"/>
      <c r="R961" s="22"/>
    </row>
    <row r="962" hidden="1">
      <c r="A962" s="93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19"/>
      <c r="P962" s="22"/>
      <c r="Q962" s="22"/>
      <c r="R962" s="22"/>
    </row>
    <row r="963" hidden="1">
      <c r="A963" s="93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19"/>
      <c r="P963" s="22"/>
      <c r="Q963" s="22"/>
      <c r="R963" s="22"/>
    </row>
    <row r="964" hidden="1">
      <c r="A964" s="93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19"/>
      <c r="P964" s="22"/>
      <c r="Q964" s="22"/>
      <c r="R964" s="22"/>
    </row>
    <row r="965" hidden="1">
      <c r="A965" s="93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19"/>
      <c r="P965" s="22"/>
      <c r="Q965" s="22"/>
      <c r="R965" s="22"/>
    </row>
    <row r="966" hidden="1">
      <c r="A966" s="93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19"/>
      <c r="P966" s="22"/>
      <c r="Q966" s="22"/>
      <c r="R966" s="22"/>
    </row>
    <row r="967" hidden="1">
      <c r="A967" s="93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19"/>
      <c r="P967" s="22"/>
      <c r="Q967" s="22"/>
      <c r="R967" s="22"/>
    </row>
    <row r="968" hidden="1">
      <c r="A968" s="93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19"/>
      <c r="P968" s="22"/>
      <c r="Q968" s="22"/>
      <c r="R968" s="22"/>
    </row>
    <row r="969" hidden="1">
      <c r="A969" s="93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19"/>
      <c r="P969" s="22"/>
      <c r="Q969" s="22"/>
      <c r="R969" s="22"/>
    </row>
    <row r="970" hidden="1">
      <c r="A970" s="93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19"/>
      <c r="P970" s="22"/>
      <c r="Q970" s="22"/>
      <c r="R970" s="22"/>
    </row>
    <row r="971" hidden="1">
      <c r="A971" s="93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19"/>
      <c r="P971" s="22"/>
      <c r="Q971" s="22"/>
      <c r="R971" s="22"/>
    </row>
    <row r="972" hidden="1">
      <c r="A972" s="93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19"/>
      <c r="P972" s="22"/>
      <c r="Q972" s="22"/>
      <c r="R972" s="22"/>
    </row>
    <row r="973" hidden="1">
      <c r="A973" s="93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19"/>
      <c r="P973" s="22"/>
      <c r="Q973" s="22"/>
      <c r="R973" s="22"/>
    </row>
    <row r="974" hidden="1">
      <c r="A974" s="93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19"/>
      <c r="P974" s="22"/>
      <c r="Q974" s="22"/>
      <c r="R974" s="22"/>
    </row>
    <row r="975" hidden="1">
      <c r="A975" s="93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19"/>
      <c r="P975" s="22"/>
      <c r="Q975" s="22"/>
      <c r="R975" s="22"/>
    </row>
    <row r="976" hidden="1">
      <c r="A976" s="93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19"/>
      <c r="P976" s="22"/>
      <c r="Q976" s="22"/>
      <c r="R976" s="22"/>
    </row>
    <row r="977" hidden="1">
      <c r="A977" s="93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19"/>
      <c r="P977" s="22"/>
      <c r="Q977" s="22"/>
      <c r="R977" s="22"/>
    </row>
    <row r="978" hidden="1">
      <c r="A978" s="93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19"/>
      <c r="P978" s="22"/>
      <c r="Q978" s="22"/>
      <c r="R978" s="22"/>
    </row>
    <row r="979" hidden="1">
      <c r="A979" s="93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19"/>
      <c r="P979" s="22"/>
      <c r="Q979" s="22"/>
      <c r="R979" s="22"/>
    </row>
    <row r="980" hidden="1">
      <c r="A980" s="93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19"/>
      <c r="P980" s="22"/>
      <c r="Q980" s="22"/>
      <c r="R980" s="22"/>
    </row>
    <row r="981" hidden="1">
      <c r="A981" s="93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19"/>
      <c r="P981" s="22"/>
      <c r="Q981" s="22"/>
      <c r="R981" s="22"/>
    </row>
    <row r="982" hidden="1">
      <c r="A982" s="93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19"/>
      <c r="P982" s="22"/>
      <c r="Q982" s="22"/>
      <c r="R982" s="22"/>
    </row>
    <row r="983" hidden="1">
      <c r="A983" s="93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19"/>
      <c r="P983" s="22"/>
      <c r="Q983" s="22"/>
      <c r="R983" s="22"/>
    </row>
    <row r="984" hidden="1">
      <c r="A984" s="93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19"/>
      <c r="P984" s="22"/>
      <c r="Q984" s="22"/>
      <c r="R984" s="22"/>
    </row>
    <row r="985" hidden="1">
      <c r="A985" s="93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19"/>
      <c r="P985" s="22"/>
      <c r="Q985" s="22"/>
      <c r="R985" s="22"/>
    </row>
    <row r="986" hidden="1">
      <c r="A986" s="93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19"/>
      <c r="P986" s="22"/>
      <c r="Q986" s="22"/>
      <c r="R986" s="22"/>
    </row>
    <row r="987" hidden="1">
      <c r="A987" s="93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19"/>
      <c r="P987" s="22"/>
      <c r="Q987" s="22"/>
      <c r="R987" s="22"/>
    </row>
    <row r="988" hidden="1">
      <c r="A988" s="93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19"/>
      <c r="P988" s="22"/>
      <c r="Q988" s="22"/>
      <c r="R988" s="22"/>
    </row>
    <row r="989" hidden="1">
      <c r="A989" s="93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19"/>
      <c r="P989" s="22"/>
      <c r="Q989" s="22"/>
      <c r="R989" s="22"/>
    </row>
    <row r="990" hidden="1">
      <c r="A990" s="93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19"/>
      <c r="P990" s="22"/>
      <c r="Q990" s="22"/>
      <c r="R990" s="22"/>
    </row>
    <row r="991" hidden="1">
      <c r="A991" s="93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19"/>
      <c r="P991" s="22"/>
      <c r="Q991" s="22"/>
      <c r="R991" s="22"/>
    </row>
    <row r="992" hidden="1">
      <c r="A992" s="93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19"/>
      <c r="P992" s="22"/>
      <c r="Q992" s="22"/>
      <c r="R992" s="22"/>
    </row>
    <row r="993" hidden="1">
      <c r="A993" s="93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19"/>
      <c r="P993" s="22"/>
      <c r="Q993" s="22"/>
      <c r="R993" s="22"/>
    </row>
    <row r="994" hidden="1">
      <c r="A994" s="93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19"/>
      <c r="P994" s="22"/>
      <c r="Q994" s="22"/>
      <c r="R994" s="22"/>
    </row>
    <row r="995" hidden="1">
      <c r="A995" s="93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19"/>
      <c r="P995" s="22"/>
      <c r="Q995" s="22"/>
      <c r="R995" s="22"/>
    </row>
    <row r="996" hidden="1">
      <c r="A996" s="93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19"/>
      <c r="P996" s="22"/>
      <c r="Q996" s="22"/>
      <c r="R996" s="22"/>
    </row>
    <row r="997" hidden="1">
      <c r="A997" s="93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19"/>
      <c r="P997" s="22"/>
      <c r="Q997" s="22"/>
      <c r="R997" s="22"/>
    </row>
    <row r="998" hidden="1">
      <c r="A998" s="93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19"/>
      <c r="P998" s="22"/>
      <c r="Q998" s="22"/>
      <c r="R998" s="22"/>
    </row>
    <row r="999" hidden="1">
      <c r="A999" s="93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19"/>
      <c r="P999" s="22"/>
      <c r="Q999" s="22"/>
      <c r="R999" s="22"/>
    </row>
    <row r="1000" hidden="1">
      <c r="A1000" s="93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19"/>
      <c r="P1000" s="22"/>
      <c r="Q1000" s="22"/>
      <c r="R1000" s="22"/>
    </row>
    <row r="1001" hidden="1">
      <c r="A1001" s="93"/>
      <c r="B1001" s="66"/>
      <c r="C1001" s="66"/>
      <c r="D1001" s="66"/>
      <c r="E1001" s="66"/>
      <c r="F1001" s="66"/>
      <c r="G1001" s="66"/>
      <c r="H1001" s="66"/>
      <c r="I1001" s="66"/>
      <c r="J1001" s="66"/>
      <c r="K1001" s="66"/>
      <c r="L1001" s="66"/>
      <c r="M1001" s="66"/>
      <c r="N1001" s="66"/>
      <c r="O1001" s="19"/>
      <c r="P1001" s="22"/>
      <c r="Q1001" s="22"/>
      <c r="R1001" s="22"/>
    </row>
    <row r="1002" hidden="1">
      <c r="A1002" s="93"/>
      <c r="B1002" s="66"/>
      <c r="C1002" s="66"/>
      <c r="D1002" s="66"/>
      <c r="E1002" s="66"/>
      <c r="F1002" s="66"/>
      <c r="G1002" s="66"/>
      <c r="H1002" s="66"/>
      <c r="I1002" s="66"/>
      <c r="J1002" s="66"/>
      <c r="K1002" s="66"/>
      <c r="L1002" s="66"/>
      <c r="M1002" s="66"/>
      <c r="N1002" s="66"/>
      <c r="O1002" s="19"/>
      <c r="P1002" s="22"/>
      <c r="Q1002" s="22"/>
      <c r="R1002" s="22"/>
    </row>
    <row r="1003" hidden="1">
      <c r="A1003" s="93"/>
      <c r="B1003" s="66"/>
      <c r="C1003" s="66"/>
      <c r="D1003" s="66"/>
      <c r="E1003" s="66"/>
      <c r="F1003" s="66"/>
      <c r="G1003" s="66"/>
      <c r="H1003" s="66"/>
      <c r="I1003" s="66"/>
      <c r="J1003" s="66"/>
      <c r="K1003" s="66"/>
      <c r="L1003" s="66"/>
      <c r="M1003" s="66"/>
      <c r="N1003" s="66"/>
      <c r="O1003" s="19"/>
      <c r="P1003" s="22"/>
      <c r="Q1003" s="22"/>
      <c r="R1003" s="22"/>
    </row>
    <row r="1004" hidden="1">
      <c r="A1004" s="93"/>
      <c r="B1004" s="66"/>
      <c r="C1004" s="66"/>
      <c r="D1004" s="66"/>
      <c r="E1004" s="66"/>
      <c r="F1004" s="66"/>
      <c r="G1004" s="66"/>
      <c r="H1004" s="66"/>
      <c r="I1004" s="66"/>
      <c r="J1004" s="66"/>
      <c r="K1004" s="66"/>
      <c r="L1004" s="66"/>
      <c r="M1004" s="66"/>
      <c r="N1004" s="66"/>
      <c r="O1004" s="19"/>
      <c r="P1004" s="22"/>
      <c r="Q1004" s="22"/>
      <c r="R1004" s="22"/>
    </row>
    <row r="1005" hidden="1">
      <c r="A1005" s="93"/>
      <c r="B1005" s="66"/>
      <c r="C1005" s="66"/>
      <c r="D1005" s="66"/>
      <c r="E1005" s="66"/>
      <c r="F1005" s="66"/>
      <c r="G1005" s="66"/>
      <c r="H1005" s="66"/>
      <c r="I1005" s="66"/>
      <c r="J1005" s="66"/>
      <c r="K1005" s="66"/>
      <c r="L1005" s="66"/>
      <c r="M1005" s="66"/>
      <c r="N1005" s="66"/>
      <c r="O1005" s="19"/>
      <c r="P1005" s="22"/>
      <c r="Q1005" s="22"/>
      <c r="R1005" s="22"/>
    </row>
    <row r="1006" hidden="1">
      <c r="A1006" s="93"/>
      <c r="B1006" s="66"/>
      <c r="C1006" s="66"/>
      <c r="D1006" s="66"/>
      <c r="E1006" s="66"/>
      <c r="F1006" s="66"/>
      <c r="G1006" s="66"/>
      <c r="H1006" s="66"/>
      <c r="I1006" s="66"/>
      <c r="J1006" s="66"/>
      <c r="K1006" s="66"/>
      <c r="L1006" s="66"/>
      <c r="M1006" s="66"/>
      <c r="N1006" s="66"/>
      <c r="O1006" s="19"/>
      <c r="P1006" s="22"/>
      <c r="Q1006" s="22"/>
      <c r="R1006" s="22"/>
    </row>
    <row r="1007" hidden="1">
      <c r="A1007" s="93"/>
      <c r="B1007" s="66"/>
      <c r="C1007" s="66"/>
      <c r="D1007" s="66"/>
      <c r="E1007" s="66"/>
      <c r="F1007" s="66"/>
      <c r="G1007" s="66"/>
      <c r="H1007" s="66"/>
      <c r="I1007" s="66"/>
      <c r="J1007" s="66"/>
      <c r="K1007" s="66"/>
      <c r="L1007" s="66"/>
      <c r="M1007" s="66"/>
      <c r="N1007" s="66"/>
      <c r="O1007" s="19"/>
      <c r="P1007" s="22"/>
      <c r="Q1007" s="22"/>
      <c r="R1007" s="22"/>
    </row>
    <row r="1008" hidden="1">
      <c r="A1008" s="93"/>
      <c r="B1008" s="66"/>
      <c r="C1008" s="66"/>
      <c r="D1008" s="66"/>
      <c r="E1008" s="66"/>
      <c r="F1008" s="66"/>
      <c r="G1008" s="66"/>
      <c r="H1008" s="66"/>
      <c r="I1008" s="66"/>
      <c r="J1008" s="66"/>
      <c r="K1008" s="66"/>
      <c r="L1008" s="66"/>
      <c r="M1008" s="66"/>
      <c r="N1008" s="66"/>
      <c r="O1008" s="19"/>
      <c r="P1008" s="22"/>
      <c r="Q1008" s="22"/>
      <c r="R1008" s="22"/>
    </row>
    <row r="1009" hidden="1">
      <c r="A1009" s="93"/>
      <c r="B1009" s="66"/>
      <c r="C1009" s="66"/>
      <c r="D1009" s="66"/>
      <c r="E1009" s="66"/>
      <c r="F1009" s="66"/>
      <c r="G1009" s="66"/>
      <c r="H1009" s="66"/>
      <c r="I1009" s="66"/>
      <c r="J1009" s="66"/>
      <c r="K1009" s="66"/>
      <c r="L1009" s="66"/>
      <c r="M1009" s="66"/>
      <c r="N1009" s="66"/>
      <c r="O1009" s="19"/>
      <c r="P1009" s="22"/>
      <c r="Q1009" s="22"/>
      <c r="R1009" s="22"/>
    </row>
    <row r="1010" hidden="1">
      <c r="A1010" s="93"/>
      <c r="B1010" s="66"/>
      <c r="C1010" s="66"/>
      <c r="D1010" s="66"/>
      <c r="E1010" s="66"/>
      <c r="F1010" s="66"/>
      <c r="G1010" s="66"/>
      <c r="H1010" s="66"/>
      <c r="I1010" s="66"/>
      <c r="J1010" s="66"/>
      <c r="K1010" s="66"/>
      <c r="L1010" s="66"/>
      <c r="M1010" s="66"/>
      <c r="N1010" s="66"/>
      <c r="O1010" s="19"/>
      <c r="P1010" s="22"/>
      <c r="Q1010" s="22"/>
      <c r="R1010" s="22"/>
    </row>
    <row r="1011" hidden="1">
      <c r="A1011" s="93"/>
      <c r="B1011" s="66"/>
      <c r="C1011" s="66"/>
      <c r="D1011" s="66"/>
      <c r="E1011" s="66"/>
      <c r="F1011" s="66"/>
      <c r="G1011" s="66"/>
      <c r="H1011" s="66"/>
      <c r="I1011" s="66"/>
      <c r="J1011" s="66"/>
      <c r="K1011" s="66"/>
      <c r="L1011" s="66"/>
      <c r="M1011" s="66"/>
      <c r="N1011" s="66"/>
      <c r="O1011" s="19"/>
      <c r="P1011" s="22"/>
      <c r="Q1011" s="22"/>
      <c r="R1011" s="22"/>
    </row>
    <row r="1012" hidden="1">
      <c r="A1012" s="93"/>
      <c r="B1012" s="66"/>
      <c r="C1012" s="66"/>
      <c r="D1012" s="66"/>
      <c r="E1012" s="66"/>
      <c r="F1012" s="66"/>
      <c r="G1012" s="66"/>
      <c r="H1012" s="66"/>
      <c r="I1012" s="66"/>
      <c r="J1012" s="66"/>
      <c r="K1012" s="66"/>
      <c r="L1012" s="66"/>
      <c r="M1012" s="66"/>
      <c r="N1012" s="66"/>
      <c r="O1012" s="19"/>
      <c r="P1012" s="22"/>
      <c r="Q1012" s="22"/>
      <c r="R1012" s="22"/>
    </row>
    <row r="1013" hidden="1">
      <c r="A1013" s="93"/>
      <c r="B1013" s="66"/>
      <c r="C1013" s="66"/>
      <c r="D1013" s="66"/>
      <c r="E1013" s="66"/>
      <c r="F1013" s="66"/>
      <c r="G1013" s="66"/>
      <c r="H1013" s="66"/>
      <c r="I1013" s="66"/>
      <c r="J1013" s="66"/>
      <c r="K1013" s="66"/>
      <c r="L1013" s="66"/>
      <c r="M1013" s="66"/>
      <c r="N1013" s="66"/>
      <c r="O1013" s="19"/>
      <c r="P1013" s="22"/>
      <c r="Q1013" s="22"/>
      <c r="R1013" s="22"/>
    </row>
    <row r="1014" hidden="1">
      <c r="A1014" s="93"/>
      <c r="B1014" s="66"/>
      <c r="C1014" s="66"/>
      <c r="D1014" s="66"/>
      <c r="E1014" s="66"/>
      <c r="F1014" s="66"/>
      <c r="G1014" s="66"/>
      <c r="H1014" s="66"/>
      <c r="I1014" s="66"/>
      <c r="J1014" s="66"/>
      <c r="K1014" s="66"/>
      <c r="L1014" s="66"/>
      <c r="M1014" s="66"/>
      <c r="N1014" s="66"/>
      <c r="O1014" s="19"/>
      <c r="P1014" s="22"/>
      <c r="Q1014" s="22"/>
      <c r="R1014" s="22"/>
    </row>
    <row r="1015" hidden="1">
      <c r="A1015" s="93"/>
      <c r="B1015" s="66"/>
      <c r="C1015" s="66"/>
      <c r="D1015" s="66"/>
      <c r="E1015" s="66"/>
      <c r="F1015" s="66"/>
      <c r="G1015" s="66"/>
      <c r="H1015" s="66"/>
      <c r="I1015" s="66"/>
      <c r="J1015" s="66"/>
      <c r="K1015" s="66"/>
      <c r="L1015" s="66"/>
      <c r="M1015" s="66"/>
      <c r="N1015" s="66"/>
      <c r="O1015" s="19"/>
      <c r="P1015" s="22"/>
      <c r="Q1015" s="22"/>
      <c r="R1015" s="22"/>
    </row>
    <row r="1016" hidden="1">
      <c r="A1016" s="93"/>
      <c r="B1016" s="66"/>
      <c r="C1016" s="66"/>
      <c r="D1016" s="66"/>
      <c r="E1016" s="66"/>
      <c r="F1016" s="66"/>
      <c r="G1016" s="66"/>
      <c r="H1016" s="66"/>
      <c r="I1016" s="66"/>
      <c r="J1016" s="66"/>
      <c r="K1016" s="66"/>
      <c r="L1016" s="66"/>
      <c r="M1016" s="66"/>
      <c r="N1016" s="66"/>
      <c r="O1016" s="19"/>
      <c r="P1016" s="22"/>
      <c r="Q1016" s="22"/>
      <c r="R1016" s="22"/>
    </row>
    <row r="1017" hidden="1">
      <c r="A1017" s="93"/>
      <c r="B1017" s="66"/>
      <c r="C1017" s="66"/>
      <c r="D1017" s="66"/>
      <c r="E1017" s="66"/>
      <c r="F1017" s="66"/>
      <c r="G1017" s="66"/>
      <c r="H1017" s="66"/>
      <c r="I1017" s="66"/>
      <c r="J1017" s="66"/>
      <c r="K1017" s="66"/>
      <c r="L1017" s="66"/>
      <c r="M1017" s="66"/>
      <c r="N1017" s="66"/>
      <c r="O1017" s="19"/>
      <c r="P1017" s="22"/>
      <c r="Q1017" s="22"/>
      <c r="R1017" s="22"/>
    </row>
    <row r="1018" hidden="1">
      <c r="A1018" s="93"/>
      <c r="B1018" s="66"/>
      <c r="C1018" s="66"/>
      <c r="D1018" s="66"/>
      <c r="E1018" s="66"/>
      <c r="F1018" s="66"/>
      <c r="G1018" s="66"/>
      <c r="H1018" s="66"/>
      <c r="I1018" s="66"/>
      <c r="J1018" s="66"/>
      <c r="K1018" s="66"/>
      <c r="L1018" s="66"/>
      <c r="M1018" s="66"/>
      <c r="N1018" s="66"/>
      <c r="O1018" s="19"/>
      <c r="P1018" s="22"/>
      <c r="Q1018" s="22"/>
      <c r="R1018" s="22"/>
    </row>
    <row r="1019" hidden="1">
      <c r="A1019" s="93"/>
      <c r="B1019" s="66"/>
      <c r="C1019" s="66"/>
      <c r="D1019" s="66"/>
      <c r="E1019" s="66"/>
      <c r="F1019" s="66"/>
      <c r="G1019" s="66"/>
      <c r="H1019" s="66"/>
      <c r="I1019" s="66"/>
      <c r="J1019" s="66"/>
      <c r="K1019" s="66"/>
      <c r="L1019" s="66"/>
      <c r="M1019" s="66"/>
      <c r="N1019" s="66"/>
      <c r="O1019" s="19"/>
      <c r="P1019" s="22"/>
      <c r="Q1019" s="22"/>
      <c r="R1019" s="22"/>
    </row>
    <row r="1020" hidden="1">
      <c r="A1020" s="93"/>
      <c r="B1020" s="66"/>
      <c r="C1020" s="66"/>
      <c r="D1020" s="66"/>
      <c r="E1020" s="66"/>
      <c r="F1020" s="66"/>
      <c r="G1020" s="66"/>
      <c r="H1020" s="66"/>
      <c r="I1020" s="66"/>
      <c r="J1020" s="66"/>
      <c r="K1020" s="66"/>
      <c r="L1020" s="66"/>
      <c r="M1020" s="66"/>
      <c r="N1020" s="66"/>
      <c r="O1020" s="19"/>
      <c r="P1020" s="22"/>
      <c r="Q1020" s="22"/>
      <c r="R1020" s="22"/>
    </row>
    <row r="1021" hidden="1">
      <c r="A1021" s="93"/>
      <c r="B1021" s="66"/>
      <c r="C1021" s="66"/>
      <c r="D1021" s="66"/>
      <c r="E1021" s="66"/>
      <c r="F1021" s="66"/>
      <c r="G1021" s="66"/>
      <c r="H1021" s="66"/>
      <c r="I1021" s="66"/>
      <c r="J1021" s="66"/>
      <c r="K1021" s="66"/>
      <c r="L1021" s="66"/>
      <c r="M1021" s="66"/>
      <c r="N1021" s="66"/>
      <c r="O1021" s="19"/>
      <c r="P1021" s="22"/>
      <c r="Q1021" s="22"/>
      <c r="R1021" s="22"/>
    </row>
    <row r="1022" hidden="1">
      <c r="A1022" s="93"/>
      <c r="B1022" s="66"/>
      <c r="C1022" s="66"/>
      <c r="D1022" s="66"/>
      <c r="E1022" s="66"/>
      <c r="F1022" s="66"/>
      <c r="G1022" s="66"/>
      <c r="H1022" s="66"/>
      <c r="I1022" s="66"/>
      <c r="J1022" s="66"/>
      <c r="K1022" s="66"/>
      <c r="L1022" s="66"/>
      <c r="M1022" s="66"/>
      <c r="N1022" s="66"/>
      <c r="O1022" s="19"/>
      <c r="P1022" s="22"/>
      <c r="Q1022" s="22"/>
      <c r="R1022" s="22"/>
    </row>
    <row r="1023" hidden="1">
      <c r="A1023" s="93"/>
      <c r="B1023" s="66"/>
      <c r="C1023" s="66"/>
      <c r="D1023" s="66"/>
      <c r="E1023" s="66"/>
      <c r="F1023" s="66"/>
      <c r="G1023" s="66"/>
      <c r="H1023" s="66"/>
      <c r="I1023" s="66"/>
      <c r="J1023" s="66"/>
      <c r="K1023" s="66"/>
      <c r="L1023" s="66"/>
      <c r="M1023" s="66"/>
      <c r="N1023" s="66"/>
      <c r="O1023" s="19"/>
      <c r="P1023" s="22"/>
      <c r="Q1023" s="22"/>
      <c r="R1023" s="22"/>
    </row>
    <row r="1024" hidden="1">
      <c r="A1024" s="93"/>
      <c r="B1024" s="66"/>
      <c r="C1024" s="66"/>
      <c r="D1024" s="66"/>
      <c r="E1024" s="66"/>
      <c r="F1024" s="66"/>
      <c r="G1024" s="66"/>
      <c r="H1024" s="66"/>
      <c r="I1024" s="66"/>
      <c r="J1024" s="66"/>
      <c r="K1024" s="66"/>
      <c r="L1024" s="66"/>
      <c r="M1024" s="66"/>
      <c r="N1024" s="66"/>
      <c r="O1024" s="19"/>
      <c r="P1024" s="22"/>
      <c r="Q1024" s="22"/>
      <c r="R1024" s="22"/>
    </row>
    <row r="1025" hidden="1">
      <c r="A1025" s="93"/>
      <c r="B1025" s="66"/>
      <c r="C1025" s="66"/>
      <c r="D1025" s="66"/>
      <c r="E1025" s="66"/>
      <c r="F1025" s="66"/>
      <c r="G1025" s="66"/>
      <c r="H1025" s="66"/>
      <c r="I1025" s="66"/>
      <c r="J1025" s="66"/>
      <c r="K1025" s="66"/>
      <c r="L1025" s="66"/>
      <c r="M1025" s="66"/>
      <c r="N1025" s="66"/>
      <c r="O1025" s="19"/>
      <c r="P1025" s="22"/>
      <c r="Q1025" s="22"/>
      <c r="R1025" s="22"/>
    </row>
    <row r="1026" hidden="1">
      <c r="A1026" s="93"/>
      <c r="B1026" s="66"/>
      <c r="C1026" s="66"/>
      <c r="D1026" s="66"/>
      <c r="E1026" s="66"/>
      <c r="F1026" s="66"/>
      <c r="G1026" s="66"/>
      <c r="H1026" s="66"/>
      <c r="I1026" s="66"/>
      <c r="J1026" s="66"/>
      <c r="K1026" s="66"/>
      <c r="L1026" s="66"/>
      <c r="M1026" s="66"/>
      <c r="N1026" s="66"/>
      <c r="O1026" s="19"/>
      <c r="P1026" s="22"/>
      <c r="Q1026" s="22"/>
      <c r="R1026" s="22"/>
    </row>
    <row r="1027" hidden="1">
      <c r="A1027" s="93"/>
      <c r="B1027" s="66"/>
      <c r="C1027" s="66"/>
      <c r="D1027" s="66"/>
      <c r="E1027" s="66"/>
      <c r="F1027" s="66"/>
      <c r="G1027" s="66"/>
      <c r="H1027" s="66"/>
      <c r="I1027" s="66"/>
      <c r="J1027" s="66"/>
      <c r="K1027" s="66"/>
      <c r="L1027" s="66"/>
      <c r="M1027" s="66"/>
      <c r="N1027" s="66"/>
      <c r="O1027" s="19"/>
      <c r="P1027" s="22"/>
      <c r="Q1027" s="22"/>
      <c r="R1027" s="22"/>
    </row>
    <row r="1028" hidden="1">
      <c r="A1028" s="93"/>
      <c r="B1028" s="66"/>
      <c r="C1028" s="66"/>
      <c r="D1028" s="66"/>
      <c r="E1028" s="66"/>
      <c r="F1028" s="66"/>
      <c r="G1028" s="66"/>
      <c r="H1028" s="66"/>
      <c r="I1028" s="66"/>
      <c r="J1028" s="66"/>
      <c r="K1028" s="66"/>
      <c r="L1028" s="66"/>
      <c r="M1028" s="66"/>
      <c r="N1028" s="66"/>
      <c r="O1028" s="19"/>
      <c r="P1028" s="22"/>
      <c r="Q1028" s="22"/>
      <c r="R1028" s="22"/>
    </row>
    <row r="1029" hidden="1">
      <c r="A1029" s="93"/>
      <c r="B1029" s="66"/>
      <c r="C1029" s="66"/>
      <c r="D1029" s="66"/>
      <c r="E1029" s="66"/>
      <c r="F1029" s="66"/>
      <c r="G1029" s="66"/>
      <c r="H1029" s="66"/>
      <c r="I1029" s="66"/>
      <c r="J1029" s="66"/>
      <c r="K1029" s="66"/>
      <c r="L1029" s="66"/>
      <c r="M1029" s="66"/>
      <c r="N1029" s="66"/>
      <c r="O1029" s="19"/>
      <c r="P1029" s="22"/>
      <c r="Q1029" s="22"/>
      <c r="R1029" s="22"/>
    </row>
    <row r="1030" hidden="1">
      <c r="A1030" s="93"/>
      <c r="B1030" s="66"/>
      <c r="C1030" s="66"/>
      <c r="D1030" s="66"/>
      <c r="E1030" s="66"/>
      <c r="F1030" s="66"/>
      <c r="G1030" s="66"/>
      <c r="H1030" s="66"/>
      <c r="I1030" s="66"/>
      <c r="J1030" s="66"/>
      <c r="K1030" s="66"/>
      <c r="L1030" s="66"/>
      <c r="M1030" s="66"/>
      <c r="N1030" s="66"/>
      <c r="O1030" s="19"/>
      <c r="P1030" s="22"/>
      <c r="Q1030" s="22"/>
      <c r="R1030" s="22"/>
    </row>
    <row r="1031" hidden="1">
      <c r="A1031" s="93"/>
      <c r="B1031" s="66"/>
      <c r="C1031" s="66"/>
      <c r="D1031" s="66"/>
      <c r="E1031" s="66"/>
      <c r="F1031" s="66"/>
      <c r="G1031" s="66"/>
      <c r="H1031" s="66"/>
      <c r="I1031" s="66"/>
      <c r="J1031" s="66"/>
      <c r="K1031" s="66"/>
      <c r="L1031" s="66"/>
      <c r="M1031" s="66"/>
      <c r="N1031" s="66"/>
      <c r="O1031" s="19"/>
      <c r="P1031" s="22"/>
      <c r="Q1031" s="22"/>
      <c r="R1031" s="22"/>
    </row>
    <row r="1032" hidden="1">
      <c r="A1032" s="93"/>
      <c r="B1032" s="66"/>
      <c r="C1032" s="66"/>
      <c r="D1032" s="66"/>
      <c r="E1032" s="66"/>
      <c r="F1032" s="66"/>
      <c r="G1032" s="66"/>
      <c r="H1032" s="66"/>
      <c r="I1032" s="66"/>
      <c r="J1032" s="66"/>
      <c r="K1032" s="66"/>
      <c r="L1032" s="66"/>
      <c r="M1032" s="66"/>
      <c r="N1032" s="66"/>
      <c r="O1032" s="19"/>
      <c r="P1032" s="22"/>
      <c r="Q1032" s="22"/>
      <c r="R1032" s="22"/>
    </row>
    <row r="1033" hidden="1">
      <c r="A1033" s="93"/>
      <c r="B1033" s="66"/>
      <c r="C1033" s="66"/>
      <c r="D1033" s="66"/>
      <c r="E1033" s="66"/>
      <c r="F1033" s="66"/>
      <c r="G1033" s="66"/>
      <c r="H1033" s="66"/>
      <c r="I1033" s="66"/>
      <c r="J1033" s="66"/>
      <c r="K1033" s="66"/>
      <c r="L1033" s="66"/>
      <c r="M1033" s="66"/>
      <c r="N1033" s="66"/>
      <c r="O1033" s="19"/>
      <c r="P1033" s="22"/>
      <c r="Q1033" s="22"/>
      <c r="R1033" s="22"/>
    </row>
    <row r="1034" hidden="1">
      <c r="A1034" s="93"/>
      <c r="B1034" s="66"/>
      <c r="C1034" s="66"/>
      <c r="D1034" s="66"/>
      <c r="E1034" s="66"/>
      <c r="F1034" s="66"/>
      <c r="G1034" s="66"/>
      <c r="H1034" s="66"/>
      <c r="I1034" s="66"/>
      <c r="J1034" s="66"/>
      <c r="K1034" s="66"/>
      <c r="L1034" s="66"/>
      <c r="M1034" s="66"/>
      <c r="N1034" s="66"/>
      <c r="O1034" s="19"/>
      <c r="P1034" s="22"/>
      <c r="Q1034" s="22"/>
      <c r="R1034" s="22"/>
    </row>
    <row r="1035" hidden="1">
      <c r="A1035" s="93"/>
      <c r="B1035" s="66"/>
      <c r="C1035" s="66"/>
      <c r="D1035" s="66"/>
      <c r="E1035" s="66"/>
      <c r="F1035" s="66"/>
      <c r="G1035" s="66"/>
      <c r="H1035" s="66"/>
      <c r="I1035" s="66"/>
      <c r="J1035" s="66"/>
      <c r="K1035" s="66"/>
      <c r="L1035" s="66"/>
      <c r="M1035" s="66"/>
      <c r="N1035" s="66"/>
      <c r="O1035" s="19"/>
      <c r="P1035" s="22"/>
      <c r="Q1035" s="22"/>
      <c r="R1035" s="22"/>
    </row>
    <row r="1036" hidden="1">
      <c r="A1036" s="93"/>
      <c r="B1036" s="66"/>
      <c r="C1036" s="66"/>
      <c r="D1036" s="66"/>
      <c r="E1036" s="66"/>
      <c r="F1036" s="66"/>
      <c r="G1036" s="66"/>
      <c r="H1036" s="66"/>
      <c r="I1036" s="66"/>
      <c r="J1036" s="66"/>
      <c r="K1036" s="66"/>
      <c r="L1036" s="66"/>
      <c r="M1036" s="66"/>
      <c r="N1036" s="66"/>
      <c r="O1036" s="19"/>
      <c r="P1036" s="22"/>
      <c r="Q1036" s="22"/>
      <c r="R1036" s="22"/>
    </row>
    <row r="1037" hidden="1">
      <c r="A1037" s="93"/>
      <c r="B1037" s="66"/>
      <c r="C1037" s="66"/>
      <c r="D1037" s="66"/>
      <c r="E1037" s="66"/>
      <c r="F1037" s="66"/>
      <c r="G1037" s="66"/>
      <c r="H1037" s="66"/>
      <c r="I1037" s="66"/>
      <c r="J1037" s="66"/>
      <c r="K1037" s="66"/>
      <c r="L1037" s="66"/>
      <c r="M1037" s="66"/>
      <c r="N1037" s="66"/>
      <c r="O1037" s="19"/>
      <c r="P1037" s="22"/>
      <c r="Q1037" s="22"/>
      <c r="R1037" s="22"/>
    </row>
    <row r="1038" hidden="1">
      <c r="A1038" s="93"/>
      <c r="B1038" s="66"/>
      <c r="C1038" s="66"/>
      <c r="D1038" s="66"/>
      <c r="E1038" s="66"/>
      <c r="F1038" s="66"/>
      <c r="G1038" s="66"/>
      <c r="H1038" s="66"/>
      <c r="I1038" s="66"/>
      <c r="J1038" s="66"/>
      <c r="K1038" s="66"/>
      <c r="L1038" s="66"/>
      <c r="M1038" s="66"/>
      <c r="N1038" s="66"/>
      <c r="O1038" s="19"/>
      <c r="P1038" s="22"/>
      <c r="Q1038" s="22"/>
      <c r="R1038" s="22"/>
    </row>
    <row r="1039" hidden="1">
      <c r="A1039" s="93"/>
      <c r="B1039" s="66"/>
      <c r="C1039" s="66"/>
      <c r="D1039" s="66"/>
      <c r="E1039" s="66"/>
      <c r="F1039" s="66"/>
      <c r="G1039" s="66"/>
      <c r="H1039" s="66"/>
      <c r="I1039" s="66"/>
      <c r="J1039" s="66"/>
      <c r="K1039" s="66"/>
      <c r="L1039" s="66"/>
      <c r="M1039" s="66"/>
      <c r="N1039" s="66"/>
      <c r="O1039" s="19"/>
      <c r="P1039" s="22"/>
      <c r="Q1039" s="22"/>
      <c r="R1039" s="22"/>
    </row>
    <row r="1040" hidden="1">
      <c r="A1040" s="93"/>
      <c r="B1040" s="66"/>
      <c r="C1040" s="66"/>
      <c r="D1040" s="66"/>
      <c r="E1040" s="66"/>
      <c r="F1040" s="66"/>
      <c r="G1040" s="66"/>
      <c r="H1040" s="66"/>
      <c r="I1040" s="66"/>
      <c r="J1040" s="66"/>
      <c r="K1040" s="66"/>
      <c r="L1040" s="66"/>
      <c r="M1040" s="66"/>
      <c r="N1040" s="66"/>
      <c r="O1040" s="19"/>
      <c r="P1040" s="22"/>
      <c r="Q1040" s="22"/>
      <c r="R1040" s="22"/>
    </row>
    <row r="1041" hidden="1">
      <c r="A1041" s="93"/>
      <c r="B1041" s="66"/>
      <c r="C1041" s="66"/>
      <c r="D1041" s="66"/>
      <c r="E1041" s="66"/>
      <c r="F1041" s="66"/>
      <c r="G1041" s="66"/>
      <c r="H1041" s="66"/>
      <c r="I1041" s="66"/>
      <c r="J1041" s="66"/>
      <c r="K1041" s="66"/>
      <c r="L1041" s="66"/>
      <c r="M1041" s="66"/>
      <c r="N1041" s="66"/>
      <c r="O1041" s="19"/>
      <c r="P1041" s="22"/>
      <c r="Q1041" s="22"/>
      <c r="R1041" s="22"/>
    </row>
    <row r="1042" hidden="1">
      <c r="A1042" s="93"/>
      <c r="B1042" s="66"/>
      <c r="C1042" s="66"/>
      <c r="D1042" s="66"/>
      <c r="E1042" s="66"/>
      <c r="F1042" s="66"/>
      <c r="G1042" s="66"/>
      <c r="H1042" s="66"/>
      <c r="I1042" s="66"/>
      <c r="J1042" s="66"/>
      <c r="K1042" s="66"/>
      <c r="L1042" s="66"/>
      <c r="M1042" s="66"/>
      <c r="N1042" s="66"/>
      <c r="O1042" s="19"/>
      <c r="P1042" s="22"/>
      <c r="Q1042" s="22"/>
      <c r="R1042" s="22"/>
    </row>
    <row r="1043" hidden="1">
      <c r="A1043" s="93"/>
      <c r="B1043" s="66"/>
      <c r="C1043" s="66"/>
      <c r="D1043" s="66"/>
      <c r="E1043" s="66"/>
      <c r="F1043" s="66"/>
      <c r="G1043" s="66"/>
      <c r="H1043" s="66"/>
      <c r="I1043" s="66"/>
      <c r="J1043" s="66"/>
      <c r="K1043" s="66"/>
      <c r="L1043" s="66"/>
      <c r="M1043" s="66"/>
      <c r="N1043" s="66"/>
      <c r="O1043" s="19"/>
      <c r="P1043" s="22"/>
      <c r="Q1043" s="22"/>
      <c r="R1043" s="22"/>
    </row>
    <row r="1044" hidden="1">
      <c r="A1044" s="93"/>
      <c r="B1044" s="66"/>
      <c r="C1044" s="66"/>
      <c r="D1044" s="66"/>
      <c r="E1044" s="66"/>
      <c r="F1044" s="66"/>
      <c r="G1044" s="66"/>
      <c r="H1044" s="66"/>
      <c r="I1044" s="66"/>
      <c r="J1044" s="66"/>
      <c r="K1044" s="66"/>
      <c r="L1044" s="66"/>
      <c r="M1044" s="66"/>
      <c r="N1044" s="66"/>
      <c r="O1044" s="19"/>
      <c r="P1044" s="22"/>
      <c r="Q1044" s="22"/>
      <c r="R1044" s="22"/>
    </row>
    <row r="1045" hidden="1">
      <c r="A1045" s="93"/>
      <c r="B1045" s="66"/>
      <c r="C1045" s="66"/>
      <c r="D1045" s="66"/>
      <c r="E1045" s="66"/>
      <c r="F1045" s="66"/>
      <c r="G1045" s="66"/>
      <c r="H1045" s="66"/>
      <c r="I1045" s="66"/>
      <c r="J1045" s="66"/>
      <c r="K1045" s="66"/>
      <c r="L1045" s="66"/>
      <c r="M1045" s="66"/>
      <c r="N1045" s="66"/>
      <c r="O1045" s="19"/>
      <c r="P1045" s="22"/>
      <c r="Q1045" s="22"/>
      <c r="R1045" s="22"/>
    </row>
    <row r="1046" hidden="1">
      <c r="A1046" s="93"/>
      <c r="B1046" s="66"/>
      <c r="C1046" s="66"/>
      <c r="D1046" s="66"/>
      <c r="E1046" s="66"/>
      <c r="F1046" s="66"/>
      <c r="G1046" s="66"/>
      <c r="H1046" s="66"/>
      <c r="I1046" s="66"/>
      <c r="J1046" s="66"/>
      <c r="K1046" s="66"/>
      <c r="L1046" s="66"/>
      <c r="M1046" s="66"/>
      <c r="N1046" s="66"/>
      <c r="O1046" s="19"/>
      <c r="P1046" s="22"/>
      <c r="Q1046" s="22"/>
      <c r="R1046" s="22"/>
    </row>
    <row r="1047" hidden="1">
      <c r="A1047" s="93"/>
      <c r="B1047" s="66"/>
      <c r="C1047" s="66"/>
      <c r="D1047" s="66"/>
      <c r="E1047" s="66"/>
      <c r="F1047" s="66"/>
      <c r="G1047" s="66"/>
      <c r="H1047" s="66"/>
      <c r="I1047" s="66"/>
      <c r="J1047" s="66"/>
      <c r="K1047" s="66"/>
      <c r="L1047" s="66"/>
      <c r="M1047" s="66"/>
      <c r="N1047" s="66"/>
      <c r="O1047" s="19"/>
      <c r="P1047" s="22"/>
      <c r="Q1047" s="22"/>
      <c r="R1047" s="22"/>
    </row>
    <row r="1048" hidden="1">
      <c r="A1048" s="93"/>
      <c r="B1048" s="66"/>
      <c r="C1048" s="66"/>
      <c r="D1048" s="66"/>
      <c r="E1048" s="66"/>
      <c r="F1048" s="66"/>
      <c r="G1048" s="66"/>
      <c r="H1048" s="66"/>
      <c r="I1048" s="66"/>
      <c r="J1048" s="66"/>
      <c r="K1048" s="66"/>
      <c r="L1048" s="66"/>
      <c r="M1048" s="66"/>
      <c r="N1048" s="66"/>
      <c r="O1048" s="19"/>
      <c r="P1048" s="22"/>
      <c r="Q1048" s="22"/>
      <c r="R1048" s="22"/>
    </row>
    <row r="1049" hidden="1">
      <c r="A1049" s="93"/>
      <c r="B1049" s="66"/>
      <c r="C1049" s="66"/>
      <c r="D1049" s="66"/>
      <c r="E1049" s="66"/>
      <c r="F1049" s="66"/>
      <c r="G1049" s="66"/>
      <c r="H1049" s="66"/>
      <c r="I1049" s="66"/>
      <c r="J1049" s="66"/>
      <c r="K1049" s="66"/>
      <c r="L1049" s="66"/>
      <c r="M1049" s="66"/>
      <c r="N1049" s="66"/>
      <c r="O1049" s="19"/>
      <c r="P1049" s="22"/>
      <c r="Q1049" s="22"/>
      <c r="R1049" s="22"/>
    </row>
    <row r="1050" hidden="1">
      <c r="A1050" s="93"/>
      <c r="B1050" s="66"/>
      <c r="C1050" s="66"/>
      <c r="D1050" s="66"/>
      <c r="E1050" s="66"/>
      <c r="F1050" s="66"/>
      <c r="G1050" s="66"/>
      <c r="H1050" s="66"/>
      <c r="I1050" s="66"/>
      <c r="J1050" s="66"/>
      <c r="K1050" s="66"/>
      <c r="L1050" s="66"/>
      <c r="M1050" s="66"/>
      <c r="N1050" s="66"/>
      <c r="O1050" s="19"/>
      <c r="P1050" s="22"/>
      <c r="Q1050" s="22"/>
      <c r="R1050" s="22"/>
    </row>
    <row r="1051" hidden="1">
      <c r="A1051" s="93"/>
      <c r="B1051" s="66"/>
      <c r="C1051" s="66"/>
      <c r="D1051" s="66"/>
      <c r="E1051" s="66"/>
      <c r="F1051" s="66"/>
      <c r="G1051" s="66"/>
      <c r="H1051" s="66"/>
      <c r="I1051" s="66"/>
      <c r="J1051" s="66"/>
      <c r="K1051" s="66"/>
      <c r="L1051" s="66"/>
      <c r="M1051" s="66"/>
      <c r="N1051" s="66"/>
      <c r="O1051" s="19"/>
      <c r="P1051" s="22"/>
      <c r="Q1051" s="22"/>
      <c r="R1051" s="22"/>
    </row>
    <row r="1052" hidden="1">
      <c r="A1052" s="93"/>
      <c r="B1052" s="66"/>
      <c r="C1052" s="66"/>
      <c r="D1052" s="66"/>
      <c r="E1052" s="66"/>
      <c r="F1052" s="66"/>
      <c r="G1052" s="66"/>
      <c r="H1052" s="66"/>
      <c r="I1052" s="66"/>
      <c r="J1052" s="66"/>
      <c r="K1052" s="66"/>
      <c r="L1052" s="66"/>
      <c r="M1052" s="66"/>
      <c r="N1052" s="66"/>
      <c r="O1052" s="19"/>
      <c r="P1052" s="22"/>
      <c r="Q1052" s="22"/>
      <c r="R1052" s="22"/>
    </row>
    <row r="1053" hidden="1">
      <c r="A1053" s="93"/>
      <c r="B1053" s="66"/>
      <c r="C1053" s="66"/>
      <c r="D1053" s="66"/>
      <c r="E1053" s="66"/>
      <c r="F1053" s="66"/>
      <c r="G1053" s="66"/>
      <c r="H1053" s="66"/>
      <c r="I1053" s="66"/>
      <c r="J1053" s="66"/>
      <c r="K1053" s="66"/>
      <c r="L1053" s="66"/>
      <c r="M1053" s="66"/>
      <c r="N1053" s="66"/>
      <c r="O1053" s="19"/>
      <c r="P1053" s="22"/>
      <c r="Q1053" s="22"/>
      <c r="R1053" s="22"/>
    </row>
    <row r="1054" hidden="1">
      <c r="A1054" s="93"/>
      <c r="B1054" s="66"/>
      <c r="C1054" s="66"/>
      <c r="D1054" s="66"/>
      <c r="E1054" s="66"/>
      <c r="F1054" s="66"/>
      <c r="G1054" s="66"/>
      <c r="H1054" s="66"/>
      <c r="I1054" s="66"/>
      <c r="J1054" s="66"/>
      <c r="K1054" s="66"/>
      <c r="L1054" s="66"/>
      <c r="M1054" s="66"/>
      <c r="N1054" s="66"/>
      <c r="O1054" s="19"/>
      <c r="P1054" s="22"/>
      <c r="Q1054" s="22"/>
      <c r="R1054" s="22"/>
    </row>
    <row r="1055" hidden="1">
      <c r="A1055" s="93"/>
      <c r="B1055" s="66"/>
      <c r="C1055" s="66"/>
      <c r="D1055" s="66"/>
      <c r="E1055" s="66"/>
      <c r="F1055" s="66"/>
      <c r="G1055" s="66"/>
      <c r="H1055" s="66"/>
      <c r="I1055" s="66"/>
      <c r="J1055" s="66"/>
      <c r="K1055" s="66"/>
      <c r="L1055" s="66"/>
      <c r="M1055" s="66"/>
      <c r="N1055" s="66"/>
      <c r="O1055" s="19"/>
      <c r="P1055" s="22"/>
      <c r="Q1055" s="22"/>
      <c r="R1055" s="22"/>
    </row>
    <row r="1056" hidden="1">
      <c r="A1056" s="93"/>
      <c r="B1056" s="66"/>
      <c r="C1056" s="66"/>
      <c r="D1056" s="66"/>
      <c r="E1056" s="66"/>
      <c r="F1056" s="66"/>
      <c r="G1056" s="66"/>
      <c r="H1056" s="66"/>
      <c r="I1056" s="66"/>
      <c r="J1056" s="66"/>
      <c r="K1056" s="66"/>
      <c r="L1056" s="66"/>
      <c r="M1056" s="66"/>
      <c r="N1056" s="66"/>
      <c r="O1056" s="19"/>
      <c r="P1056" s="22"/>
      <c r="Q1056" s="22"/>
      <c r="R1056" s="22"/>
    </row>
    <row r="1057" hidden="1">
      <c r="A1057" s="93"/>
      <c r="B1057" s="66"/>
      <c r="C1057" s="66"/>
      <c r="D1057" s="66"/>
      <c r="E1057" s="66"/>
      <c r="F1057" s="66"/>
      <c r="G1057" s="66"/>
      <c r="H1057" s="66"/>
      <c r="I1057" s="66"/>
      <c r="J1057" s="66"/>
      <c r="K1057" s="66"/>
      <c r="L1057" s="66"/>
      <c r="M1057" s="66"/>
      <c r="N1057" s="66"/>
      <c r="O1057" s="19"/>
      <c r="P1057" s="22"/>
      <c r="Q1057" s="22"/>
      <c r="R1057" s="22"/>
    </row>
    <row r="1058" hidden="1">
      <c r="A1058" s="93"/>
      <c r="B1058" s="66"/>
      <c r="C1058" s="66"/>
      <c r="D1058" s="66"/>
      <c r="E1058" s="66"/>
      <c r="F1058" s="66"/>
      <c r="G1058" s="66"/>
      <c r="H1058" s="66"/>
      <c r="I1058" s="66"/>
      <c r="J1058" s="66"/>
      <c r="K1058" s="66"/>
      <c r="L1058" s="66"/>
      <c r="M1058" s="66"/>
      <c r="N1058" s="66"/>
      <c r="O1058" s="19"/>
      <c r="P1058" s="22"/>
      <c r="Q1058" s="22"/>
      <c r="R1058" s="22"/>
    </row>
    <row r="1059" hidden="1">
      <c r="A1059" s="93"/>
      <c r="B1059" s="66"/>
      <c r="C1059" s="66"/>
      <c r="D1059" s="66"/>
      <c r="E1059" s="66"/>
      <c r="F1059" s="66"/>
      <c r="G1059" s="66"/>
      <c r="H1059" s="66"/>
      <c r="I1059" s="66"/>
      <c r="J1059" s="66"/>
      <c r="K1059" s="66"/>
      <c r="L1059" s="66"/>
      <c r="M1059" s="66"/>
      <c r="N1059" s="66"/>
      <c r="O1059" s="19"/>
      <c r="P1059" s="22"/>
      <c r="Q1059" s="22"/>
      <c r="R1059" s="22"/>
    </row>
    <row r="1060" hidden="1">
      <c r="A1060" s="93"/>
      <c r="B1060" s="66"/>
      <c r="C1060" s="66"/>
      <c r="D1060" s="66"/>
      <c r="E1060" s="66"/>
      <c r="F1060" s="66"/>
      <c r="G1060" s="66"/>
      <c r="H1060" s="66"/>
      <c r="I1060" s="66"/>
      <c r="J1060" s="66"/>
      <c r="K1060" s="66"/>
      <c r="L1060" s="66"/>
      <c r="M1060" s="66"/>
      <c r="N1060" s="66"/>
      <c r="O1060" s="19"/>
      <c r="P1060" s="22"/>
      <c r="Q1060" s="22"/>
      <c r="R1060" s="22"/>
    </row>
    <row r="1061" hidden="1">
      <c r="A1061" s="93"/>
      <c r="B1061" s="66"/>
      <c r="C1061" s="66"/>
      <c r="D1061" s="66"/>
      <c r="E1061" s="66"/>
      <c r="F1061" s="66"/>
      <c r="G1061" s="66"/>
      <c r="H1061" s="66"/>
      <c r="I1061" s="66"/>
      <c r="J1061" s="66"/>
      <c r="K1061" s="66"/>
      <c r="L1061" s="66"/>
      <c r="M1061" s="66"/>
      <c r="N1061" s="66"/>
      <c r="O1061" s="19"/>
      <c r="P1061" s="22"/>
      <c r="Q1061" s="22"/>
      <c r="R1061" s="22"/>
    </row>
    <row r="1062" hidden="1">
      <c r="A1062" s="93"/>
      <c r="B1062" s="66"/>
      <c r="C1062" s="66"/>
      <c r="D1062" s="66"/>
      <c r="E1062" s="66"/>
      <c r="F1062" s="66"/>
      <c r="G1062" s="66"/>
      <c r="H1062" s="66"/>
      <c r="I1062" s="66"/>
      <c r="J1062" s="66"/>
      <c r="K1062" s="66"/>
      <c r="L1062" s="66"/>
      <c r="M1062" s="66"/>
      <c r="N1062" s="66"/>
      <c r="O1062" s="19"/>
      <c r="P1062" s="22"/>
      <c r="Q1062" s="22"/>
      <c r="R1062" s="22"/>
    </row>
    <row r="1063" hidden="1">
      <c r="A1063" s="93"/>
      <c r="B1063" s="66"/>
      <c r="C1063" s="66"/>
      <c r="D1063" s="66"/>
      <c r="E1063" s="66"/>
      <c r="F1063" s="66"/>
      <c r="G1063" s="66"/>
      <c r="H1063" s="66"/>
      <c r="I1063" s="66"/>
      <c r="J1063" s="66"/>
      <c r="K1063" s="66"/>
      <c r="L1063" s="66"/>
      <c r="M1063" s="66"/>
      <c r="N1063" s="66"/>
      <c r="O1063" s="19"/>
      <c r="P1063" s="22"/>
      <c r="Q1063" s="22"/>
      <c r="R1063" s="22"/>
    </row>
    <row r="1064" hidden="1">
      <c r="A1064" s="93"/>
      <c r="B1064" s="66"/>
      <c r="C1064" s="66"/>
      <c r="D1064" s="66"/>
      <c r="E1064" s="66"/>
      <c r="F1064" s="66"/>
      <c r="G1064" s="66"/>
      <c r="H1064" s="66"/>
      <c r="I1064" s="66"/>
      <c r="J1064" s="66"/>
      <c r="K1064" s="66"/>
      <c r="L1064" s="66"/>
      <c r="M1064" s="66"/>
      <c r="N1064" s="66"/>
      <c r="O1064" s="19"/>
      <c r="P1064" s="22"/>
      <c r="Q1064" s="22"/>
      <c r="R1064" s="22"/>
    </row>
    <row r="1065" hidden="1">
      <c r="A1065" s="93"/>
      <c r="B1065" s="66"/>
      <c r="C1065" s="66"/>
      <c r="D1065" s="66"/>
      <c r="E1065" s="66"/>
      <c r="F1065" s="66"/>
      <c r="G1065" s="66"/>
      <c r="H1065" s="66"/>
      <c r="I1065" s="66"/>
      <c r="J1065" s="66"/>
      <c r="K1065" s="66"/>
      <c r="L1065" s="66"/>
      <c r="M1065" s="66"/>
      <c r="N1065" s="66"/>
      <c r="O1065" s="19"/>
      <c r="P1065" s="22"/>
      <c r="Q1065" s="22"/>
      <c r="R1065" s="22"/>
    </row>
    <row r="1066" hidden="1">
      <c r="A1066" s="93"/>
      <c r="B1066" s="66"/>
      <c r="C1066" s="66"/>
      <c r="D1066" s="66"/>
      <c r="E1066" s="66"/>
      <c r="F1066" s="66"/>
      <c r="G1066" s="66"/>
      <c r="H1066" s="66"/>
      <c r="I1066" s="66"/>
      <c r="J1066" s="66"/>
      <c r="K1066" s="66"/>
      <c r="L1066" s="66"/>
      <c r="M1066" s="66"/>
      <c r="N1066" s="66"/>
      <c r="O1066" s="19"/>
      <c r="P1066" s="22"/>
      <c r="Q1066" s="22"/>
      <c r="R1066" s="22"/>
    </row>
    <row r="1067" hidden="1">
      <c r="A1067" s="93"/>
      <c r="B1067" s="66"/>
      <c r="C1067" s="66"/>
      <c r="D1067" s="66"/>
      <c r="E1067" s="66"/>
      <c r="F1067" s="66"/>
      <c r="G1067" s="66"/>
      <c r="H1067" s="66"/>
      <c r="I1067" s="66"/>
      <c r="J1067" s="66"/>
      <c r="K1067" s="66"/>
      <c r="L1067" s="66"/>
      <c r="M1067" s="66"/>
      <c r="N1067" s="66"/>
      <c r="O1067" s="19"/>
      <c r="P1067" s="22"/>
      <c r="Q1067" s="22"/>
      <c r="R1067" s="22"/>
    </row>
    <row r="1068" hidden="1">
      <c r="A1068" s="93"/>
      <c r="B1068" s="66"/>
      <c r="C1068" s="66"/>
      <c r="D1068" s="66"/>
      <c r="E1068" s="66"/>
      <c r="F1068" s="66"/>
      <c r="G1068" s="66"/>
      <c r="H1068" s="66"/>
      <c r="I1068" s="66"/>
      <c r="J1068" s="66"/>
      <c r="K1068" s="66"/>
      <c r="L1068" s="66"/>
      <c r="M1068" s="66"/>
      <c r="N1068" s="66"/>
      <c r="O1068" s="19"/>
      <c r="P1068" s="22"/>
      <c r="Q1068" s="22"/>
      <c r="R1068" s="22"/>
    </row>
    <row r="1069" hidden="1">
      <c r="A1069" s="93"/>
      <c r="B1069" s="48"/>
      <c r="C1069" s="48"/>
      <c r="D1069" s="48"/>
      <c r="E1069" s="48"/>
      <c r="F1069" s="48"/>
      <c r="G1069" s="48"/>
      <c r="H1069" s="48"/>
      <c r="I1069" s="48"/>
      <c r="J1069" s="48"/>
      <c r="K1069" s="66"/>
      <c r="L1069" s="66"/>
      <c r="M1069" s="66"/>
      <c r="N1069" s="66"/>
      <c r="O1069" s="19"/>
      <c r="P1069" s="22"/>
      <c r="Q1069" s="22"/>
      <c r="R1069" s="22"/>
    </row>
    <row r="1070" hidden="1">
      <c r="A1070" s="93"/>
      <c r="B1070" s="48"/>
      <c r="C1070" s="48"/>
      <c r="D1070" s="48"/>
      <c r="E1070" s="48"/>
      <c r="F1070" s="48"/>
      <c r="G1070" s="48"/>
      <c r="H1070" s="48"/>
      <c r="I1070" s="48"/>
      <c r="J1070" s="48"/>
      <c r="K1070" s="66"/>
      <c r="L1070" s="66"/>
      <c r="M1070" s="66"/>
      <c r="N1070" s="66"/>
      <c r="O1070" s="19"/>
      <c r="P1070" s="22"/>
      <c r="Q1070" s="22"/>
      <c r="R1070" s="22"/>
    </row>
    <row r="1071" hidden="1">
      <c r="A1071" s="93"/>
      <c r="B1071" s="48"/>
      <c r="C1071" s="48"/>
      <c r="D1071" s="48"/>
      <c r="E1071" s="48"/>
      <c r="F1071" s="48"/>
      <c r="G1071" s="48"/>
      <c r="H1071" s="48"/>
      <c r="I1071" s="48"/>
      <c r="J1071" s="48"/>
      <c r="K1071" s="66"/>
      <c r="L1071" s="66"/>
      <c r="M1071" s="66"/>
      <c r="N1071" s="66"/>
      <c r="O1071" s="19"/>
      <c r="P1071" s="22"/>
      <c r="Q1071" s="22"/>
      <c r="R1071" s="22"/>
    </row>
  </sheetData>
  <mergeCells count="175">
    <mergeCell ref="B5:B7"/>
    <mergeCell ref="B8:B10"/>
    <mergeCell ref="E8:E10"/>
    <mergeCell ref="F8:F10"/>
    <mergeCell ref="G8:G10"/>
    <mergeCell ref="H8:H10"/>
    <mergeCell ref="H11:H13"/>
    <mergeCell ref="D8:D10"/>
    <mergeCell ref="D11:D13"/>
    <mergeCell ref="D14:D16"/>
    <mergeCell ref="E14:E16"/>
    <mergeCell ref="F14:F16"/>
    <mergeCell ref="I14:I16"/>
    <mergeCell ref="G17:G19"/>
    <mergeCell ref="K23:K25"/>
    <mergeCell ref="L23:L25"/>
    <mergeCell ref="M23:M25"/>
    <mergeCell ref="N23:N25"/>
    <mergeCell ref="F20:F22"/>
    <mergeCell ref="H20:H22"/>
    <mergeCell ref="K20:K22"/>
    <mergeCell ref="L20:L22"/>
    <mergeCell ref="M20:M22"/>
    <mergeCell ref="N20:N22"/>
    <mergeCell ref="G23:G25"/>
    <mergeCell ref="B11:B13"/>
    <mergeCell ref="B14:B16"/>
    <mergeCell ref="B17:B19"/>
    <mergeCell ref="D17:D19"/>
    <mergeCell ref="B20:B22"/>
    <mergeCell ref="D20:D22"/>
    <mergeCell ref="D23:D25"/>
    <mergeCell ref="B44:B46"/>
    <mergeCell ref="B47:B49"/>
    <mergeCell ref="B50:B52"/>
    <mergeCell ref="B53:B55"/>
    <mergeCell ref="B56:B58"/>
    <mergeCell ref="B59:B61"/>
    <mergeCell ref="B23:B25"/>
    <mergeCell ref="B26:B28"/>
    <mergeCell ref="B29:B31"/>
    <mergeCell ref="B32:B34"/>
    <mergeCell ref="B35:B37"/>
    <mergeCell ref="B38:B40"/>
    <mergeCell ref="B41:B43"/>
    <mergeCell ref="D44:D46"/>
    <mergeCell ref="D47:D49"/>
    <mergeCell ref="D50:D52"/>
    <mergeCell ref="D53:D55"/>
    <mergeCell ref="D56:D58"/>
    <mergeCell ref="D59:D61"/>
    <mergeCell ref="D29:D31"/>
    <mergeCell ref="D32:D34"/>
    <mergeCell ref="D35:D37"/>
    <mergeCell ref="D38:D40"/>
    <mergeCell ref="D41:D43"/>
    <mergeCell ref="E41:E43"/>
    <mergeCell ref="E44:E46"/>
    <mergeCell ref="E47:E49"/>
    <mergeCell ref="D5:D7"/>
    <mergeCell ref="F5:F7"/>
    <mergeCell ref="G5:G7"/>
    <mergeCell ref="K5:K7"/>
    <mergeCell ref="L5:L7"/>
    <mergeCell ref="M5:M7"/>
    <mergeCell ref="N5:N7"/>
    <mergeCell ref="J8:J10"/>
    <mergeCell ref="K8:K10"/>
    <mergeCell ref="L8:L10"/>
    <mergeCell ref="M8:M10"/>
    <mergeCell ref="N8:N10"/>
    <mergeCell ref="E11:E13"/>
    <mergeCell ref="F11:F13"/>
    <mergeCell ref="J11:J13"/>
    <mergeCell ref="K11:K13"/>
    <mergeCell ref="L11:L13"/>
    <mergeCell ref="M11:M13"/>
    <mergeCell ref="N11:N13"/>
    <mergeCell ref="P11:Q11"/>
    <mergeCell ref="K14:K16"/>
    <mergeCell ref="L14:L16"/>
    <mergeCell ref="M14:M16"/>
    <mergeCell ref="N14:N16"/>
    <mergeCell ref="J14:J16"/>
    <mergeCell ref="J17:J19"/>
    <mergeCell ref="K17:K19"/>
    <mergeCell ref="L17:L19"/>
    <mergeCell ref="M17:M19"/>
    <mergeCell ref="N17:N19"/>
    <mergeCell ref="M26:M28"/>
    <mergeCell ref="N26:N28"/>
    <mergeCell ref="L29:L31"/>
    <mergeCell ref="M29:M31"/>
    <mergeCell ref="N29:N31"/>
    <mergeCell ref="D26:D28"/>
    <mergeCell ref="E26:E28"/>
    <mergeCell ref="F26:F28"/>
    <mergeCell ref="H26:H28"/>
    <mergeCell ref="I26:I28"/>
    <mergeCell ref="J26:J28"/>
    <mergeCell ref="L26:L28"/>
    <mergeCell ref="M47:M49"/>
    <mergeCell ref="N47:N49"/>
    <mergeCell ref="M44:M46"/>
    <mergeCell ref="N44:N46"/>
    <mergeCell ref="F47:F49"/>
    <mergeCell ref="H47:H49"/>
    <mergeCell ref="J47:J49"/>
    <mergeCell ref="K47:K49"/>
    <mergeCell ref="L47:L49"/>
    <mergeCell ref="F50:F52"/>
    <mergeCell ref="G50:G52"/>
    <mergeCell ref="J50:J52"/>
    <mergeCell ref="K50:K52"/>
    <mergeCell ref="L50:L52"/>
    <mergeCell ref="M50:M52"/>
    <mergeCell ref="N50:N52"/>
    <mergeCell ref="G53:G55"/>
    <mergeCell ref="I53:I55"/>
    <mergeCell ref="J53:J55"/>
    <mergeCell ref="K53:K55"/>
    <mergeCell ref="L53:L55"/>
    <mergeCell ref="M53:M55"/>
    <mergeCell ref="N53:N55"/>
    <mergeCell ref="J56:J58"/>
    <mergeCell ref="J59:J61"/>
    <mergeCell ref="K59:K61"/>
    <mergeCell ref="L59:L61"/>
    <mergeCell ref="M59:M61"/>
    <mergeCell ref="N59:N61"/>
    <mergeCell ref="F53:F55"/>
    <mergeCell ref="F56:F58"/>
    <mergeCell ref="I56:I58"/>
    <mergeCell ref="L56:L58"/>
    <mergeCell ref="M56:M58"/>
    <mergeCell ref="N56:N58"/>
    <mergeCell ref="G59:G61"/>
    <mergeCell ref="J32:J34"/>
    <mergeCell ref="K32:K34"/>
    <mergeCell ref="L32:L34"/>
    <mergeCell ref="M32:M34"/>
    <mergeCell ref="N32:N34"/>
    <mergeCell ref="J20:J22"/>
    <mergeCell ref="J23:J25"/>
    <mergeCell ref="I29:I31"/>
    <mergeCell ref="F32:F34"/>
    <mergeCell ref="G32:G34"/>
    <mergeCell ref="H32:H34"/>
    <mergeCell ref="I32:I34"/>
    <mergeCell ref="M35:M37"/>
    <mergeCell ref="N35:N37"/>
    <mergeCell ref="K38:K40"/>
    <mergeCell ref="L38:L40"/>
    <mergeCell ref="M38:M40"/>
    <mergeCell ref="N38:N40"/>
    <mergeCell ref="F41:F43"/>
    <mergeCell ref="H41:H43"/>
    <mergeCell ref="K41:K43"/>
    <mergeCell ref="L41:L43"/>
    <mergeCell ref="M41:M43"/>
    <mergeCell ref="N41:N43"/>
    <mergeCell ref="F35:F37"/>
    <mergeCell ref="G35:G37"/>
    <mergeCell ref="H35:H37"/>
    <mergeCell ref="I35:I37"/>
    <mergeCell ref="K35:K37"/>
    <mergeCell ref="L35:L37"/>
    <mergeCell ref="G38:G40"/>
    <mergeCell ref="J35:J37"/>
    <mergeCell ref="J38:J40"/>
    <mergeCell ref="J41:J43"/>
    <mergeCell ref="I44:I46"/>
    <mergeCell ref="J44:J46"/>
    <mergeCell ref="K44:K46"/>
    <mergeCell ref="L44:L46"/>
  </mergeCells>
  <conditionalFormatting sqref="A3:R1071">
    <cfRule type="expression" dxfId="0" priority="1">
      <formula>($B3&lt;&gt;"")*($D3="")</formula>
    </cfRule>
  </conditionalFormatting>
  <conditionalFormatting sqref="N1:N61 E5:K61 O17:O22 N63:N68 L66:L68 I69:J69 N71:N1071 J73:J1071">
    <cfRule type="cellIs" dxfId="1" priority="2" operator="lessThan">
      <formula>0</formula>
    </cfRule>
  </conditionalFormatting>
  <conditionalFormatting sqref="N5:N61">
    <cfRule type="cellIs" dxfId="2" priority="3" operator="greaterThanOrEqual">
      <formula>0</formula>
    </cfRule>
  </conditionalFormatting>
  <hyperlinks>
    <hyperlink r:id="rId1" location="gid=1619821413" ref="B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.13"/>
    <col customWidth="1" min="2" max="2" width="28.0"/>
    <col customWidth="1" min="3" max="3" width="5.75"/>
    <col customWidth="1" min="5" max="5" width="24.5"/>
    <col customWidth="1" min="6" max="6" width="25.0"/>
    <col customWidth="1" min="7" max="7" width="30.63"/>
    <col customWidth="1" min="8" max="8" width="27.63"/>
    <col customWidth="1" min="9" max="9" width="28.0"/>
    <col customWidth="1" min="10" max="10" width="28.75"/>
    <col customWidth="1" min="11" max="11" width="24.5"/>
    <col customWidth="1" min="12" max="12" width="20.25"/>
    <col customWidth="1" min="13" max="13" width="10.5"/>
    <col customWidth="1" min="14" max="14" width="15.88"/>
    <col customWidth="1" min="15" max="18" width="28.25"/>
  </cols>
  <sheetData>
    <row r="1">
      <c r="A1" s="1"/>
      <c r="B1" s="2" t="s">
        <v>0</v>
      </c>
      <c r="C1" s="3"/>
      <c r="D1" s="4"/>
      <c r="E1" s="4"/>
      <c r="F1" s="4"/>
      <c r="G1" s="4"/>
      <c r="H1" s="4"/>
      <c r="I1" s="4"/>
      <c r="J1" s="4"/>
      <c r="K1" s="4"/>
      <c r="L1" s="4"/>
      <c r="M1" s="5"/>
      <c r="N1" s="6"/>
      <c r="O1" s="4"/>
      <c r="P1" s="4"/>
      <c r="Q1" s="4"/>
      <c r="R1" s="4"/>
    </row>
    <row r="2">
      <c r="A2" s="4"/>
      <c r="B2" s="7" t="s">
        <v>1</v>
      </c>
      <c r="C2" s="7"/>
      <c r="D2" s="7" t="s">
        <v>2</v>
      </c>
      <c r="E2" s="8">
        <v>46111.0</v>
      </c>
      <c r="F2" s="8">
        <f t="shared" ref="F2:K2" si="1">E2+1</f>
        <v>46112</v>
      </c>
      <c r="G2" s="8">
        <f t="shared" si="1"/>
        <v>46113</v>
      </c>
      <c r="H2" s="8">
        <f t="shared" si="1"/>
        <v>46114</v>
      </c>
      <c r="I2" s="8">
        <f t="shared" si="1"/>
        <v>46115</v>
      </c>
      <c r="J2" s="8">
        <f t="shared" si="1"/>
        <v>46116</v>
      </c>
      <c r="K2" s="8">
        <f t="shared" si="1"/>
        <v>46117</v>
      </c>
      <c r="L2" s="7"/>
      <c r="M2" s="9" t="s">
        <v>3</v>
      </c>
      <c r="N2" s="10" t="s">
        <v>4</v>
      </c>
      <c r="O2" s="11" t="s">
        <v>5</v>
      </c>
      <c r="P2" s="11"/>
      <c r="Q2" s="11"/>
      <c r="R2" s="11"/>
    </row>
    <row r="3" ht="15.0" customHeight="1">
      <c r="A3" s="12"/>
      <c r="B3" s="13" t="s">
        <v>6</v>
      </c>
      <c r="C3" s="13"/>
      <c r="D3" s="14"/>
      <c r="E3" s="15" t="s">
        <v>7</v>
      </c>
      <c r="F3" s="15" t="s">
        <v>8</v>
      </c>
      <c r="G3" s="15" t="s">
        <v>9</v>
      </c>
      <c r="H3" s="15" t="s">
        <v>10</v>
      </c>
      <c r="I3" s="15" t="s">
        <v>11</v>
      </c>
      <c r="J3" s="15" t="s">
        <v>12</v>
      </c>
      <c r="K3" s="15" t="s">
        <v>13</v>
      </c>
      <c r="L3" s="14"/>
      <c r="M3" s="16"/>
      <c r="N3" s="16"/>
      <c r="O3" s="12"/>
      <c r="P3" s="12"/>
      <c r="Q3" s="12"/>
      <c r="R3" s="12"/>
    </row>
    <row r="4">
      <c r="A4" s="12"/>
      <c r="B4" s="17"/>
      <c r="C4" s="17"/>
      <c r="D4" s="18"/>
      <c r="E4" s="19"/>
      <c r="F4" s="19"/>
      <c r="G4" s="19"/>
      <c r="H4" s="19"/>
      <c r="I4" s="20" t="s">
        <v>14</v>
      </c>
      <c r="J4" s="20"/>
      <c r="K4" s="20"/>
      <c r="L4" s="21"/>
      <c r="M4" s="19"/>
      <c r="N4" s="19"/>
      <c r="O4" s="21"/>
      <c r="P4" s="22"/>
      <c r="Q4" s="22"/>
      <c r="R4" s="22"/>
    </row>
    <row r="5">
      <c r="A5" s="12"/>
      <c r="B5" s="23" t="s">
        <v>15</v>
      </c>
      <c r="C5" s="24" t="s">
        <v>16</v>
      </c>
      <c r="D5" s="25" t="s">
        <v>17</v>
      </c>
      <c r="E5" s="26">
        <v>4000.0</v>
      </c>
      <c r="F5" s="26" t="s">
        <v>135</v>
      </c>
      <c r="G5" s="26" t="s">
        <v>135</v>
      </c>
      <c r="H5" s="26">
        <v>7500.0</v>
      </c>
      <c r="I5" s="26" t="s">
        <v>135</v>
      </c>
      <c r="J5" s="26" t="s">
        <v>135</v>
      </c>
      <c r="K5" s="26" t="s">
        <v>135</v>
      </c>
      <c r="L5" s="29" t="b">
        <v>0</v>
      </c>
      <c r="M5" s="30">
        <f>SUM(E5:L5)</f>
        <v>11500</v>
      </c>
      <c r="N5" s="31">
        <f>M5-8000</f>
        <v>3500</v>
      </c>
      <c r="O5" s="32"/>
      <c r="P5" s="33"/>
      <c r="Q5" s="34"/>
      <c r="R5" s="34"/>
    </row>
    <row r="6">
      <c r="A6" s="12"/>
      <c r="B6" s="35"/>
      <c r="C6" s="24" t="s">
        <v>5</v>
      </c>
      <c r="D6" s="36"/>
      <c r="E6" s="37">
        <v>1676.0</v>
      </c>
      <c r="H6" s="37">
        <v>2213.0</v>
      </c>
      <c r="N6" s="36"/>
      <c r="O6" s="38">
        <f>SUM(E6:K6)</f>
        <v>3889</v>
      </c>
      <c r="P6" s="33"/>
      <c r="Q6" s="34"/>
      <c r="R6" s="34"/>
    </row>
    <row r="7">
      <c r="A7" s="12"/>
      <c r="B7" s="39"/>
      <c r="C7" s="24" t="s">
        <v>20</v>
      </c>
      <c r="D7" s="40"/>
      <c r="E7" s="17" t="s">
        <v>136</v>
      </c>
      <c r="H7" s="17" t="s">
        <v>137</v>
      </c>
      <c r="L7" s="41"/>
      <c r="M7" s="41"/>
      <c r="N7" s="40"/>
      <c r="O7" s="43">
        <f>M5/O6</f>
        <v>2.95705837</v>
      </c>
      <c r="P7" s="33"/>
      <c r="Q7" s="34"/>
      <c r="R7" s="34"/>
    </row>
    <row r="8">
      <c r="A8" s="12"/>
      <c r="B8" s="23" t="s">
        <v>25</v>
      </c>
      <c r="C8" s="24" t="s">
        <v>16</v>
      </c>
      <c r="D8" s="25" t="s">
        <v>26</v>
      </c>
      <c r="E8" s="26" t="s">
        <v>135</v>
      </c>
      <c r="F8" s="26" t="s">
        <v>135</v>
      </c>
      <c r="G8" s="26" t="s">
        <v>135</v>
      </c>
      <c r="H8" s="94" t="s">
        <v>138</v>
      </c>
      <c r="I8" s="95" t="s">
        <v>139</v>
      </c>
      <c r="J8" s="95" t="s">
        <v>139</v>
      </c>
      <c r="K8" s="95" t="s">
        <v>139</v>
      </c>
      <c r="L8" s="29" t="b">
        <v>0</v>
      </c>
      <c r="M8" s="30">
        <f>SUM(E8:L8)</f>
        <v>0</v>
      </c>
      <c r="N8" s="31">
        <f>M8-7000</f>
        <v>-7000</v>
      </c>
      <c r="O8" s="32"/>
      <c r="P8" s="33"/>
      <c r="Q8" s="34"/>
      <c r="R8" s="34"/>
    </row>
    <row r="9">
      <c r="A9" s="12"/>
      <c r="B9" s="35"/>
      <c r="C9" s="24" t="s">
        <v>5</v>
      </c>
      <c r="D9" s="36"/>
      <c r="N9" s="36"/>
      <c r="O9" s="38">
        <f>SUM(E9:K9)</f>
        <v>0</v>
      </c>
      <c r="P9" s="33"/>
      <c r="Q9" s="34"/>
      <c r="R9" s="34"/>
    </row>
    <row r="10">
      <c r="A10" s="12"/>
      <c r="B10" s="39"/>
      <c r="C10" s="24" t="s">
        <v>20</v>
      </c>
      <c r="D10" s="40"/>
      <c r="H10" s="41"/>
      <c r="L10" s="41"/>
      <c r="M10" s="41"/>
      <c r="N10" s="40"/>
      <c r="O10" s="43" t="str">
        <f>M8/O9</f>
        <v>#DIV/0!</v>
      </c>
      <c r="P10" s="33"/>
      <c r="Q10" s="34"/>
      <c r="R10" s="34"/>
    </row>
    <row r="11">
      <c r="A11" s="12"/>
      <c r="B11" s="23" t="s">
        <v>29</v>
      </c>
      <c r="C11" s="24" t="s">
        <v>16</v>
      </c>
      <c r="D11" s="25" t="s">
        <v>30</v>
      </c>
      <c r="E11" s="26">
        <v>1000.0</v>
      </c>
      <c r="F11" s="26">
        <v>3900.0</v>
      </c>
      <c r="G11" s="26" t="s">
        <v>135</v>
      </c>
      <c r="H11" s="26" t="s">
        <v>135</v>
      </c>
      <c r="I11" s="26">
        <v>1500.0</v>
      </c>
      <c r="J11" s="95" t="s">
        <v>139</v>
      </c>
      <c r="K11" s="95" t="s">
        <v>139</v>
      </c>
      <c r="L11" s="29" t="b">
        <v>0</v>
      </c>
      <c r="M11" s="30">
        <f>SUM(E11:L11)</f>
        <v>6400</v>
      </c>
      <c r="N11" s="31">
        <f>M11-7000</f>
        <v>-600</v>
      </c>
      <c r="O11" s="32"/>
      <c r="P11" s="45"/>
      <c r="R11" s="46"/>
    </row>
    <row r="12">
      <c r="A12" s="12"/>
      <c r="B12" s="35"/>
      <c r="C12" s="24" t="s">
        <v>5</v>
      </c>
      <c r="D12" s="36"/>
      <c r="E12" s="37">
        <f>154+178</f>
        <v>332</v>
      </c>
      <c r="F12" s="37">
        <f>62+1430</f>
        <v>1492</v>
      </c>
      <c r="I12" s="37">
        <f>49+586</f>
        <v>635</v>
      </c>
      <c r="N12" s="36"/>
      <c r="O12" s="38">
        <f>SUM(E12:K12)</f>
        <v>2459</v>
      </c>
      <c r="P12" s="47"/>
      <c r="Q12" s="46"/>
      <c r="R12" s="46"/>
    </row>
    <row r="13">
      <c r="A13" s="12"/>
      <c r="B13" s="39"/>
      <c r="C13" s="24" t="s">
        <v>20</v>
      </c>
      <c r="D13" s="40"/>
      <c r="E13" s="17" t="s">
        <v>140</v>
      </c>
      <c r="F13" s="17" t="s">
        <v>141</v>
      </c>
      <c r="I13" s="17" t="s">
        <v>142</v>
      </c>
      <c r="L13" s="41"/>
      <c r="M13" s="41"/>
      <c r="N13" s="40"/>
      <c r="O13" s="43">
        <f>M11/O12</f>
        <v>2.602684018</v>
      </c>
      <c r="P13" s="47"/>
      <c r="Q13" s="34"/>
      <c r="R13" s="34"/>
    </row>
    <row r="14">
      <c r="A14" s="12"/>
      <c r="B14" s="23" t="s">
        <v>34</v>
      </c>
      <c r="C14" s="24" t="s">
        <v>16</v>
      </c>
      <c r="D14" s="25" t="s">
        <v>35</v>
      </c>
      <c r="E14" s="44" t="s">
        <v>27</v>
      </c>
      <c r="F14" s="44" t="s">
        <v>27</v>
      </c>
      <c r="G14" s="26">
        <v>7800.0</v>
      </c>
      <c r="H14" s="26" t="s">
        <v>135</v>
      </c>
      <c r="I14" s="26" t="s">
        <v>135</v>
      </c>
      <c r="J14" s="26" t="s">
        <v>135</v>
      </c>
      <c r="K14" s="26" t="s">
        <v>135</v>
      </c>
      <c r="L14" s="29" t="b">
        <v>0</v>
      </c>
      <c r="M14" s="30">
        <f>SUM(E14:L14)</f>
        <v>7800</v>
      </c>
      <c r="N14" s="31">
        <f>M14-7000</f>
        <v>800</v>
      </c>
      <c r="O14" s="32"/>
      <c r="P14" s="33"/>
      <c r="Q14" s="34"/>
      <c r="R14" s="34"/>
    </row>
    <row r="15">
      <c r="A15" s="12"/>
      <c r="B15" s="35"/>
      <c r="C15" s="24" t="s">
        <v>5</v>
      </c>
      <c r="D15" s="36"/>
      <c r="G15" s="37">
        <f>67+3135</f>
        <v>3202</v>
      </c>
      <c r="N15" s="36"/>
      <c r="O15" s="38">
        <f>SUM(E15:K15)</f>
        <v>3202</v>
      </c>
      <c r="P15" s="33"/>
      <c r="Q15" s="34"/>
      <c r="R15" s="34"/>
    </row>
    <row r="16">
      <c r="A16" s="12"/>
      <c r="B16" s="39"/>
      <c r="C16" s="24" t="s">
        <v>20</v>
      </c>
      <c r="D16" s="40"/>
      <c r="G16" s="17" t="s">
        <v>143</v>
      </c>
      <c r="L16" s="41"/>
      <c r="M16" s="41"/>
      <c r="N16" s="40"/>
      <c r="O16" s="43">
        <f>M14/O15</f>
        <v>2.435977514</v>
      </c>
      <c r="P16" s="33"/>
      <c r="Q16" s="34"/>
      <c r="R16" s="34"/>
    </row>
    <row r="17">
      <c r="A17" s="12"/>
      <c r="B17" s="23" t="s">
        <v>39</v>
      </c>
      <c r="C17" s="24" t="s">
        <v>16</v>
      </c>
      <c r="D17" s="25" t="s">
        <v>40</v>
      </c>
      <c r="E17" s="26">
        <v>4600.0</v>
      </c>
      <c r="F17" s="26" t="s">
        <v>135</v>
      </c>
      <c r="G17" s="26" t="s">
        <v>135</v>
      </c>
      <c r="H17" s="26">
        <v>1300.0</v>
      </c>
      <c r="I17" s="26">
        <v>3600.0</v>
      </c>
      <c r="J17" s="26" t="s">
        <v>135</v>
      </c>
      <c r="K17" s="26" t="s">
        <v>135</v>
      </c>
      <c r="L17" s="29" t="b">
        <v>0</v>
      </c>
      <c r="M17" s="30">
        <f>SUM(E17:L17)</f>
        <v>9500</v>
      </c>
      <c r="N17" s="31">
        <f>M17-7000</f>
        <v>2500</v>
      </c>
      <c r="O17" s="32"/>
      <c r="P17" s="33"/>
      <c r="Q17" s="33"/>
      <c r="R17" s="34"/>
    </row>
    <row r="18">
      <c r="A18" s="12"/>
      <c r="B18" s="35"/>
      <c r="C18" s="24" t="s">
        <v>5</v>
      </c>
      <c r="D18" s="36"/>
      <c r="E18" s="37">
        <v>2173.0</v>
      </c>
      <c r="H18" s="37">
        <f>472</f>
        <v>472</v>
      </c>
      <c r="I18" s="37">
        <f>1189</f>
        <v>1189</v>
      </c>
      <c r="N18" s="36"/>
      <c r="O18" s="38">
        <f>SUM(E18:K18)</f>
        <v>3834</v>
      </c>
      <c r="P18" s="33"/>
      <c r="Q18" s="33"/>
      <c r="R18" s="34"/>
    </row>
    <row r="19">
      <c r="A19" s="12"/>
      <c r="B19" s="39"/>
      <c r="C19" s="24" t="s">
        <v>20</v>
      </c>
      <c r="D19" s="40"/>
      <c r="E19" s="17" t="s">
        <v>144</v>
      </c>
      <c r="H19" s="17" t="s">
        <v>145</v>
      </c>
      <c r="I19" s="17" t="s">
        <v>146</v>
      </c>
      <c r="L19" s="41"/>
      <c r="M19" s="41"/>
      <c r="N19" s="40"/>
      <c r="O19" s="43">
        <f>M17/O18</f>
        <v>2.477829943</v>
      </c>
      <c r="P19" s="48"/>
      <c r="Q19" s="33"/>
      <c r="R19" s="34"/>
    </row>
    <row r="20">
      <c r="A20" s="12"/>
      <c r="B20" s="23" t="s">
        <v>45</v>
      </c>
      <c r="C20" s="24" t="s">
        <v>16</v>
      </c>
      <c r="D20" s="25" t="s">
        <v>46</v>
      </c>
      <c r="E20" s="26">
        <v>3800.0</v>
      </c>
      <c r="F20" s="26" t="s">
        <v>135</v>
      </c>
      <c r="G20" s="26" t="s">
        <v>135</v>
      </c>
      <c r="H20" s="26">
        <v>900.0</v>
      </c>
      <c r="I20" s="26" t="s">
        <v>135</v>
      </c>
      <c r="J20" s="26">
        <v>2100.0</v>
      </c>
      <c r="K20" s="26" t="s">
        <v>135</v>
      </c>
      <c r="L20" s="29" t="b">
        <v>0</v>
      </c>
      <c r="M20" s="30">
        <f>SUM(E20:L20)</f>
        <v>6800</v>
      </c>
      <c r="N20" s="31">
        <f>M20-7000</f>
        <v>-200</v>
      </c>
      <c r="O20" s="32"/>
      <c r="P20" s="33"/>
      <c r="Q20" s="33"/>
      <c r="R20" s="34"/>
    </row>
    <row r="21">
      <c r="A21" s="12"/>
      <c r="B21" s="35"/>
      <c r="C21" s="24" t="s">
        <v>5</v>
      </c>
      <c r="D21" s="36"/>
      <c r="E21" s="37">
        <v>1176.0</v>
      </c>
      <c r="H21" s="37">
        <f>393+45</f>
        <v>438</v>
      </c>
      <c r="J21" s="37">
        <f>670+150</f>
        <v>820</v>
      </c>
      <c r="N21" s="36"/>
      <c r="O21" s="38">
        <f>SUM(E21:K21)</f>
        <v>2434</v>
      </c>
      <c r="P21" s="33"/>
      <c r="Q21" s="33"/>
      <c r="R21" s="34"/>
    </row>
    <row r="22">
      <c r="A22" s="12"/>
      <c r="B22" s="39"/>
      <c r="C22" s="24" t="s">
        <v>20</v>
      </c>
      <c r="D22" s="40"/>
      <c r="E22" s="17" t="s">
        <v>147</v>
      </c>
      <c r="H22" s="17" t="s">
        <v>148</v>
      </c>
      <c r="J22" s="17" t="s">
        <v>149</v>
      </c>
      <c r="L22" s="41"/>
      <c r="M22" s="41"/>
      <c r="N22" s="40"/>
      <c r="O22" s="43">
        <f>M20/O21</f>
        <v>2.793755136</v>
      </c>
      <c r="P22" s="48"/>
      <c r="Q22" s="33"/>
      <c r="R22" s="34"/>
    </row>
    <row r="23">
      <c r="A23" s="12"/>
      <c r="B23" s="23" t="s">
        <v>50</v>
      </c>
      <c r="C23" s="24" t="s">
        <v>16</v>
      </c>
      <c r="D23" s="96" t="s">
        <v>51</v>
      </c>
      <c r="E23" s="97" t="s">
        <v>71</v>
      </c>
      <c r="F23" s="98" t="s">
        <v>71</v>
      </c>
      <c r="G23" s="98" t="s">
        <v>71</v>
      </c>
      <c r="H23" s="98" t="s">
        <v>71</v>
      </c>
      <c r="I23" s="98" t="s">
        <v>71</v>
      </c>
      <c r="J23" s="98" t="s">
        <v>71</v>
      </c>
      <c r="K23" s="98" t="s">
        <v>71</v>
      </c>
      <c r="L23" s="29" t="b">
        <v>0</v>
      </c>
      <c r="M23" s="30">
        <f>SUM(E23:L23)</f>
        <v>0</v>
      </c>
      <c r="N23" s="31">
        <f>M23-7000</f>
        <v>-7000</v>
      </c>
      <c r="O23" s="32"/>
      <c r="P23" s="33"/>
      <c r="Q23" s="34"/>
      <c r="R23" s="34"/>
    </row>
    <row r="24">
      <c r="A24" s="12"/>
      <c r="B24" s="35"/>
      <c r="C24" s="24" t="s">
        <v>5</v>
      </c>
      <c r="E24" s="99"/>
      <c r="N24" s="36"/>
      <c r="O24" s="38">
        <f>SUM(E24:K24)</f>
        <v>0</v>
      </c>
      <c r="P24" s="48"/>
      <c r="Q24" s="34"/>
      <c r="R24" s="34"/>
    </row>
    <row r="25" ht="15.0" customHeight="1">
      <c r="A25" s="12"/>
      <c r="B25" s="39"/>
      <c r="C25" s="24" t="s">
        <v>20</v>
      </c>
      <c r="D25" s="41"/>
      <c r="E25" s="100"/>
      <c r="F25" s="41"/>
      <c r="G25" s="41"/>
      <c r="H25" s="41"/>
      <c r="I25" s="41"/>
      <c r="J25" s="41"/>
      <c r="K25" s="41"/>
      <c r="L25" s="41"/>
      <c r="M25" s="41"/>
      <c r="N25" s="40"/>
      <c r="O25" s="43" t="str">
        <f>M23/O24</f>
        <v>#DIV/0!</v>
      </c>
      <c r="P25" s="22"/>
      <c r="Q25" s="34"/>
      <c r="R25" s="34"/>
    </row>
    <row r="26">
      <c r="A26" s="12"/>
      <c r="B26" s="23" t="s">
        <v>56</v>
      </c>
      <c r="C26" s="24" t="s">
        <v>16</v>
      </c>
      <c r="D26" s="25" t="s">
        <v>57</v>
      </c>
      <c r="E26" s="101" t="s">
        <v>135</v>
      </c>
      <c r="F26" s="101" t="s">
        <v>135</v>
      </c>
      <c r="G26" s="101" t="s">
        <v>135</v>
      </c>
      <c r="H26" s="101">
        <v>1400.0</v>
      </c>
      <c r="I26" s="101">
        <v>2198.0</v>
      </c>
      <c r="J26" s="101">
        <v>1200.0</v>
      </c>
      <c r="K26" s="101" t="s">
        <v>135</v>
      </c>
      <c r="L26" s="29" t="b">
        <v>0</v>
      </c>
      <c r="M26" s="30">
        <f>SUM(E26:L26)</f>
        <v>4798</v>
      </c>
      <c r="N26" s="31">
        <f>M26-7000</f>
        <v>-2202</v>
      </c>
      <c r="O26" s="32"/>
      <c r="P26" s="33"/>
      <c r="Q26" s="34"/>
      <c r="R26" s="34"/>
    </row>
    <row r="27">
      <c r="A27" s="12"/>
      <c r="B27" s="35"/>
      <c r="C27" s="24" t="s">
        <v>5</v>
      </c>
      <c r="D27" s="36"/>
      <c r="H27" s="37">
        <f>534+42+81</f>
        <v>657</v>
      </c>
      <c r="I27" s="37">
        <f>805</f>
        <v>805</v>
      </c>
      <c r="J27" s="37">
        <f>626+70</f>
        <v>696</v>
      </c>
      <c r="N27" s="36"/>
      <c r="O27" s="38">
        <f>SUM(E27:K27)</f>
        <v>2158</v>
      </c>
      <c r="P27" s="33"/>
      <c r="Q27" s="34"/>
      <c r="R27" s="34"/>
    </row>
    <row r="28">
      <c r="A28" s="12"/>
      <c r="B28" s="39"/>
      <c r="C28" s="24" t="s">
        <v>20</v>
      </c>
      <c r="D28" s="40"/>
      <c r="H28" s="17" t="s">
        <v>150</v>
      </c>
      <c r="I28" s="17" t="s">
        <v>151</v>
      </c>
      <c r="J28" s="17" t="s">
        <v>152</v>
      </c>
      <c r="L28" s="41"/>
      <c r="M28" s="41"/>
      <c r="N28" s="40"/>
      <c r="O28" s="43">
        <f>M26/O27</f>
        <v>2.223354958</v>
      </c>
      <c r="P28" s="33"/>
      <c r="Q28" s="34"/>
      <c r="R28" s="34"/>
    </row>
    <row r="29">
      <c r="A29" s="12"/>
      <c r="B29" s="23" t="s">
        <v>60</v>
      </c>
      <c r="C29" s="24" t="s">
        <v>16</v>
      </c>
      <c r="D29" s="25" t="s">
        <v>61</v>
      </c>
      <c r="E29" s="26">
        <v>1500.0</v>
      </c>
      <c r="F29" s="26">
        <v>1000.0</v>
      </c>
      <c r="G29" s="26">
        <v>1500.0</v>
      </c>
      <c r="H29" s="26">
        <v>1800.0</v>
      </c>
      <c r="I29" s="26">
        <v>750.0</v>
      </c>
      <c r="J29" s="26">
        <f>610+600</f>
        <v>1210</v>
      </c>
      <c r="K29" s="26">
        <v>700.0</v>
      </c>
      <c r="L29" s="29" t="b">
        <v>0</v>
      </c>
      <c r="M29" s="30">
        <f>SUM(E29:L29)</f>
        <v>8460</v>
      </c>
      <c r="N29" s="31">
        <f>M29-7000</f>
        <v>1460</v>
      </c>
      <c r="O29" s="32"/>
      <c r="P29" s="33"/>
      <c r="Q29" s="34"/>
      <c r="R29" s="34"/>
    </row>
    <row r="30">
      <c r="A30" s="12"/>
      <c r="B30" s="35"/>
      <c r="C30" s="24" t="s">
        <v>5</v>
      </c>
      <c r="D30" s="36"/>
      <c r="E30" s="37">
        <v>187.0</v>
      </c>
      <c r="F30" s="37">
        <v>234.0</v>
      </c>
      <c r="G30" s="37">
        <v>113.0</v>
      </c>
      <c r="H30" s="37">
        <v>170.0</v>
      </c>
      <c r="I30" s="37">
        <v>28.0</v>
      </c>
      <c r="J30" s="37">
        <f>27+27</f>
        <v>54</v>
      </c>
      <c r="K30" s="37">
        <v>27.0</v>
      </c>
      <c r="N30" s="36"/>
      <c r="O30" s="38">
        <f>SUM(E30:K30)</f>
        <v>813</v>
      </c>
      <c r="P30" s="33"/>
      <c r="Q30" s="34"/>
      <c r="R30" s="34"/>
    </row>
    <row r="31">
      <c r="A31" s="12"/>
      <c r="B31" s="39"/>
      <c r="C31" s="24" t="s">
        <v>20</v>
      </c>
      <c r="D31" s="40"/>
      <c r="E31" s="17" t="s">
        <v>153</v>
      </c>
      <c r="F31" s="17" t="s">
        <v>154</v>
      </c>
      <c r="G31" s="17" t="s">
        <v>155</v>
      </c>
      <c r="H31" s="17" t="s">
        <v>156</v>
      </c>
      <c r="I31" s="17" t="s">
        <v>157</v>
      </c>
      <c r="J31" s="17" t="s">
        <v>158</v>
      </c>
      <c r="K31" s="17" t="s">
        <v>159</v>
      </c>
      <c r="L31" s="41"/>
      <c r="M31" s="41"/>
      <c r="N31" s="40"/>
      <c r="O31" s="43">
        <f>M29/O30</f>
        <v>10.40590406</v>
      </c>
      <c r="P31" s="33"/>
      <c r="Q31" s="34"/>
      <c r="R31" s="34"/>
    </row>
    <row r="32">
      <c r="A32" s="12"/>
      <c r="B32" s="23" t="s">
        <v>69</v>
      </c>
      <c r="C32" s="24" t="s">
        <v>16</v>
      </c>
      <c r="D32" s="25" t="s">
        <v>70</v>
      </c>
      <c r="E32" s="98" t="s">
        <v>71</v>
      </c>
      <c r="F32" s="98" t="s">
        <v>71</v>
      </c>
      <c r="G32" s="98" t="s">
        <v>71</v>
      </c>
      <c r="H32" s="98" t="s">
        <v>71</v>
      </c>
      <c r="I32" s="98" t="s">
        <v>71</v>
      </c>
      <c r="J32" s="98" t="s">
        <v>71</v>
      </c>
      <c r="K32" s="98" t="s">
        <v>71</v>
      </c>
      <c r="L32" s="29" t="b">
        <v>0</v>
      </c>
      <c r="M32" s="30">
        <f>SUM(E32:L32)</f>
        <v>0</v>
      </c>
      <c r="N32" s="31">
        <f>M32-7000</f>
        <v>-7000</v>
      </c>
      <c r="O32" s="32"/>
      <c r="P32" s="33"/>
      <c r="Q32" s="34"/>
      <c r="R32" s="34"/>
    </row>
    <row r="33">
      <c r="A33" s="12"/>
      <c r="B33" s="35"/>
      <c r="C33" s="24" t="s">
        <v>5</v>
      </c>
      <c r="D33" s="36"/>
      <c r="N33" s="36"/>
      <c r="O33" s="38">
        <f>SUM(E33:K33)</f>
        <v>0</v>
      </c>
      <c r="P33" s="33"/>
      <c r="Q33" s="34"/>
      <c r="R33" s="34"/>
    </row>
    <row r="34">
      <c r="A34" s="12"/>
      <c r="B34" s="39"/>
      <c r="C34" s="24" t="s">
        <v>20</v>
      </c>
      <c r="D34" s="40"/>
      <c r="E34" s="41"/>
      <c r="F34" s="41"/>
      <c r="G34" s="41"/>
      <c r="H34" s="41"/>
      <c r="I34" s="41"/>
      <c r="J34" s="41"/>
      <c r="K34" s="41"/>
      <c r="L34" s="41"/>
      <c r="M34" s="41"/>
      <c r="N34" s="40"/>
      <c r="O34" s="43" t="str">
        <f>M32/O33</f>
        <v>#DIV/0!</v>
      </c>
      <c r="P34" s="33"/>
      <c r="Q34" s="34"/>
      <c r="R34" s="34"/>
    </row>
    <row r="35">
      <c r="A35" s="12"/>
      <c r="B35" s="23" t="s">
        <v>73</v>
      </c>
      <c r="C35" s="24" t="s">
        <v>16</v>
      </c>
      <c r="D35" s="25" t="s">
        <v>74</v>
      </c>
      <c r="E35" s="44" t="s">
        <v>27</v>
      </c>
      <c r="F35" s="44" t="s">
        <v>27</v>
      </c>
      <c r="G35" s="26">
        <v>1200.0</v>
      </c>
      <c r="H35" s="26">
        <v>1550.0</v>
      </c>
      <c r="I35" s="26" t="s">
        <v>135</v>
      </c>
      <c r="J35" s="26" t="s">
        <v>135</v>
      </c>
      <c r="K35" s="26" t="s">
        <v>135</v>
      </c>
      <c r="L35" s="29" t="b">
        <v>0</v>
      </c>
      <c r="M35" s="30">
        <f>SUM(E35:L35)</f>
        <v>2750</v>
      </c>
      <c r="N35" s="31">
        <f>M35-7000</f>
        <v>-4250</v>
      </c>
      <c r="O35" s="32"/>
      <c r="P35" s="33"/>
      <c r="Q35" s="34"/>
      <c r="R35" s="34"/>
    </row>
    <row r="36">
      <c r="A36" s="12"/>
      <c r="B36" s="35"/>
      <c r="C36" s="24" t="s">
        <v>5</v>
      </c>
      <c r="D36" s="36"/>
      <c r="G36" s="37">
        <v>253.0</v>
      </c>
      <c r="H36" s="37">
        <v>203.0</v>
      </c>
      <c r="N36" s="36"/>
      <c r="O36" s="38">
        <f>SUM(E36:K36)</f>
        <v>456</v>
      </c>
      <c r="P36" s="33"/>
      <c r="Q36" s="34"/>
      <c r="R36" s="34"/>
    </row>
    <row r="37">
      <c r="A37" s="12"/>
      <c r="B37" s="39"/>
      <c r="C37" s="24" t="s">
        <v>20</v>
      </c>
      <c r="D37" s="40"/>
      <c r="E37" s="41"/>
      <c r="G37" s="17" t="s">
        <v>160</v>
      </c>
      <c r="H37" s="17" t="s">
        <v>161</v>
      </c>
      <c r="L37" s="41"/>
      <c r="M37" s="41"/>
      <c r="N37" s="40"/>
      <c r="O37" s="43">
        <f>M35/O36</f>
        <v>6.030701754</v>
      </c>
      <c r="P37" s="33"/>
      <c r="Q37" s="34"/>
      <c r="R37" s="34"/>
    </row>
    <row r="38">
      <c r="A38" s="12"/>
      <c r="B38" s="23" t="s">
        <v>76</v>
      </c>
      <c r="C38" s="24" t="s">
        <v>16</v>
      </c>
      <c r="D38" s="96" t="s">
        <v>77</v>
      </c>
      <c r="E38" s="102" t="s">
        <v>62</v>
      </c>
      <c r="F38" s="26">
        <v>4900.0</v>
      </c>
      <c r="G38" s="26" t="s">
        <v>135</v>
      </c>
      <c r="H38" s="26" t="s">
        <v>135</v>
      </c>
      <c r="I38" s="26">
        <v>1150.0</v>
      </c>
      <c r="J38" s="26" t="s">
        <v>135</v>
      </c>
      <c r="K38" s="26" t="s">
        <v>135</v>
      </c>
      <c r="L38" s="29" t="b">
        <v>0</v>
      </c>
      <c r="M38" s="30">
        <f>SUM(E38:L38)</f>
        <v>6050</v>
      </c>
      <c r="N38" s="31">
        <f>M38-7000</f>
        <v>-950</v>
      </c>
      <c r="O38" s="32"/>
      <c r="P38" s="33"/>
      <c r="Q38" s="34"/>
      <c r="R38" s="34"/>
    </row>
    <row r="39">
      <c r="A39" s="12"/>
      <c r="B39" s="35"/>
      <c r="C39" s="24" t="s">
        <v>5</v>
      </c>
      <c r="E39" s="99"/>
      <c r="F39" s="37">
        <f>54+2133</f>
        <v>2187</v>
      </c>
      <c r="I39" s="37">
        <v>520.0</v>
      </c>
      <c r="N39" s="36"/>
      <c r="O39" s="38">
        <f>SUM(E39:K39)</f>
        <v>2707</v>
      </c>
      <c r="P39" s="33"/>
      <c r="Q39" s="34"/>
      <c r="R39" s="34"/>
    </row>
    <row r="40">
      <c r="A40" s="12"/>
      <c r="B40" s="39"/>
      <c r="C40" s="24" t="s">
        <v>20</v>
      </c>
      <c r="D40" s="41"/>
      <c r="E40" s="100"/>
      <c r="F40" s="17" t="s">
        <v>162</v>
      </c>
      <c r="G40" s="41"/>
      <c r="I40" s="17" t="s">
        <v>163</v>
      </c>
      <c r="L40" s="41"/>
      <c r="M40" s="41"/>
      <c r="N40" s="40"/>
      <c r="O40" s="43">
        <f>M38/O39</f>
        <v>2.234946435</v>
      </c>
      <c r="P40" s="33"/>
      <c r="Q40" s="34"/>
      <c r="R40" s="34"/>
    </row>
    <row r="41">
      <c r="A41" s="12"/>
      <c r="B41" s="23" t="s">
        <v>82</v>
      </c>
      <c r="C41" s="24" t="s">
        <v>16</v>
      </c>
      <c r="D41" s="25" t="s">
        <v>83</v>
      </c>
      <c r="E41" s="101">
        <v>1200.0</v>
      </c>
      <c r="F41" s="26">
        <v>1700.0</v>
      </c>
      <c r="G41" s="37">
        <v>2000.0</v>
      </c>
      <c r="H41" s="26" t="s">
        <v>135</v>
      </c>
      <c r="I41" s="95" t="s">
        <v>139</v>
      </c>
      <c r="J41" s="95" t="s">
        <v>139</v>
      </c>
      <c r="K41" s="95" t="s">
        <v>139</v>
      </c>
      <c r="L41" s="29" t="b">
        <v>0</v>
      </c>
      <c r="M41" s="30">
        <f>SUM(E41:L41)</f>
        <v>4900</v>
      </c>
      <c r="N41" s="31">
        <f>M41-7000</f>
        <v>-2100</v>
      </c>
      <c r="O41" s="32"/>
      <c r="P41" s="33"/>
      <c r="Q41" s="34"/>
      <c r="R41" s="34"/>
    </row>
    <row r="42">
      <c r="A42" s="12"/>
      <c r="B42" s="35"/>
      <c r="C42" s="24" t="s">
        <v>5</v>
      </c>
      <c r="D42" s="36"/>
      <c r="E42" s="37">
        <f>33+481</f>
        <v>514</v>
      </c>
      <c r="F42" s="37">
        <f>107+718</f>
        <v>825</v>
      </c>
      <c r="G42" s="103">
        <f>122+20+463</f>
        <v>605</v>
      </c>
      <c r="N42" s="36"/>
      <c r="O42" s="38">
        <f>SUM(E42:K42)</f>
        <v>1944</v>
      </c>
      <c r="P42" s="33"/>
      <c r="Q42" s="34"/>
      <c r="R42" s="34"/>
    </row>
    <row r="43">
      <c r="A43" s="12"/>
      <c r="B43" s="39"/>
      <c r="C43" s="24" t="s">
        <v>20</v>
      </c>
      <c r="D43" s="40"/>
      <c r="E43" s="17" t="s">
        <v>164</v>
      </c>
      <c r="F43" s="17" t="s">
        <v>165</v>
      </c>
      <c r="G43" s="17" t="s">
        <v>166</v>
      </c>
      <c r="L43" s="41"/>
      <c r="M43" s="41"/>
      <c r="N43" s="40"/>
      <c r="O43" s="43">
        <f>M41/O42</f>
        <v>2.520576132</v>
      </c>
      <c r="P43" s="33"/>
      <c r="Q43" s="34"/>
      <c r="R43" s="34"/>
    </row>
    <row r="44">
      <c r="A44" s="12"/>
      <c r="B44" s="23" t="s">
        <v>86</v>
      </c>
      <c r="C44" s="24" t="s">
        <v>16</v>
      </c>
      <c r="D44" s="25" t="s">
        <v>87</v>
      </c>
      <c r="E44" s="26">
        <v>2100.0</v>
      </c>
      <c r="F44" s="26">
        <v>1600.0</v>
      </c>
      <c r="G44" s="26">
        <v>1600.0</v>
      </c>
      <c r="H44" s="26">
        <v>1950.0</v>
      </c>
      <c r="I44" s="95" t="s">
        <v>139</v>
      </c>
      <c r="J44" s="95" t="s">
        <v>139</v>
      </c>
      <c r="K44" s="95" t="s">
        <v>139</v>
      </c>
      <c r="L44" s="29" t="b">
        <v>0</v>
      </c>
      <c r="M44" s="30">
        <f>SUM(E44:L44)</f>
        <v>7250</v>
      </c>
      <c r="N44" s="31">
        <f>M44-7000</f>
        <v>250</v>
      </c>
      <c r="O44" s="32"/>
      <c r="P44" s="33"/>
      <c r="Q44" s="34"/>
      <c r="R44" s="34"/>
    </row>
    <row r="45">
      <c r="A45" s="12"/>
      <c r="B45" s="35"/>
      <c r="C45" s="24" t="s">
        <v>5</v>
      </c>
      <c r="D45" s="36"/>
      <c r="E45" s="37">
        <v>714.0</v>
      </c>
      <c r="F45" s="37">
        <v>376.0</v>
      </c>
      <c r="G45" s="37">
        <v>505.0</v>
      </c>
      <c r="H45" s="37">
        <v>650.0</v>
      </c>
      <c r="N45" s="36"/>
      <c r="O45" s="38">
        <f>SUM(E45:K45)</f>
        <v>2245</v>
      </c>
      <c r="P45" s="33"/>
      <c r="Q45" s="34"/>
      <c r="R45" s="34"/>
    </row>
    <row r="46">
      <c r="A46" s="12"/>
      <c r="B46" s="39"/>
      <c r="C46" s="24" t="s">
        <v>20</v>
      </c>
      <c r="D46" s="40"/>
      <c r="E46" s="17" t="s">
        <v>167</v>
      </c>
      <c r="F46" s="17" t="s">
        <v>168</v>
      </c>
      <c r="G46" s="17" t="s">
        <v>169</v>
      </c>
      <c r="H46" s="17" t="s">
        <v>170</v>
      </c>
      <c r="L46" s="41"/>
      <c r="M46" s="41"/>
      <c r="N46" s="40"/>
      <c r="O46" s="43">
        <f>M44/O45</f>
        <v>3.229398664</v>
      </c>
      <c r="P46" s="33"/>
      <c r="Q46" s="34"/>
      <c r="R46" s="34"/>
    </row>
    <row r="47">
      <c r="A47" s="12"/>
      <c r="B47" s="23" t="s">
        <v>94</v>
      </c>
      <c r="C47" s="24" t="s">
        <v>16</v>
      </c>
      <c r="D47" s="25" t="s">
        <v>95</v>
      </c>
      <c r="E47" s="26" t="s">
        <v>135</v>
      </c>
      <c r="F47" s="26">
        <v>5400.0</v>
      </c>
      <c r="G47" s="26" t="s">
        <v>135</v>
      </c>
      <c r="H47" s="26" t="s">
        <v>135</v>
      </c>
      <c r="I47" s="26">
        <v>4100.0</v>
      </c>
      <c r="J47" s="26" t="s">
        <v>135</v>
      </c>
      <c r="K47" s="26" t="s">
        <v>135</v>
      </c>
      <c r="L47" s="29" t="b">
        <v>0</v>
      </c>
      <c r="M47" s="30">
        <f>SUM(E47:L47)</f>
        <v>9500</v>
      </c>
      <c r="N47" s="31">
        <f>M47-7000</f>
        <v>2500</v>
      </c>
      <c r="O47" s="32"/>
      <c r="P47" s="33"/>
      <c r="Q47" s="34"/>
      <c r="R47" s="34"/>
    </row>
    <row r="48">
      <c r="A48" s="12"/>
      <c r="B48" s="35"/>
      <c r="C48" s="24" t="s">
        <v>5</v>
      </c>
      <c r="D48" s="36"/>
      <c r="F48" s="37">
        <v>2217.0</v>
      </c>
      <c r="I48" s="37">
        <v>2038.0</v>
      </c>
      <c r="N48" s="36"/>
      <c r="O48" s="38">
        <f>SUM(F48:K48)</f>
        <v>4255</v>
      </c>
      <c r="P48" s="33"/>
      <c r="Q48" s="34"/>
      <c r="R48" s="34"/>
    </row>
    <row r="49">
      <c r="A49" s="12"/>
      <c r="B49" s="39"/>
      <c r="C49" s="24" t="s">
        <v>20</v>
      </c>
      <c r="D49" s="40"/>
      <c r="F49" s="17" t="s">
        <v>171</v>
      </c>
      <c r="I49" s="17" t="s">
        <v>172</v>
      </c>
      <c r="L49" s="41"/>
      <c r="M49" s="41"/>
      <c r="N49" s="40"/>
      <c r="O49" s="43">
        <f>M47/O48</f>
        <v>2.23266745</v>
      </c>
      <c r="P49" s="33"/>
      <c r="Q49" s="34"/>
      <c r="R49" s="34"/>
    </row>
    <row r="50">
      <c r="A50" s="12"/>
      <c r="B50" s="23" t="s">
        <v>98</v>
      </c>
      <c r="C50" s="24" t="s">
        <v>16</v>
      </c>
      <c r="D50" s="25" t="s">
        <v>99</v>
      </c>
      <c r="E50" s="26" t="s">
        <v>135</v>
      </c>
      <c r="F50" s="26">
        <v>5100.0</v>
      </c>
      <c r="G50" s="26" t="s">
        <v>135</v>
      </c>
      <c r="H50" s="26" t="s">
        <v>135</v>
      </c>
      <c r="I50" s="95" t="s">
        <v>139</v>
      </c>
      <c r="J50" s="95" t="s">
        <v>139</v>
      </c>
      <c r="K50" s="95" t="s">
        <v>139</v>
      </c>
      <c r="L50" s="29" t="b">
        <v>0</v>
      </c>
      <c r="M50" s="30">
        <f>SUM(E50:L50)</f>
        <v>5100</v>
      </c>
      <c r="N50" s="31">
        <f>M50-7000</f>
        <v>-1900</v>
      </c>
      <c r="O50" s="32"/>
      <c r="P50" s="33"/>
      <c r="Q50" s="34"/>
      <c r="R50" s="34"/>
    </row>
    <row r="51">
      <c r="A51" s="12"/>
      <c r="B51" s="35"/>
      <c r="C51" s="24" t="s">
        <v>5</v>
      </c>
      <c r="D51" s="36"/>
      <c r="F51" s="37">
        <v>2245.0</v>
      </c>
      <c r="N51" s="36"/>
      <c r="O51" s="38">
        <f>SUM(E51:K51)</f>
        <v>2245</v>
      </c>
      <c r="P51" s="33"/>
      <c r="Q51" s="34"/>
      <c r="R51" s="34"/>
    </row>
    <row r="52">
      <c r="A52" s="12"/>
      <c r="B52" s="39"/>
      <c r="C52" s="24" t="s">
        <v>20</v>
      </c>
      <c r="D52" s="40"/>
      <c r="F52" s="17" t="s">
        <v>173</v>
      </c>
      <c r="L52" s="41"/>
      <c r="M52" s="41"/>
      <c r="N52" s="40"/>
      <c r="O52" s="43">
        <f>M50/O51</f>
        <v>2.271714922</v>
      </c>
      <c r="P52" s="33"/>
      <c r="Q52" s="34"/>
      <c r="R52" s="34"/>
    </row>
    <row r="53">
      <c r="A53" s="12"/>
      <c r="B53" s="23" t="s">
        <v>104</v>
      </c>
      <c r="C53" s="24" t="s">
        <v>16</v>
      </c>
      <c r="D53" s="25" t="s">
        <v>105</v>
      </c>
      <c r="E53" s="44" t="s">
        <v>88</v>
      </c>
      <c r="F53" s="44" t="s">
        <v>88</v>
      </c>
      <c r="G53" s="26">
        <v>3900.0</v>
      </c>
      <c r="H53" s="26" t="s">
        <v>135</v>
      </c>
      <c r="I53" s="26">
        <v>1300.0</v>
      </c>
      <c r="J53" s="26" t="s">
        <v>135</v>
      </c>
      <c r="K53" s="26" t="s">
        <v>135</v>
      </c>
      <c r="L53" s="29" t="b">
        <v>0</v>
      </c>
      <c r="M53" s="30">
        <f>SUM(E53:L53)</f>
        <v>5200</v>
      </c>
      <c r="N53" s="31">
        <f>M53-7000</f>
        <v>-1800</v>
      </c>
      <c r="O53" s="32"/>
      <c r="P53" s="33"/>
      <c r="Q53" s="34"/>
      <c r="R53" s="34"/>
    </row>
    <row r="54">
      <c r="A54" s="12"/>
      <c r="B54" s="35"/>
      <c r="C54" s="24" t="s">
        <v>5</v>
      </c>
      <c r="D54" s="36"/>
      <c r="G54" s="37">
        <v>1304.0</v>
      </c>
      <c r="I54" s="37">
        <v>567.0</v>
      </c>
      <c r="N54" s="36"/>
      <c r="O54" s="38">
        <f>SUM(E54:K54)</f>
        <v>1871</v>
      </c>
      <c r="P54" s="33"/>
      <c r="Q54" s="34"/>
      <c r="R54" s="34"/>
    </row>
    <row r="55">
      <c r="A55" s="12"/>
      <c r="B55" s="39"/>
      <c r="C55" s="24" t="s">
        <v>20</v>
      </c>
      <c r="D55" s="40"/>
      <c r="G55" s="17" t="s">
        <v>174</v>
      </c>
      <c r="I55" s="17" t="s">
        <v>175</v>
      </c>
      <c r="J55" s="41"/>
      <c r="K55" s="41"/>
      <c r="L55" s="41"/>
      <c r="M55" s="41"/>
      <c r="N55" s="40"/>
      <c r="O55" s="43">
        <f>M53/O54</f>
        <v>2.779262427</v>
      </c>
      <c r="P55" s="33"/>
      <c r="Q55" s="34"/>
      <c r="R55" s="34"/>
    </row>
    <row r="56">
      <c r="A56" s="12"/>
      <c r="B56" s="23" t="s">
        <v>108</v>
      </c>
      <c r="C56" s="24" t="s">
        <v>16</v>
      </c>
      <c r="D56" s="25" t="s">
        <v>109</v>
      </c>
      <c r="E56" s="26">
        <v>1550.0</v>
      </c>
      <c r="F56" s="26">
        <v>2600.0</v>
      </c>
      <c r="G56" s="26">
        <v>1500.0</v>
      </c>
      <c r="H56" s="26">
        <v>1400.0</v>
      </c>
      <c r="I56" s="26">
        <v>5000.0</v>
      </c>
      <c r="J56" s="26" t="s">
        <v>135</v>
      </c>
      <c r="K56" s="26" t="s">
        <v>135</v>
      </c>
      <c r="L56" s="29" t="b">
        <v>0</v>
      </c>
      <c r="M56" s="30">
        <f>SUM(E56:L56)</f>
        <v>12050</v>
      </c>
      <c r="N56" s="31">
        <f>M56-7000</f>
        <v>5050</v>
      </c>
      <c r="O56" s="32"/>
      <c r="P56" s="33"/>
      <c r="Q56" s="34"/>
      <c r="R56" s="34"/>
    </row>
    <row r="57">
      <c r="A57" s="12"/>
      <c r="B57" s="35"/>
      <c r="C57" s="24" t="s">
        <v>5</v>
      </c>
      <c r="D57" s="36"/>
      <c r="E57" s="37">
        <f>64+663+50</f>
        <v>777</v>
      </c>
      <c r="F57" s="37">
        <f>590+27</f>
        <v>617</v>
      </c>
      <c r="G57" s="37">
        <f>553+73</f>
        <v>626</v>
      </c>
      <c r="H57" s="37">
        <f>471+6</f>
        <v>477</v>
      </c>
      <c r="I57" s="37">
        <f>1508+46</f>
        <v>1554</v>
      </c>
      <c r="N57" s="36"/>
      <c r="O57" s="38">
        <f>SUM(E57:K57)</f>
        <v>4051</v>
      </c>
      <c r="P57" s="33"/>
      <c r="Q57" s="34"/>
      <c r="R57" s="34"/>
    </row>
    <row r="58">
      <c r="A58" s="12"/>
      <c r="B58" s="39"/>
      <c r="C58" s="24" t="s">
        <v>20</v>
      </c>
      <c r="D58" s="40"/>
      <c r="E58" s="17" t="s">
        <v>176</v>
      </c>
      <c r="F58" s="17" t="s">
        <v>177</v>
      </c>
      <c r="G58" s="17" t="s">
        <v>178</v>
      </c>
      <c r="H58" s="17" t="s">
        <v>179</v>
      </c>
      <c r="I58" s="17" t="s">
        <v>180</v>
      </c>
      <c r="J58" s="41"/>
      <c r="K58" s="41"/>
      <c r="L58" s="41"/>
      <c r="M58" s="41"/>
      <c r="N58" s="40"/>
      <c r="O58" s="43">
        <f>M56/O57</f>
        <v>2.974574179</v>
      </c>
      <c r="P58" s="33"/>
      <c r="Q58" s="34"/>
      <c r="R58" s="34"/>
    </row>
    <row r="59">
      <c r="A59" s="12"/>
      <c r="B59" s="23" t="s">
        <v>114</v>
      </c>
      <c r="C59" s="24" t="s">
        <v>16</v>
      </c>
      <c r="D59" s="25" t="s">
        <v>115</v>
      </c>
      <c r="E59" s="26">
        <v>4100.0</v>
      </c>
      <c r="F59" s="26" t="s">
        <v>135</v>
      </c>
      <c r="G59" s="26" t="s">
        <v>135</v>
      </c>
      <c r="H59" s="26">
        <v>1400.0</v>
      </c>
      <c r="I59" s="44" t="s">
        <v>181</v>
      </c>
      <c r="J59" s="44" t="s">
        <v>181</v>
      </c>
      <c r="K59" s="44" t="s">
        <v>181</v>
      </c>
      <c r="L59" s="29" t="b">
        <v>0</v>
      </c>
      <c r="M59" s="30">
        <f>SUM(E59:L59)</f>
        <v>5500</v>
      </c>
      <c r="N59" s="31">
        <f>M59-7000</f>
        <v>-1500</v>
      </c>
      <c r="O59" s="32"/>
      <c r="P59" s="33"/>
      <c r="Q59" s="34"/>
      <c r="R59" s="34"/>
    </row>
    <row r="60">
      <c r="A60" s="12"/>
      <c r="B60" s="35"/>
      <c r="C60" s="24" t="s">
        <v>5</v>
      </c>
      <c r="D60" s="36"/>
      <c r="E60" s="37">
        <f>1947+107</f>
        <v>2054</v>
      </c>
      <c r="H60" s="37">
        <f>662</f>
        <v>662</v>
      </c>
      <c r="N60" s="36"/>
      <c r="O60" s="38">
        <f>SUM(E60:K60)</f>
        <v>2716</v>
      </c>
      <c r="P60" s="33"/>
      <c r="Q60" s="34"/>
      <c r="R60" s="34"/>
    </row>
    <row r="61">
      <c r="A61" s="12"/>
      <c r="B61" s="39"/>
      <c r="C61" s="24" t="s">
        <v>20</v>
      </c>
      <c r="D61" s="40"/>
      <c r="E61" s="50" t="s">
        <v>182</v>
      </c>
      <c r="F61" s="41"/>
      <c r="G61" s="41"/>
      <c r="H61" s="50" t="s">
        <v>183</v>
      </c>
      <c r="I61" s="41"/>
      <c r="J61" s="41"/>
      <c r="K61" s="41"/>
      <c r="L61" s="41"/>
      <c r="M61" s="41"/>
      <c r="N61" s="40"/>
      <c r="O61" s="43">
        <f>M59/O60</f>
        <v>2.025036819</v>
      </c>
      <c r="P61" s="33"/>
      <c r="Q61" s="34"/>
      <c r="R61" s="34"/>
    </row>
    <row r="62" ht="14.25" customHeight="1">
      <c r="A62" s="51"/>
      <c r="B62" s="52"/>
      <c r="C62" s="53"/>
      <c r="D62" s="54">
        <f>counta(D5:D61)</f>
        <v>19</v>
      </c>
      <c r="E62" s="37">
        <f t="shared" ref="E62:K62" si="2">$D$62-(COUNTIF(E5:E61, "TRUCK ISSUE") + COUNTIF(E5:E61, "NEW DRIVER") + COUNTIF(E5:E61, "LEFT") + COUNTIF(E5:E61, "YARD"))</f>
        <v>16</v>
      </c>
      <c r="F62" s="37">
        <f t="shared" si="2"/>
        <v>16</v>
      </c>
      <c r="G62" s="37">
        <f t="shared" si="2"/>
        <v>17</v>
      </c>
      <c r="H62" s="37">
        <f t="shared" si="2"/>
        <v>17</v>
      </c>
      <c r="I62" s="37">
        <f t="shared" si="2"/>
        <v>17</v>
      </c>
      <c r="J62" s="37">
        <f t="shared" si="2"/>
        <v>17</v>
      </c>
      <c r="K62" s="37">
        <f t="shared" si="2"/>
        <v>17</v>
      </c>
      <c r="L62" s="55"/>
      <c r="M62" s="55"/>
      <c r="N62" s="55"/>
      <c r="O62" s="55"/>
      <c r="P62" s="55"/>
      <c r="Q62" s="56"/>
      <c r="R62" s="56"/>
    </row>
    <row r="63" ht="14.25" customHeight="1">
      <c r="A63" s="51"/>
      <c r="B63" s="55"/>
      <c r="C63" s="55"/>
      <c r="D63" s="48"/>
      <c r="E63" s="48"/>
      <c r="F63" s="48"/>
      <c r="G63" s="48"/>
      <c r="H63" s="48"/>
      <c r="I63" s="48"/>
      <c r="J63" s="48"/>
      <c r="K63" s="48"/>
      <c r="L63" s="55"/>
      <c r="M63" s="55"/>
      <c r="N63" s="55"/>
      <c r="O63" s="55"/>
      <c r="P63" s="55"/>
      <c r="Q63" s="56"/>
      <c r="R63" s="56"/>
    </row>
    <row r="64">
      <c r="A64" s="12"/>
      <c r="B64" s="57" t="s">
        <v>120</v>
      </c>
      <c r="C64" s="58"/>
      <c r="D64" s="59" t="s">
        <v>121</v>
      </c>
      <c r="E64" s="60">
        <f t="shared" ref="E64:K64" si="3">SUM(E59,E56,E53,E50,E47,E44,E41,E38,E35,E32,E29,E26,E23,E20,E17,E14,E11,E8,E5)</f>
        <v>23850</v>
      </c>
      <c r="F64" s="60">
        <f t="shared" si="3"/>
        <v>26200</v>
      </c>
      <c r="G64" s="60">
        <f t="shared" si="3"/>
        <v>19500</v>
      </c>
      <c r="H64" s="60">
        <f t="shared" si="3"/>
        <v>19200</v>
      </c>
      <c r="I64" s="60">
        <f t="shared" si="3"/>
        <v>19598</v>
      </c>
      <c r="J64" s="60">
        <f t="shared" si="3"/>
        <v>4510</v>
      </c>
      <c r="K64" s="60">
        <f t="shared" si="3"/>
        <v>700</v>
      </c>
      <c r="L64" s="61" t="s">
        <v>122</v>
      </c>
      <c r="M64" s="62">
        <f>SUM(E64:L64)</f>
        <v>113558</v>
      </c>
      <c r="N64" s="63"/>
      <c r="O64" s="64" t="s">
        <v>123</v>
      </c>
      <c r="P64" s="65">
        <f>COUNTIF(E5:K61, "No loads")</f>
        <v>0</v>
      </c>
      <c r="Q64" s="66"/>
      <c r="R64" s="66"/>
    </row>
    <row r="65">
      <c r="A65" s="12"/>
      <c r="B65" s="67">
        <f>D62</f>
        <v>19</v>
      </c>
      <c r="C65" s="68"/>
      <c r="D65" s="69" t="s">
        <v>124</v>
      </c>
      <c r="E65" s="70">
        <f t="shared" ref="E65:K65" si="4">E62</f>
        <v>16</v>
      </c>
      <c r="F65" s="70">
        <f t="shared" si="4"/>
        <v>16</v>
      </c>
      <c r="G65" s="70">
        <f t="shared" si="4"/>
        <v>17</v>
      </c>
      <c r="H65" s="70">
        <f t="shared" si="4"/>
        <v>17</v>
      </c>
      <c r="I65" s="70">
        <f t="shared" si="4"/>
        <v>17</v>
      </c>
      <c r="J65" s="70">
        <f t="shared" si="4"/>
        <v>17</v>
      </c>
      <c r="K65" s="70">
        <f t="shared" si="4"/>
        <v>17</v>
      </c>
      <c r="L65" s="71" t="s">
        <v>125</v>
      </c>
      <c r="M65" s="72">
        <f t="shared" ref="M65:M66" si="6">AVERAGE(E65:L65)</f>
        <v>16.71428571</v>
      </c>
      <c r="N65" s="63"/>
      <c r="O65" s="73" t="s">
        <v>27</v>
      </c>
      <c r="P65" s="74">
        <f>COUNTIF(E5:K61, "Home")</f>
        <v>4</v>
      </c>
      <c r="Q65" s="66"/>
      <c r="R65" s="66"/>
    </row>
    <row r="66">
      <c r="A66" s="12"/>
      <c r="B66" s="75"/>
      <c r="C66" s="75"/>
      <c r="D66" s="69" t="s">
        <v>124</v>
      </c>
      <c r="E66" s="76">
        <f t="shared" ref="E66:J66" si="5">$D$62-(COUNTIF(E5:E61, "TRUCK ISSUE") + COUNTIF(E5:E61, "NEW DRIVER") + COUNTIF(E5:E61, "LEFT") + COUNTIF(E5:E61, "YARD")+ COUNTIF(E5:E61, "HOME"))</f>
        <v>14</v>
      </c>
      <c r="F66" s="76">
        <f t="shared" si="5"/>
        <v>14</v>
      </c>
      <c r="G66" s="76">
        <f t="shared" si="5"/>
        <v>17</v>
      </c>
      <c r="H66" s="76">
        <f t="shared" si="5"/>
        <v>17</v>
      </c>
      <c r="I66" s="76">
        <f t="shared" si="5"/>
        <v>17</v>
      </c>
      <c r="J66" s="76">
        <f t="shared" si="5"/>
        <v>17</v>
      </c>
      <c r="K66" s="76">
        <f>$D$62-(COUNTIF(K5:K61, "TRUCK ISSUE") + COUNTIF(K5:K61, "NEW DRIVER") + COUNTIF(K5:K61, "LEFT") + COUNTIF(K5:K61, "YARD")+ COUNTIF(K5:K61, "HOME")+COUNTIF(K5:K61, "REST"))</f>
        <v>17</v>
      </c>
      <c r="L66" s="71" t="s">
        <v>126</v>
      </c>
      <c r="M66" s="72">
        <f t="shared" si="6"/>
        <v>16.14285714</v>
      </c>
      <c r="N66" s="66"/>
      <c r="O66" s="77" t="s">
        <v>62</v>
      </c>
      <c r="P66" s="74">
        <f>COUNTIF(E6:K62, "Rest")</f>
        <v>1</v>
      </c>
      <c r="Q66" s="66"/>
      <c r="R66" s="66"/>
    </row>
    <row r="67" ht="24.75" customHeight="1">
      <c r="A67" s="12"/>
      <c r="B67" s="75"/>
      <c r="C67" s="75"/>
      <c r="D67" s="78" t="s">
        <v>127</v>
      </c>
      <c r="E67" s="79">
        <f t="shared" ref="E67:F67" si="7">SUM(E60,E57,E54,E51,E48,E45,E42,E39,E36,E33,E30,E27,E24,E21,E18,E15,E12,E9,E6)</f>
        <v>9603</v>
      </c>
      <c r="F67" s="79">
        <f t="shared" si="7"/>
        <v>10193</v>
      </c>
      <c r="G67" s="79">
        <f>SUM(G60,G57,G54,G51,G48,G45,G41,G39,G36,G33,G30,G27,G24,G21,G18,G15,G12,G9,G6)</f>
        <v>8003</v>
      </c>
      <c r="H67" s="79">
        <f t="shared" ref="H67:K67" si="8">SUM(H60,H57,H54,H51,H48,H45,H42,H39,H36,H33,H30,H27,H24,H21,H18,H15,H12,H9,H6)</f>
        <v>5942</v>
      </c>
      <c r="I67" s="79">
        <f t="shared" si="8"/>
        <v>7336</v>
      </c>
      <c r="J67" s="79">
        <f t="shared" si="8"/>
        <v>1570</v>
      </c>
      <c r="K67" s="79">
        <f t="shared" si="8"/>
        <v>27</v>
      </c>
      <c r="L67" s="80" t="s">
        <v>128</v>
      </c>
      <c r="M67" s="81">
        <f>SUM(E67:K67)</f>
        <v>42674</v>
      </c>
      <c r="N67" s="66"/>
      <c r="O67" s="82" t="s">
        <v>88</v>
      </c>
      <c r="P67" s="74">
        <f>COUNTIF(E5:K61, "TRUCK ISSUE")</f>
        <v>2</v>
      </c>
      <c r="Q67" s="75"/>
      <c r="R67" s="75"/>
    </row>
    <row r="68">
      <c r="A68" s="12"/>
      <c r="B68" s="75"/>
      <c r="C68" s="75"/>
      <c r="D68" s="78" t="s">
        <v>129</v>
      </c>
      <c r="E68" s="83">
        <f t="shared" ref="E68:K68" si="9">E64/E67</f>
        <v>2.483598875</v>
      </c>
      <c r="F68" s="83">
        <f t="shared" si="9"/>
        <v>2.570391445</v>
      </c>
      <c r="G68" s="83">
        <f t="shared" si="9"/>
        <v>2.43658628</v>
      </c>
      <c r="H68" s="83">
        <f t="shared" si="9"/>
        <v>3.231235274</v>
      </c>
      <c r="I68" s="83">
        <f t="shared" si="9"/>
        <v>2.671483097</v>
      </c>
      <c r="J68" s="83">
        <f t="shared" si="9"/>
        <v>2.872611465</v>
      </c>
      <c r="K68" s="83">
        <f t="shared" si="9"/>
        <v>25.92592593</v>
      </c>
      <c r="L68" s="80" t="s">
        <v>130</v>
      </c>
      <c r="M68" s="84">
        <f>M64/M67</f>
        <v>2.661058256</v>
      </c>
      <c r="N68" s="63"/>
      <c r="O68" s="82" t="s">
        <v>71</v>
      </c>
      <c r="P68" s="74">
        <f>COUNTIF(E5:K61, "YARD")</f>
        <v>14</v>
      </c>
      <c r="Q68" s="66"/>
      <c r="R68" s="66"/>
    </row>
    <row r="69">
      <c r="A69" s="12"/>
      <c r="B69" s="75"/>
      <c r="C69" s="75"/>
      <c r="D69" s="85" t="s">
        <v>131</v>
      </c>
      <c r="E69" s="86">
        <f t="shared" ref="E69:K69" si="10">E64/E65</f>
        <v>1490.625</v>
      </c>
      <c r="F69" s="86">
        <f t="shared" si="10"/>
        <v>1637.5</v>
      </c>
      <c r="G69" s="86">
        <f t="shared" si="10"/>
        <v>1147.058824</v>
      </c>
      <c r="H69" s="86">
        <f t="shared" si="10"/>
        <v>1129.411765</v>
      </c>
      <c r="I69" s="86">
        <f t="shared" si="10"/>
        <v>1152.823529</v>
      </c>
      <c r="J69" s="86">
        <f t="shared" si="10"/>
        <v>265.2941176</v>
      </c>
      <c r="K69" s="86">
        <f t="shared" si="10"/>
        <v>41.17647059</v>
      </c>
      <c r="L69" s="80" t="s">
        <v>132</v>
      </c>
      <c r="M69" s="84">
        <f>M64/M65</f>
        <v>6794.068376</v>
      </c>
      <c r="N69" s="63"/>
      <c r="O69" s="87" t="s">
        <v>133</v>
      </c>
      <c r="P69" s="88">
        <f>COUNTIF(E5:K61, "MISSED APPOINMENT TIME")+COUNTIF(E5:K61, "CANCELLED")</f>
        <v>0</v>
      </c>
      <c r="Q69" s="48"/>
      <c r="R69" s="48"/>
    </row>
    <row r="70">
      <c r="A70" s="12"/>
      <c r="B70" s="66"/>
      <c r="C70" s="66"/>
      <c r="D70" s="66"/>
      <c r="E70" s="66"/>
      <c r="F70" s="66"/>
      <c r="G70" s="66"/>
      <c r="H70" s="66"/>
      <c r="I70" s="66"/>
      <c r="J70" s="66"/>
      <c r="K70" s="89"/>
      <c r="L70" s="90" t="s">
        <v>134</v>
      </c>
      <c r="M70" s="91">
        <f>M64/M66</f>
        <v>7034.566372</v>
      </c>
      <c r="N70" s="92"/>
      <c r="O70" s="92"/>
      <c r="P70" s="92"/>
      <c r="Q70" s="48"/>
      <c r="R70" s="48"/>
    </row>
    <row r="71">
      <c r="A71" s="93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3"/>
      <c r="P71" s="92"/>
      <c r="Q71" s="22"/>
      <c r="R71" s="22"/>
    </row>
    <row r="72">
      <c r="A72" s="93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19"/>
      <c r="P72" s="22"/>
      <c r="Q72" s="22"/>
      <c r="R72" s="22"/>
    </row>
    <row r="73">
      <c r="A73" s="93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19"/>
      <c r="P73" s="22"/>
      <c r="Q73" s="22"/>
      <c r="R73" s="22"/>
    </row>
    <row r="74" hidden="1">
      <c r="A74" s="93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19"/>
      <c r="P74" s="22"/>
      <c r="Q74" s="22"/>
      <c r="R74" s="22"/>
    </row>
    <row r="75" hidden="1">
      <c r="A75" s="93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19"/>
      <c r="P75" s="22"/>
      <c r="Q75" s="22"/>
      <c r="R75" s="22"/>
    </row>
    <row r="76" hidden="1">
      <c r="A76" s="93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19"/>
      <c r="P76" s="22"/>
      <c r="Q76" s="22"/>
      <c r="R76" s="22"/>
    </row>
    <row r="77" hidden="1">
      <c r="A77" s="93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19"/>
      <c r="P77" s="22"/>
      <c r="Q77" s="22"/>
      <c r="R77" s="22"/>
    </row>
    <row r="78" hidden="1">
      <c r="A78" s="93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19"/>
      <c r="P78" s="22"/>
      <c r="Q78" s="22"/>
      <c r="R78" s="22"/>
    </row>
    <row r="79" hidden="1">
      <c r="A79" s="93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19"/>
      <c r="P79" s="22"/>
      <c r="Q79" s="22"/>
      <c r="R79" s="22"/>
    </row>
    <row r="80" hidden="1">
      <c r="A80" s="93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19"/>
      <c r="P80" s="22"/>
      <c r="Q80" s="22"/>
      <c r="R80" s="22"/>
    </row>
    <row r="81" hidden="1">
      <c r="A81" s="93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19"/>
      <c r="P81" s="22"/>
      <c r="Q81" s="22"/>
      <c r="R81" s="22"/>
    </row>
    <row r="82" hidden="1">
      <c r="A82" s="93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19"/>
      <c r="P82" s="22"/>
      <c r="Q82" s="22"/>
      <c r="R82" s="22"/>
    </row>
    <row r="83" hidden="1">
      <c r="A83" s="93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19"/>
      <c r="P83" s="22"/>
      <c r="Q83" s="22"/>
      <c r="R83" s="22"/>
    </row>
    <row r="84" hidden="1">
      <c r="A84" s="93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19"/>
      <c r="P84" s="22"/>
      <c r="Q84" s="22"/>
      <c r="R84" s="22"/>
    </row>
    <row r="85" hidden="1">
      <c r="A85" s="93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19"/>
      <c r="P85" s="22"/>
      <c r="Q85" s="22"/>
      <c r="R85" s="22"/>
    </row>
    <row r="86" hidden="1">
      <c r="A86" s="93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19"/>
      <c r="P86" s="22"/>
      <c r="Q86" s="22"/>
      <c r="R86" s="22"/>
    </row>
    <row r="87" hidden="1">
      <c r="A87" s="93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19"/>
      <c r="P87" s="22"/>
      <c r="Q87" s="22"/>
      <c r="R87" s="22"/>
    </row>
    <row r="88" hidden="1">
      <c r="A88" s="93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19"/>
      <c r="P88" s="22"/>
      <c r="Q88" s="22"/>
      <c r="R88" s="22"/>
    </row>
    <row r="89" hidden="1">
      <c r="A89" s="93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19"/>
      <c r="P89" s="22"/>
      <c r="Q89" s="22"/>
      <c r="R89" s="22"/>
    </row>
    <row r="90" hidden="1">
      <c r="A90" s="93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19"/>
      <c r="P90" s="22"/>
      <c r="Q90" s="22"/>
      <c r="R90" s="22"/>
    </row>
    <row r="91" hidden="1">
      <c r="A91" s="93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19"/>
      <c r="P91" s="22"/>
      <c r="Q91" s="22"/>
      <c r="R91" s="22"/>
    </row>
    <row r="92" hidden="1">
      <c r="A92" s="93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19"/>
      <c r="P92" s="22"/>
      <c r="Q92" s="22"/>
      <c r="R92" s="22"/>
    </row>
    <row r="93" hidden="1">
      <c r="A93" s="93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19"/>
      <c r="P93" s="22"/>
      <c r="Q93" s="22"/>
      <c r="R93" s="22"/>
    </row>
    <row r="94" hidden="1">
      <c r="A94" s="93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19"/>
      <c r="P94" s="22"/>
      <c r="Q94" s="22"/>
      <c r="R94" s="22"/>
    </row>
    <row r="95" hidden="1">
      <c r="A95" s="93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19"/>
      <c r="P95" s="22"/>
      <c r="Q95" s="22"/>
      <c r="R95" s="22"/>
    </row>
    <row r="96" hidden="1">
      <c r="A96" s="93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19"/>
      <c r="P96" s="22"/>
      <c r="Q96" s="22"/>
      <c r="R96" s="22"/>
    </row>
    <row r="97" hidden="1">
      <c r="A97" s="93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19"/>
      <c r="P97" s="22"/>
      <c r="Q97" s="22"/>
      <c r="R97" s="22"/>
    </row>
    <row r="98" hidden="1">
      <c r="A98" s="93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19"/>
      <c r="P98" s="22"/>
      <c r="Q98" s="22"/>
      <c r="R98" s="22"/>
    </row>
    <row r="99" hidden="1">
      <c r="A99" s="93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19"/>
      <c r="P99" s="22"/>
      <c r="Q99" s="22"/>
      <c r="R99" s="22"/>
    </row>
    <row r="100" hidden="1">
      <c r="A100" s="93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19"/>
      <c r="P100" s="22"/>
      <c r="Q100" s="22"/>
      <c r="R100" s="22"/>
    </row>
    <row r="101" hidden="1">
      <c r="A101" s="93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19"/>
      <c r="P101" s="22"/>
      <c r="Q101" s="22"/>
      <c r="R101" s="22"/>
    </row>
    <row r="102" hidden="1">
      <c r="A102" s="93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19"/>
      <c r="P102" s="22"/>
      <c r="Q102" s="22"/>
      <c r="R102" s="22"/>
    </row>
    <row r="103" hidden="1">
      <c r="A103" s="93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19"/>
      <c r="P103" s="22"/>
      <c r="Q103" s="22"/>
      <c r="R103" s="22"/>
    </row>
    <row r="104" hidden="1">
      <c r="A104" s="93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19"/>
      <c r="P104" s="22"/>
      <c r="Q104" s="22"/>
      <c r="R104" s="22"/>
    </row>
    <row r="105" hidden="1">
      <c r="A105" s="93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19"/>
      <c r="P105" s="22"/>
      <c r="Q105" s="22"/>
      <c r="R105" s="22"/>
    </row>
    <row r="106" hidden="1">
      <c r="A106" s="93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19"/>
      <c r="P106" s="22"/>
      <c r="Q106" s="22"/>
      <c r="R106" s="22"/>
    </row>
    <row r="107" hidden="1">
      <c r="A107" s="93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19"/>
      <c r="P107" s="22"/>
      <c r="Q107" s="22"/>
      <c r="R107" s="22"/>
    </row>
    <row r="108" hidden="1">
      <c r="A108" s="93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19"/>
      <c r="P108" s="22"/>
      <c r="Q108" s="22"/>
      <c r="R108" s="22"/>
    </row>
    <row r="109" hidden="1">
      <c r="A109" s="93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19"/>
      <c r="P109" s="22"/>
      <c r="Q109" s="22"/>
      <c r="R109" s="22"/>
    </row>
    <row r="110" hidden="1">
      <c r="A110" s="93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19"/>
      <c r="P110" s="22"/>
      <c r="Q110" s="22"/>
      <c r="R110" s="22"/>
    </row>
    <row r="111" hidden="1">
      <c r="A111" s="93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19"/>
      <c r="P111" s="22"/>
      <c r="Q111" s="22"/>
      <c r="R111" s="22"/>
    </row>
    <row r="112" hidden="1">
      <c r="A112" s="93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19"/>
      <c r="P112" s="22"/>
      <c r="Q112" s="22"/>
      <c r="R112" s="22"/>
    </row>
    <row r="113" hidden="1">
      <c r="A113" s="93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19"/>
      <c r="P113" s="22"/>
      <c r="Q113" s="22"/>
      <c r="R113" s="22"/>
    </row>
    <row r="114" hidden="1">
      <c r="A114" s="93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19"/>
      <c r="P114" s="22"/>
      <c r="Q114" s="22"/>
      <c r="R114" s="22"/>
    </row>
    <row r="115" hidden="1">
      <c r="A115" s="93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19"/>
      <c r="P115" s="22"/>
      <c r="Q115" s="22"/>
      <c r="R115" s="22"/>
    </row>
    <row r="116" hidden="1">
      <c r="A116" s="93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19"/>
      <c r="P116" s="22"/>
      <c r="Q116" s="22"/>
      <c r="R116" s="22"/>
    </row>
    <row r="117" hidden="1">
      <c r="A117" s="93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19"/>
      <c r="P117" s="22"/>
      <c r="Q117" s="22"/>
      <c r="R117" s="22"/>
    </row>
    <row r="118" hidden="1">
      <c r="A118" s="93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19"/>
      <c r="P118" s="22"/>
      <c r="Q118" s="22"/>
      <c r="R118" s="22"/>
    </row>
    <row r="119" hidden="1">
      <c r="A119" s="93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19"/>
      <c r="P119" s="22"/>
      <c r="Q119" s="22"/>
      <c r="R119" s="22"/>
    </row>
    <row r="120" hidden="1">
      <c r="A120" s="93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19"/>
      <c r="P120" s="22"/>
      <c r="Q120" s="22"/>
      <c r="R120" s="22"/>
    </row>
    <row r="121" hidden="1">
      <c r="A121" s="93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19"/>
      <c r="P121" s="22"/>
      <c r="Q121" s="22"/>
      <c r="R121" s="22"/>
    </row>
    <row r="122" hidden="1">
      <c r="A122" s="93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19"/>
      <c r="P122" s="22"/>
      <c r="Q122" s="22"/>
      <c r="R122" s="22"/>
    </row>
    <row r="123" hidden="1">
      <c r="A123" s="93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19"/>
      <c r="P123" s="22"/>
      <c r="Q123" s="22"/>
      <c r="R123" s="22"/>
    </row>
    <row r="124" hidden="1">
      <c r="A124" s="93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19"/>
      <c r="P124" s="22"/>
      <c r="Q124" s="22"/>
      <c r="R124" s="22"/>
    </row>
    <row r="125" hidden="1">
      <c r="A125" s="93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19"/>
      <c r="P125" s="22"/>
      <c r="Q125" s="22"/>
      <c r="R125" s="22"/>
    </row>
    <row r="126" hidden="1">
      <c r="A126" s="93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19"/>
      <c r="P126" s="22"/>
      <c r="Q126" s="22"/>
      <c r="R126" s="22"/>
    </row>
    <row r="127" hidden="1">
      <c r="A127" s="93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19"/>
      <c r="P127" s="22"/>
      <c r="Q127" s="22"/>
      <c r="R127" s="22"/>
    </row>
    <row r="128" hidden="1">
      <c r="A128" s="93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19"/>
      <c r="P128" s="22"/>
      <c r="Q128" s="22"/>
      <c r="R128" s="22"/>
    </row>
    <row r="129" hidden="1">
      <c r="A129" s="93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19"/>
      <c r="P129" s="22"/>
      <c r="Q129" s="22"/>
      <c r="R129" s="22"/>
    </row>
    <row r="130" hidden="1">
      <c r="A130" s="93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19"/>
      <c r="P130" s="22"/>
      <c r="Q130" s="22"/>
      <c r="R130" s="22"/>
    </row>
    <row r="131" hidden="1">
      <c r="A131" s="93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19"/>
      <c r="P131" s="22"/>
      <c r="Q131" s="22"/>
      <c r="R131" s="22"/>
    </row>
    <row r="132" hidden="1">
      <c r="A132" s="93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19"/>
      <c r="P132" s="22"/>
      <c r="Q132" s="22"/>
      <c r="R132" s="22"/>
    </row>
    <row r="133" hidden="1">
      <c r="A133" s="93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19"/>
      <c r="P133" s="22"/>
      <c r="Q133" s="22"/>
      <c r="R133" s="22"/>
    </row>
    <row r="134" hidden="1">
      <c r="A134" s="93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19"/>
      <c r="P134" s="22"/>
      <c r="Q134" s="22"/>
      <c r="R134" s="22"/>
    </row>
    <row r="135" hidden="1">
      <c r="A135" s="93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19"/>
      <c r="P135" s="22"/>
      <c r="Q135" s="22"/>
      <c r="R135" s="22"/>
    </row>
    <row r="136" hidden="1">
      <c r="A136" s="93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19"/>
      <c r="P136" s="22"/>
      <c r="Q136" s="22"/>
      <c r="R136" s="22"/>
    </row>
    <row r="137" hidden="1">
      <c r="A137" s="93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19"/>
      <c r="P137" s="22"/>
      <c r="Q137" s="22"/>
      <c r="R137" s="22"/>
    </row>
    <row r="138" hidden="1">
      <c r="A138" s="93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19"/>
      <c r="P138" s="22"/>
      <c r="Q138" s="22"/>
      <c r="R138" s="22"/>
    </row>
    <row r="139" hidden="1">
      <c r="A139" s="93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19"/>
      <c r="P139" s="22"/>
      <c r="Q139" s="22"/>
      <c r="R139" s="22"/>
    </row>
    <row r="140" hidden="1">
      <c r="A140" s="93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19"/>
      <c r="P140" s="22"/>
      <c r="Q140" s="22"/>
      <c r="R140" s="22"/>
    </row>
    <row r="141" hidden="1">
      <c r="A141" s="93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19"/>
      <c r="P141" s="22"/>
      <c r="Q141" s="22"/>
      <c r="R141" s="22"/>
    </row>
    <row r="142" hidden="1">
      <c r="A142" s="93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19"/>
      <c r="P142" s="22"/>
      <c r="Q142" s="22"/>
      <c r="R142" s="22"/>
    </row>
    <row r="143" hidden="1">
      <c r="A143" s="93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19"/>
      <c r="P143" s="22"/>
      <c r="Q143" s="22"/>
      <c r="R143" s="22"/>
    </row>
    <row r="144" hidden="1">
      <c r="A144" s="93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19"/>
      <c r="P144" s="22"/>
      <c r="Q144" s="22"/>
      <c r="R144" s="22"/>
    </row>
    <row r="145" hidden="1">
      <c r="A145" s="93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19"/>
      <c r="P145" s="22"/>
      <c r="Q145" s="22"/>
      <c r="R145" s="22"/>
    </row>
    <row r="146" hidden="1">
      <c r="A146" s="93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19"/>
      <c r="P146" s="22"/>
      <c r="Q146" s="22"/>
      <c r="R146" s="22"/>
    </row>
    <row r="147" hidden="1">
      <c r="A147" s="93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19"/>
      <c r="P147" s="22"/>
      <c r="Q147" s="22"/>
      <c r="R147" s="22"/>
    </row>
    <row r="148" hidden="1">
      <c r="A148" s="93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19"/>
      <c r="P148" s="22"/>
      <c r="Q148" s="22"/>
      <c r="R148" s="22"/>
    </row>
    <row r="149" hidden="1">
      <c r="A149" s="93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19"/>
      <c r="P149" s="22"/>
      <c r="Q149" s="22"/>
      <c r="R149" s="22"/>
    </row>
    <row r="150" hidden="1">
      <c r="A150" s="93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19"/>
      <c r="P150" s="22"/>
      <c r="Q150" s="22"/>
      <c r="R150" s="22"/>
    </row>
    <row r="151" hidden="1">
      <c r="A151" s="93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19"/>
      <c r="P151" s="22"/>
      <c r="Q151" s="22"/>
      <c r="R151" s="22"/>
    </row>
    <row r="152" hidden="1">
      <c r="A152" s="93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19"/>
      <c r="P152" s="22"/>
      <c r="Q152" s="22"/>
      <c r="R152" s="22"/>
    </row>
    <row r="153" hidden="1">
      <c r="A153" s="93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19"/>
      <c r="P153" s="22"/>
      <c r="Q153" s="22"/>
      <c r="R153" s="22"/>
    </row>
    <row r="154" hidden="1">
      <c r="A154" s="93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19"/>
      <c r="P154" s="22"/>
      <c r="Q154" s="22"/>
      <c r="R154" s="22"/>
    </row>
    <row r="155" hidden="1">
      <c r="A155" s="93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19"/>
      <c r="P155" s="22"/>
      <c r="Q155" s="22"/>
      <c r="R155" s="22"/>
    </row>
    <row r="156" hidden="1">
      <c r="A156" s="93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19"/>
      <c r="P156" s="22"/>
      <c r="Q156" s="22"/>
      <c r="R156" s="22"/>
    </row>
    <row r="157" hidden="1">
      <c r="A157" s="93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19"/>
      <c r="P157" s="22"/>
      <c r="Q157" s="22"/>
      <c r="R157" s="22"/>
    </row>
    <row r="158" hidden="1">
      <c r="A158" s="93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19"/>
      <c r="P158" s="22"/>
      <c r="Q158" s="22"/>
      <c r="R158" s="22"/>
    </row>
    <row r="159" hidden="1">
      <c r="A159" s="93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19"/>
      <c r="P159" s="22"/>
      <c r="Q159" s="22"/>
      <c r="R159" s="22"/>
    </row>
    <row r="160" hidden="1">
      <c r="A160" s="93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19"/>
      <c r="P160" s="22"/>
      <c r="Q160" s="22"/>
      <c r="R160" s="22"/>
    </row>
    <row r="161" hidden="1">
      <c r="A161" s="93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19"/>
      <c r="P161" s="22"/>
      <c r="Q161" s="22"/>
      <c r="R161" s="22"/>
    </row>
    <row r="162" hidden="1">
      <c r="A162" s="93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19"/>
      <c r="P162" s="22"/>
      <c r="Q162" s="22"/>
      <c r="R162" s="22"/>
    </row>
    <row r="163" hidden="1">
      <c r="A163" s="93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19"/>
      <c r="P163" s="22"/>
      <c r="Q163" s="22"/>
      <c r="R163" s="22"/>
    </row>
    <row r="164" hidden="1">
      <c r="A164" s="93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19"/>
      <c r="P164" s="22"/>
      <c r="Q164" s="22"/>
      <c r="R164" s="22"/>
    </row>
    <row r="165" hidden="1">
      <c r="A165" s="93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19"/>
      <c r="P165" s="22"/>
      <c r="Q165" s="22"/>
      <c r="R165" s="22"/>
    </row>
    <row r="166" hidden="1">
      <c r="A166" s="93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19"/>
      <c r="P166" s="22"/>
      <c r="Q166" s="22"/>
      <c r="R166" s="22"/>
    </row>
    <row r="167" hidden="1">
      <c r="A167" s="93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19"/>
      <c r="P167" s="22"/>
      <c r="Q167" s="22"/>
      <c r="R167" s="22"/>
    </row>
    <row r="168" hidden="1">
      <c r="A168" s="93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19"/>
      <c r="P168" s="22"/>
      <c r="Q168" s="22"/>
      <c r="R168" s="22"/>
    </row>
    <row r="169" hidden="1">
      <c r="A169" s="93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19"/>
      <c r="P169" s="22"/>
      <c r="Q169" s="22"/>
      <c r="R169" s="22"/>
    </row>
    <row r="170" hidden="1">
      <c r="A170" s="93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19"/>
      <c r="P170" s="22"/>
      <c r="Q170" s="22"/>
      <c r="R170" s="22"/>
    </row>
    <row r="171" hidden="1">
      <c r="A171" s="93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19"/>
      <c r="P171" s="22"/>
      <c r="Q171" s="22"/>
      <c r="R171" s="22"/>
    </row>
    <row r="172" hidden="1">
      <c r="A172" s="93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19"/>
      <c r="P172" s="22"/>
      <c r="Q172" s="22"/>
      <c r="R172" s="22"/>
    </row>
    <row r="173" hidden="1">
      <c r="A173" s="93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19"/>
      <c r="P173" s="22"/>
      <c r="Q173" s="22"/>
      <c r="R173" s="22"/>
    </row>
    <row r="174" hidden="1">
      <c r="A174" s="93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19"/>
      <c r="P174" s="22"/>
      <c r="Q174" s="22"/>
      <c r="R174" s="22"/>
    </row>
    <row r="175" hidden="1">
      <c r="A175" s="93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19"/>
      <c r="P175" s="22"/>
      <c r="Q175" s="22"/>
      <c r="R175" s="22"/>
    </row>
    <row r="176" hidden="1">
      <c r="A176" s="93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19"/>
      <c r="P176" s="22"/>
      <c r="Q176" s="22"/>
      <c r="R176" s="22"/>
    </row>
    <row r="177" hidden="1">
      <c r="A177" s="93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19"/>
      <c r="P177" s="22"/>
      <c r="Q177" s="22"/>
      <c r="R177" s="22"/>
    </row>
    <row r="178" hidden="1">
      <c r="A178" s="93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19"/>
      <c r="P178" s="22"/>
      <c r="Q178" s="22"/>
      <c r="R178" s="22"/>
    </row>
    <row r="179" hidden="1">
      <c r="A179" s="93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19"/>
      <c r="P179" s="22"/>
      <c r="Q179" s="22"/>
      <c r="R179" s="22"/>
    </row>
    <row r="180" hidden="1">
      <c r="A180" s="93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19"/>
      <c r="P180" s="22"/>
      <c r="Q180" s="22"/>
      <c r="R180" s="22"/>
    </row>
    <row r="181" hidden="1">
      <c r="A181" s="93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19"/>
      <c r="P181" s="22"/>
      <c r="Q181" s="22"/>
      <c r="R181" s="22"/>
    </row>
    <row r="182" hidden="1">
      <c r="A182" s="93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19"/>
      <c r="P182" s="22"/>
      <c r="Q182" s="22"/>
      <c r="R182" s="22"/>
    </row>
    <row r="183" hidden="1">
      <c r="A183" s="93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19"/>
      <c r="P183" s="22"/>
      <c r="Q183" s="22"/>
      <c r="R183" s="22"/>
    </row>
    <row r="184" hidden="1">
      <c r="A184" s="93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19"/>
      <c r="P184" s="22"/>
      <c r="Q184" s="22"/>
      <c r="R184" s="22"/>
    </row>
    <row r="185" hidden="1">
      <c r="A185" s="93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19"/>
      <c r="P185" s="22"/>
      <c r="Q185" s="22"/>
      <c r="R185" s="22"/>
    </row>
    <row r="186" hidden="1">
      <c r="A186" s="93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19"/>
      <c r="P186" s="22"/>
      <c r="Q186" s="22"/>
      <c r="R186" s="22"/>
    </row>
    <row r="187" hidden="1">
      <c r="A187" s="93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19"/>
      <c r="P187" s="22"/>
      <c r="Q187" s="22"/>
      <c r="R187" s="22"/>
    </row>
    <row r="188" hidden="1">
      <c r="A188" s="93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19"/>
      <c r="P188" s="22"/>
      <c r="Q188" s="22"/>
      <c r="R188" s="22"/>
    </row>
    <row r="189" hidden="1">
      <c r="A189" s="93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19"/>
      <c r="P189" s="22"/>
      <c r="Q189" s="22"/>
      <c r="R189" s="22"/>
    </row>
    <row r="190" hidden="1">
      <c r="A190" s="93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19"/>
      <c r="P190" s="22"/>
      <c r="Q190" s="22"/>
      <c r="R190" s="22"/>
    </row>
    <row r="191" hidden="1">
      <c r="A191" s="93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19"/>
      <c r="P191" s="22"/>
      <c r="Q191" s="22"/>
      <c r="R191" s="22"/>
    </row>
    <row r="192" hidden="1">
      <c r="A192" s="93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19"/>
      <c r="P192" s="22"/>
      <c r="Q192" s="22"/>
      <c r="R192" s="22"/>
    </row>
    <row r="193" hidden="1">
      <c r="A193" s="93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19"/>
      <c r="P193" s="22"/>
      <c r="Q193" s="22"/>
      <c r="R193" s="22"/>
    </row>
    <row r="194" hidden="1">
      <c r="A194" s="93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19"/>
      <c r="P194" s="22"/>
      <c r="Q194" s="22"/>
      <c r="R194" s="22"/>
    </row>
    <row r="195" hidden="1">
      <c r="A195" s="93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19"/>
      <c r="P195" s="22"/>
      <c r="Q195" s="22"/>
      <c r="R195" s="22"/>
    </row>
    <row r="196" hidden="1">
      <c r="A196" s="93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19"/>
      <c r="P196" s="22"/>
      <c r="Q196" s="22"/>
      <c r="R196" s="22"/>
    </row>
    <row r="197" hidden="1">
      <c r="A197" s="93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19"/>
      <c r="P197" s="22"/>
      <c r="Q197" s="22"/>
      <c r="R197" s="22"/>
    </row>
    <row r="198" hidden="1">
      <c r="A198" s="93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19"/>
      <c r="P198" s="22"/>
      <c r="Q198" s="22"/>
      <c r="R198" s="22"/>
    </row>
    <row r="199" hidden="1">
      <c r="A199" s="93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19"/>
      <c r="P199" s="22"/>
      <c r="Q199" s="22"/>
      <c r="R199" s="22"/>
    </row>
    <row r="200" hidden="1">
      <c r="A200" s="93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19"/>
      <c r="P200" s="22"/>
      <c r="Q200" s="22"/>
      <c r="R200" s="22"/>
    </row>
    <row r="201" hidden="1">
      <c r="A201" s="93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19"/>
      <c r="P201" s="22"/>
      <c r="Q201" s="22"/>
      <c r="R201" s="22"/>
    </row>
    <row r="202" hidden="1">
      <c r="A202" s="93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19"/>
      <c r="P202" s="22"/>
      <c r="Q202" s="22"/>
      <c r="R202" s="22"/>
    </row>
    <row r="203" hidden="1">
      <c r="A203" s="93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19"/>
      <c r="P203" s="22"/>
      <c r="Q203" s="22"/>
      <c r="R203" s="22"/>
    </row>
    <row r="204" hidden="1">
      <c r="A204" s="93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19"/>
      <c r="P204" s="22"/>
      <c r="Q204" s="22"/>
      <c r="R204" s="22"/>
    </row>
    <row r="205" hidden="1">
      <c r="A205" s="93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19"/>
      <c r="P205" s="22"/>
      <c r="Q205" s="22"/>
      <c r="R205" s="22"/>
    </row>
    <row r="206" hidden="1">
      <c r="A206" s="93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19"/>
      <c r="P206" s="22"/>
      <c r="Q206" s="22"/>
      <c r="R206" s="22"/>
    </row>
    <row r="207" hidden="1">
      <c r="A207" s="93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19"/>
      <c r="P207" s="22"/>
      <c r="Q207" s="22"/>
      <c r="R207" s="22"/>
    </row>
    <row r="208" hidden="1">
      <c r="A208" s="93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19"/>
      <c r="P208" s="22"/>
      <c r="Q208" s="22"/>
      <c r="R208" s="22"/>
    </row>
    <row r="209" hidden="1">
      <c r="A209" s="93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19"/>
      <c r="P209" s="22"/>
      <c r="Q209" s="22"/>
      <c r="R209" s="22"/>
    </row>
    <row r="210" hidden="1">
      <c r="A210" s="93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19"/>
      <c r="P210" s="22"/>
      <c r="Q210" s="22"/>
      <c r="R210" s="22"/>
    </row>
    <row r="211" hidden="1">
      <c r="A211" s="93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19"/>
      <c r="P211" s="22"/>
      <c r="Q211" s="22"/>
      <c r="R211" s="22"/>
    </row>
    <row r="212" hidden="1">
      <c r="A212" s="93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19"/>
      <c r="P212" s="22"/>
      <c r="Q212" s="22"/>
      <c r="R212" s="22"/>
    </row>
    <row r="213" hidden="1">
      <c r="A213" s="93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19"/>
      <c r="P213" s="22"/>
      <c r="Q213" s="22"/>
      <c r="R213" s="22"/>
    </row>
    <row r="214" hidden="1">
      <c r="A214" s="93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19"/>
      <c r="P214" s="22"/>
      <c r="Q214" s="22"/>
      <c r="R214" s="22"/>
    </row>
    <row r="215" hidden="1">
      <c r="A215" s="93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19"/>
      <c r="P215" s="22"/>
      <c r="Q215" s="22"/>
      <c r="R215" s="22"/>
    </row>
    <row r="216" hidden="1">
      <c r="A216" s="93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19"/>
      <c r="P216" s="22"/>
      <c r="Q216" s="22"/>
      <c r="R216" s="22"/>
    </row>
    <row r="217" hidden="1">
      <c r="A217" s="93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19"/>
      <c r="P217" s="22"/>
      <c r="Q217" s="22"/>
      <c r="R217" s="22"/>
    </row>
    <row r="218" hidden="1">
      <c r="A218" s="93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19"/>
      <c r="P218" s="22"/>
      <c r="Q218" s="22"/>
      <c r="R218" s="22"/>
    </row>
    <row r="219" hidden="1">
      <c r="A219" s="93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19"/>
      <c r="P219" s="22"/>
      <c r="Q219" s="22"/>
      <c r="R219" s="22"/>
    </row>
    <row r="220" hidden="1">
      <c r="A220" s="93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19"/>
      <c r="P220" s="22"/>
      <c r="Q220" s="22"/>
      <c r="R220" s="22"/>
    </row>
    <row r="221" hidden="1">
      <c r="A221" s="93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19"/>
      <c r="P221" s="22"/>
      <c r="Q221" s="22"/>
      <c r="R221" s="22"/>
    </row>
    <row r="222" hidden="1">
      <c r="A222" s="93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19"/>
      <c r="P222" s="22"/>
      <c r="Q222" s="22"/>
      <c r="R222" s="22"/>
    </row>
    <row r="223" hidden="1">
      <c r="A223" s="93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19"/>
      <c r="P223" s="22"/>
      <c r="Q223" s="22"/>
      <c r="R223" s="22"/>
    </row>
    <row r="224" hidden="1">
      <c r="A224" s="93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19"/>
      <c r="P224" s="22"/>
      <c r="Q224" s="22"/>
      <c r="R224" s="22"/>
    </row>
    <row r="225" hidden="1">
      <c r="A225" s="93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19"/>
      <c r="P225" s="22"/>
      <c r="Q225" s="22"/>
      <c r="R225" s="22"/>
    </row>
    <row r="226" hidden="1">
      <c r="A226" s="93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19"/>
      <c r="P226" s="22"/>
      <c r="Q226" s="22"/>
      <c r="R226" s="22"/>
    </row>
    <row r="227" hidden="1">
      <c r="A227" s="93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19"/>
      <c r="P227" s="22"/>
      <c r="Q227" s="22"/>
      <c r="R227" s="22"/>
    </row>
    <row r="228" hidden="1">
      <c r="A228" s="93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19"/>
      <c r="P228" s="22"/>
      <c r="Q228" s="22"/>
      <c r="R228" s="22"/>
    </row>
    <row r="229" hidden="1">
      <c r="A229" s="93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19"/>
      <c r="P229" s="22"/>
      <c r="Q229" s="22"/>
      <c r="R229" s="22"/>
    </row>
    <row r="230" hidden="1">
      <c r="A230" s="93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19"/>
      <c r="P230" s="22"/>
      <c r="Q230" s="22"/>
      <c r="R230" s="22"/>
    </row>
    <row r="231" hidden="1">
      <c r="A231" s="93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19"/>
      <c r="P231" s="22"/>
      <c r="Q231" s="22"/>
      <c r="R231" s="22"/>
    </row>
    <row r="232" hidden="1">
      <c r="A232" s="93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19"/>
      <c r="P232" s="22"/>
      <c r="Q232" s="22"/>
      <c r="R232" s="22"/>
    </row>
    <row r="233" hidden="1">
      <c r="A233" s="93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19"/>
      <c r="P233" s="22"/>
      <c r="Q233" s="22"/>
      <c r="R233" s="22"/>
    </row>
    <row r="234" hidden="1">
      <c r="A234" s="93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19"/>
      <c r="P234" s="22"/>
      <c r="Q234" s="22"/>
      <c r="R234" s="22"/>
    </row>
    <row r="235" hidden="1">
      <c r="A235" s="93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19"/>
      <c r="P235" s="22"/>
      <c r="Q235" s="22"/>
      <c r="R235" s="22"/>
    </row>
    <row r="236" hidden="1">
      <c r="A236" s="93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19"/>
      <c r="P236" s="22"/>
      <c r="Q236" s="22"/>
      <c r="R236" s="22"/>
    </row>
    <row r="237" hidden="1">
      <c r="A237" s="93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19"/>
      <c r="P237" s="22"/>
      <c r="Q237" s="22"/>
      <c r="R237" s="22"/>
    </row>
    <row r="238" hidden="1">
      <c r="A238" s="93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19"/>
      <c r="P238" s="22"/>
      <c r="Q238" s="22"/>
      <c r="R238" s="22"/>
    </row>
    <row r="239" hidden="1">
      <c r="A239" s="93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19"/>
      <c r="P239" s="22"/>
      <c r="Q239" s="22"/>
      <c r="R239" s="22"/>
    </row>
    <row r="240" hidden="1">
      <c r="A240" s="93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19"/>
      <c r="P240" s="22"/>
      <c r="Q240" s="22"/>
      <c r="R240" s="22"/>
    </row>
    <row r="241" hidden="1">
      <c r="A241" s="93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19"/>
      <c r="P241" s="22"/>
      <c r="Q241" s="22"/>
      <c r="R241" s="22"/>
    </row>
    <row r="242" hidden="1">
      <c r="A242" s="93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19"/>
      <c r="P242" s="22"/>
      <c r="Q242" s="22"/>
      <c r="R242" s="22"/>
    </row>
    <row r="243" hidden="1">
      <c r="A243" s="93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19"/>
      <c r="P243" s="22"/>
      <c r="Q243" s="22"/>
      <c r="R243" s="22"/>
    </row>
    <row r="244" hidden="1">
      <c r="A244" s="93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19"/>
      <c r="P244" s="22"/>
      <c r="Q244" s="22"/>
      <c r="R244" s="22"/>
    </row>
    <row r="245" hidden="1">
      <c r="A245" s="93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19"/>
      <c r="P245" s="22"/>
      <c r="Q245" s="22"/>
      <c r="R245" s="22"/>
    </row>
    <row r="246" hidden="1">
      <c r="A246" s="93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19"/>
      <c r="P246" s="22"/>
      <c r="Q246" s="22"/>
      <c r="R246" s="22"/>
    </row>
    <row r="247" hidden="1">
      <c r="A247" s="93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19"/>
      <c r="P247" s="22"/>
      <c r="Q247" s="22"/>
      <c r="R247" s="22"/>
    </row>
    <row r="248" hidden="1">
      <c r="A248" s="93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19"/>
      <c r="P248" s="22"/>
      <c r="Q248" s="22"/>
      <c r="R248" s="22"/>
    </row>
    <row r="249" hidden="1">
      <c r="A249" s="93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19"/>
      <c r="P249" s="22"/>
      <c r="Q249" s="22"/>
      <c r="R249" s="22"/>
    </row>
    <row r="250" hidden="1">
      <c r="A250" s="93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19"/>
      <c r="P250" s="22"/>
      <c r="Q250" s="22"/>
      <c r="R250" s="22"/>
    </row>
    <row r="251" hidden="1">
      <c r="A251" s="93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19"/>
      <c r="P251" s="22"/>
      <c r="Q251" s="22"/>
      <c r="R251" s="22"/>
    </row>
    <row r="252" hidden="1">
      <c r="A252" s="93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19"/>
      <c r="P252" s="22"/>
      <c r="Q252" s="22"/>
      <c r="R252" s="22"/>
    </row>
    <row r="253" hidden="1">
      <c r="A253" s="93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19"/>
      <c r="P253" s="22"/>
      <c r="Q253" s="22"/>
      <c r="R253" s="22"/>
    </row>
    <row r="254" hidden="1">
      <c r="A254" s="93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19"/>
      <c r="P254" s="22"/>
      <c r="Q254" s="22"/>
      <c r="R254" s="22"/>
    </row>
    <row r="255" hidden="1">
      <c r="A255" s="93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19"/>
      <c r="P255" s="22"/>
      <c r="Q255" s="22"/>
      <c r="R255" s="22"/>
    </row>
    <row r="256" hidden="1">
      <c r="A256" s="93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19"/>
      <c r="P256" s="22"/>
      <c r="Q256" s="22"/>
      <c r="R256" s="22"/>
    </row>
    <row r="257" hidden="1">
      <c r="A257" s="93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19"/>
      <c r="P257" s="22"/>
      <c r="Q257" s="22"/>
      <c r="R257" s="22"/>
    </row>
    <row r="258" hidden="1">
      <c r="A258" s="93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19"/>
      <c r="P258" s="22"/>
      <c r="Q258" s="22"/>
      <c r="R258" s="22"/>
    </row>
    <row r="259" hidden="1">
      <c r="A259" s="93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19"/>
      <c r="P259" s="22"/>
      <c r="Q259" s="22"/>
      <c r="R259" s="22"/>
    </row>
    <row r="260" hidden="1">
      <c r="A260" s="93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19"/>
      <c r="P260" s="22"/>
      <c r="Q260" s="22"/>
      <c r="R260" s="22"/>
    </row>
    <row r="261" hidden="1">
      <c r="A261" s="93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19"/>
      <c r="P261" s="22"/>
      <c r="Q261" s="22"/>
      <c r="R261" s="22"/>
    </row>
    <row r="262" hidden="1">
      <c r="A262" s="93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19"/>
      <c r="P262" s="22"/>
      <c r="Q262" s="22"/>
      <c r="R262" s="22"/>
    </row>
    <row r="263" hidden="1">
      <c r="A263" s="93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19"/>
      <c r="P263" s="22"/>
      <c r="Q263" s="22"/>
      <c r="R263" s="22"/>
    </row>
    <row r="264" hidden="1">
      <c r="A264" s="93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19"/>
      <c r="P264" s="22"/>
      <c r="Q264" s="22"/>
      <c r="R264" s="22"/>
    </row>
    <row r="265" hidden="1">
      <c r="A265" s="93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19"/>
      <c r="P265" s="22"/>
      <c r="Q265" s="22"/>
      <c r="R265" s="22"/>
    </row>
    <row r="266" hidden="1">
      <c r="A266" s="93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19"/>
      <c r="P266" s="22"/>
      <c r="Q266" s="22"/>
      <c r="R266" s="22"/>
    </row>
    <row r="267" hidden="1">
      <c r="A267" s="93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19"/>
      <c r="P267" s="22"/>
      <c r="Q267" s="22"/>
      <c r="R267" s="22"/>
    </row>
    <row r="268" hidden="1">
      <c r="A268" s="93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19"/>
      <c r="P268" s="22"/>
      <c r="Q268" s="22"/>
      <c r="R268" s="22"/>
    </row>
    <row r="269" hidden="1">
      <c r="A269" s="93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19"/>
      <c r="P269" s="22"/>
      <c r="Q269" s="22"/>
      <c r="R269" s="22"/>
    </row>
    <row r="270" hidden="1">
      <c r="A270" s="93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19"/>
      <c r="P270" s="22"/>
      <c r="Q270" s="22"/>
      <c r="R270" s="22"/>
    </row>
    <row r="271" hidden="1">
      <c r="A271" s="93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19"/>
      <c r="P271" s="22"/>
      <c r="Q271" s="22"/>
      <c r="R271" s="22"/>
    </row>
    <row r="272" hidden="1">
      <c r="A272" s="93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19"/>
      <c r="P272" s="22"/>
      <c r="Q272" s="22"/>
      <c r="R272" s="22"/>
    </row>
    <row r="273" hidden="1">
      <c r="A273" s="93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19"/>
      <c r="P273" s="22"/>
      <c r="Q273" s="22"/>
      <c r="R273" s="22"/>
    </row>
    <row r="274" hidden="1">
      <c r="A274" s="93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19"/>
      <c r="P274" s="22"/>
      <c r="Q274" s="22"/>
      <c r="R274" s="22"/>
    </row>
    <row r="275" hidden="1">
      <c r="A275" s="93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19"/>
      <c r="P275" s="22"/>
      <c r="Q275" s="22"/>
      <c r="R275" s="22"/>
    </row>
    <row r="276" hidden="1">
      <c r="A276" s="93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19"/>
      <c r="P276" s="22"/>
      <c r="Q276" s="22"/>
      <c r="R276" s="22"/>
    </row>
    <row r="277" hidden="1">
      <c r="A277" s="93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19"/>
      <c r="P277" s="22"/>
      <c r="Q277" s="22"/>
      <c r="R277" s="22"/>
    </row>
    <row r="278" hidden="1">
      <c r="A278" s="93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19"/>
      <c r="P278" s="22"/>
      <c r="Q278" s="22"/>
      <c r="R278" s="22"/>
    </row>
    <row r="279" hidden="1">
      <c r="A279" s="93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19"/>
      <c r="P279" s="22"/>
      <c r="Q279" s="22"/>
      <c r="R279" s="22"/>
    </row>
    <row r="280" hidden="1">
      <c r="A280" s="93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19"/>
      <c r="P280" s="22"/>
      <c r="Q280" s="22"/>
      <c r="R280" s="22"/>
    </row>
    <row r="281" hidden="1">
      <c r="A281" s="93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19"/>
      <c r="P281" s="22"/>
      <c r="Q281" s="22"/>
      <c r="R281" s="22"/>
    </row>
    <row r="282" hidden="1">
      <c r="A282" s="93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19"/>
      <c r="P282" s="22"/>
      <c r="Q282" s="22"/>
      <c r="R282" s="22"/>
    </row>
    <row r="283" hidden="1">
      <c r="A283" s="93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19"/>
      <c r="P283" s="22"/>
      <c r="Q283" s="22"/>
      <c r="R283" s="22"/>
    </row>
    <row r="284" hidden="1">
      <c r="A284" s="93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19"/>
      <c r="P284" s="22"/>
      <c r="Q284" s="22"/>
      <c r="R284" s="22"/>
    </row>
    <row r="285" hidden="1">
      <c r="A285" s="93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19"/>
      <c r="P285" s="22"/>
      <c r="Q285" s="22"/>
      <c r="R285" s="22"/>
    </row>
    <row r="286" hidden="1">
      <c r="A286" s="93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19"/>
      <c r="P286" s="22"/>
      <c r="Q286" s="22"/>
      <c r="R286" s="22"/>
    </row>
    <row r="287" hidden="1">
      <c r="A287" s="93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19"/>
      <c r="P287" s="22"/>
      <c r="Q287" s="22"/>
      <c r="R287" s="22"/>
    </row>
    <row r="288" hidden="1">
      <c r="A288" s="93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19"/>
      <c r="P288" s="22"/>
      <c r="Q288" s="22"/>
      <c r="R288" s="22"/>
    </row>
    <row r="289" hidden="1">
      <c r="A289" s="93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19"/>
      <c r="P289" s="22"/>
      <c r="Q289" s="22"/>
      <c r="R289" s="22"/>
    </row>
    <row r="290" hidden="1">
      <c r="A290" s="93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19"/>
      <c r="P290" s="22"/>
      <c r="Q290" s="22"/>
      <c r="R290" s="22"/>
    </row>
    <row r="291" hidden="1">
      <c r="A291" s="93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19"/>
      <c r="P291" s="22"/>
      <c r="Q291" s="22"/>
      <c r="R291" s="22"/>
    </row>
    <row r="292" hidden="1">
      <c r="A292" s="93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19"/>
      <c r="P292" s="22"/>
      <c r="Q292" s="22"/>
      <c r="R292" s="22"/>
    </row>
    <row r="293" hidden="1">
      <c r="A293" s="93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19"/>
      <c r="P293" s="22"/>
      <c r="Q293" s="22"/>
      <c r="R293" s="22"/>
    </row>
    <row r="294" hidden="1">
      <c r="A294" s="93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19"/>
      <c r="P294" s="22"/>
      <c r="Q294" s="22"/>
      <c r="R294" s="22"/>
    </row>
    <row r="295" hidden="1">
      <c r="A295" s="93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19"/>
      <c r="P295" s="22"/>
      <c r="Q295" s="22"/>
      <c r="R295" s="22"/>
    </row>
    <row r="296" hidden="1">
      <c r="A296" s="93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19"/>
      <c r="P296" s="22"/>
      <c r="Q296" s="22"/>
      <c r="R296" s="22"/>
    </row>
    <row r="297" hidden="1">
      <c r="A297" s="93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19"/>
      <c r="P297" s="22"/>
      <c r="Q297" s="22"/>
      <c r="R297" s="22"/>
    </row>
    <row r="298" hidden="1">
      <c r="A298" s="93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19"/>
      <c r="P298" s="22"/>
      <c r="Q298" s="22"/>
      <c r="R298" s="22"/>
    </row>
    <row r="299" hidden="1">
      <c r="A299" s="93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19"/>
      <c r="P299" s="22"/>
      <c r="Q299" s="22"/>
      <c r="R299" s="22"/>
    </row>
    <row r="300" hidden="1">
      <c r="A300" s="93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19"/>
      <c r="P300" s="22"/>
      <c r="Q300" s="22"/>
      <c r="R300" s="22"/>
    </row>
    <row r="301" hidden="1">
      <c r="A301" s="93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19"/>
      <c r="P301" s="22"/>
      <c r="Q301" s="22"/>
      <c r="R301" s="22"/>
    </row>
    <row r="302" hidden="1">
      <c r="A302" s="93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19"/>
      <c r="P302" s="22"/>
      <c r="Q302" s="22"/>
      <c r="R302" s="22"/>
    </row>
    <row r="303" hidden="1">
      <c r="A303" s="93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19"/>
      <c r="P303" s="22"/>
      <c r="Q303" s="22"/>
      <c r="R303" s="22"/>
    </row>
    <row r="304" hidden="1">
      <c r="A304" s="93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19"/>
      <c r="P304" s="22"/>
      <c r="Q304" s="22"/>
      <c r="R304" s="22"/>
    </row>
    <row r="305" hidden="1">
      <c r="A305" s="93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19"/>
      <c r="P305" s="22"/>
      <c r="Q305" s="22"/>
      <c r="R305" s="22"/>
    </row>
    <row r="306" hidden="1">
      <c r="A306" s="93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19"/>
      <c r="P306" s="22"/>
      <c r="Q306" s="22"/>
      <c r="R306" s="22"/>
    </row>
    <row r="307" hidden="1">
      <c r="A307" s="93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19"/>
      <c r="P307" s="22"/>
      <c r="Q307" s="22"/>
      <c r="R307" s="22"/>
    </row>
    <row r="308" hidden="1">
      <c r="A308" s="93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19"/>
      <c r="P308" s="22"/>
      <c r="Q308" s="22"/>
      <c r="R308" s="22"/>
    </row>
    <row r="309" hidden="1">
      <c r="A309" s="93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19"/>
      <c r="P309" s="22"/>
      <c r="Q309" s="22"/>
      <c r="R309" s="22"/>
    </row>
    <row r="310" hidden="1">
      <c r="A310" s="93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19"/>
      <c r="P310" s="22"/>
      <c r="Q310" s="22"/>
      <c r="R310" s="22"/>
    </row>
    <row r="311" hidden="1">
      <c r="A311" s="93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19"/>
      <c r="P311" s="22"/>
      <c r="Q311" s="22"/>
      <c r="R311" s="22"/>
    </row>
    <row r="312" hidden="1">
      <c r="A312" s="93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19"/>
      <c r="P312" s="22"/>
      <c r="Q312" s="22"/>
      <c r="R312" s="22"/>
    </row>
    <row r="313" hidden="1">
      <c r="A313" s="93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19"/>
      <c r="P313" s="22"/>
      <c r="Q313" s="22"/>
      <c r="R313" s="22"/>
    </row>
    <row r="314" hidden="1">
      <c r="A314" s="93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19"/>
      <c r="P314" s="22"/>
      <c r="Q314" s="22"/>
      <c r="R314" s="22"/>
    </row>
    <row r="315" hidden="1">
      <c r="A315" s="93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19"/>
      <c r="P315" s="22"/>
      <c r="Q315" s="22"/>
      <c r="R315" s="22"/>
    </row>
    <row r="316" hidden="1">
      <c r="A316" s="93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19"/>
      <c r="P316" s="22"/>
      <c r="Q316" s="22"/>
      <c r="R316" s="22"/>
    </row>
    <row r="317" hidden="1">
      <c r="A317" s="93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19"/>
      <c r="P317" s="22"/>
      <c r="Q317" s="22"/>
      <c r="R317" s="22"/>
    </row>
    <row r="318" hidden="1">
      <c r="A318" s="93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19"/>
      <c r="P318" s="22"/>
      <c r="Q318" s="22"/>
      <c r="R318" s="22"/>
    </row>
    <row r="319" hidden="1">
      <c r="A319" s="93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19"/>
      <c r="P319" s="22"/>
      <c r="Q319" s="22"/>
      <c r="R319" s="22"/>
    </row>
    <row r="320" hidden="1">
      <c r="A320" s="93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19"/>
      <c r="P320" s="22"/>
      <c r="Q320" s="22"/>
      <c r="R320" s="22"/>
    </row>
    <row r="321" hidden="1">
      <c r="A321" s="93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19"/>
      <c r="P321" s="22"/>
      <c r="Q321" s="22"/>
      <c r="R321" s="22"/>
    </row>
    <row r="322" hidden="1">
      <c r="A322" s="93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19"/>
      <c r="P322" s="22"/>
      <c r="Q322" s="22"/>
      <c r="R322" s="22"/>
    </row>
    <row r="323" hidden="1">
      <c r="A323" s="93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19"/>
      <c r="P323" s="22"/>
      <c r="Q323" s="22"/>
      <c r="R323" s="22"/>
    </row>
    <row r="324" hidden="1">
      <c r="A324" s="93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19"/>
      <c r="P324" s="22"/>
      <c r="Q324" s="22"/>
      <c r="R324" s="22"/>
    </row>
    <row r="325" hidden="1">
      <c r="A325" s="93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19"/>
      <c r="P325" s="22"/>
      <c r="Q325" s="22"/>
      <c r="R325" s="22"/>
    </row>
    <row r="326" hidden="1">
      <c r="A326" s="93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19"/>
      <c r="P326" s="22"/>
      <c r="Q326" s="22"/>
      <c r="R326" s="22"/>
    </row>
    <row r="327" hidden="1">
      <c r="A327" s="93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19"/>
      <c r="P327" s="22"/>
      <c r="Q327" s="22"/>
      <c r="R327" s="22"/>
    </row>
    <row r="328" hidden="1">
      <c r="A328" s="93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19"/>
      <c r="P328" s="22"/>
      <c r="Q328" s="22"/>
      <c r="R328" s="22"/>
    </row>
    <row r="329" hidden="1">
      <c r="A329" s="93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19"/>
      <c r="P329" s="22"/>
      <c r="Q329" s="22"/>
      <c r="R329" s="22"/>
    </row>
    <row r="330" hidden="1">
      <c r="A330" s="93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19"/>
      <c r="P330" s="22"/>
      <c r="Q330" s="22"/>
      <c r="R330" s="22"/>
    </row>
    <row r="331" hidden="1">
      <c r="A331" s="93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19"/>
      <c r="P331" s="22"/>
      <c r="Q331" s="22"/>
      <c r="R331" s="22"/>
    </row>
    <row r="332" hidden="1">
      <c r="A332" s="93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19"/>
      <c r="P332" s="22"/>
      <c r="Q332" s="22"/>
      <c r="R332" s="22"/>
    </row>
    <row r="333" hidden="1">
      <c r="A333" s="93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19"/>
      <c r="P333" s="22"/>
      <c r="Q333" s="22"/>
      <c r="R333" s="22"/>
    </row>
    <row r="334" hidden="1">
      <c r="A334" s="93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19"/>
      <c r="P334" s="22"/>
      <c r="Q334" s="22"/>
      <c r="R334" s="22"/>
    </row>
    <row r="335" hidden="1">
      <c r="A335" s="93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19"/>
      <c r="P335" s="22"/>
      <c r="Q335" s="22"/>
      <c r="R335" s="22"/>
    </row>
    <row r="336" hidden="1">
      <c r="A336" s="93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19"/>
      <c r="P336" s="22"/>
      <c r="Q336" s="22"/>
      <c r="R336" s="22"/>
    </row>
    <row r="337" hidden="1">
      <c r="A337" s="93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19"/>
      <c r="P337" s="22"/>
      <c r="Q337" s="22"/>
      <c r="R337" s="22"/>
    </row>
    <row r="338" hidden="1">
      <c r="A338" s="93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19"/>
      <c r="P338" s="22"/>
      <c r="Q338" s="22"/>
      <c r="R338" s="22"/>
    </row>
    <row r="339" hidden="1">
      <c r="A339" s="93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19"/>
      <c r="P339" s="22"/>
      <c r="Q339" s="22"/>
      <c r="R339" s="22"/>
    </row>
    <row r="340" hidden="1">
      <c r="A340" s="93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19"/>
      <c r="P340" s="22"/>
      <c r="Q340" s="22"/>
      <c r="R340" s="22"/>
    </row>
    <row r="341" hidden="1">
      <c r="A341" s="93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19"/>
      <c r="P341" s="22"/>
      <c r="Q341" s="22"/>
      <c r="R341" s="22"/>
    </row>
    <row r="342" hidden="1">
      <c r="A342" s="93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19"/>
      <c r="P342" s="22"/>
      <c r="Q342" s="22"/>
      <c r="R342" s="22"/>
    </row>
    <row r="343" hidden="1">
      <c r="A343" s="93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19"/>
      <c r="P343" s="22"/>
      <c r="Q343" s="22"/>
      <c r="R343" s="22"/>
    </row>
    <row r="344" hidden="1">
      <c r="A344" s="93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19"/>
      <c r="P344" s="22"/>
      <c r="Q344" s="22"/>
      <c r="R344" s="22"/>
    </row>
    <row r="345" hidden="1">
      <c r="A345" s="93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19"/>
      <c r="P345" s="22"/>
      <c r="Q345" s="22"/>
      <c r="R345" s="22"/>
    </row>
    <row r="346" hidden="1">
      <c r="A346" s="93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19"/>
      <c r="P346" s="22"/>
      <c r="Q346" s="22"/>
      <c r="R346" s="22"/>
    </row>
    <row r="347" hidden="1">
      <c r="A347" s="93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19"/>
      <c r="P347" s="22"/>
      <c r="Q347" s="22"/>
      <c r="R347" s="22"/>
    </row>
    <row r="348" hidden="1">
      <c r="A348" s="93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19"/>
      <c r="P348" s="22"/>
      <c r="Q348" s="22"/>
      <c r="R348" s="22"/>
    </row>
    <row r="349" hidden="1">
      <c r="A349" s="93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19"/>
      <c r="P349" s="22"/>
      <c r="Q349" s="22"/>
      <c r="R349" s="22"/>
    </row>
    <row r="350" hidden="1">
      <c r="A350" s="93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19"/>
      <c r="P350" s="22"/>
      <c r="Q350" s="22"/>
      <c r="R350" s="22"/>
    </row>
    <row r="351" hidden="1">
      <c r="A351" s="93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19"/>
      <c r="P351" s="22"/>
      <c r="Q351" s="22"/>
      <c r="R351" s="22"/>
    </row>
    <row r="352" hidden="1">
      <c r="A352" s="93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19"/>
      <c r="P352" s="22"/>
      <c r="Q352" s="22"/>
      <c r="R352" s="22"/>
    </row>
    <row r="353" hidden="1">
      <c r="A353" s="93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19"/>
      <c r="P353" s="22"/>
      <c r="Q353" s="22"/>
      <c r="R353" s="22"/>
    </row>
    <row r="354" hidden="1">
      <c r="A354" s="93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19"/>
      <c r="P354" s="22"/>
      <c r="Q354" s="22"/>
      <c r="R354" s="22"/>
    </row>
    <row r="355" hidden="1">
      <c r="A355" s="93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19"/>
      <c r="P355" s="22"/>
      <c r="Q355" s="22"/>
      <c r="R355" s="22"/>
    </row>
    <row r="356" hidden="1">
      <c r="A356" s="93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19"/>
      <c r="P356" s="22"/>
      <c r="Q356" s="22"/>
      <c r="R356" s="22"/>
    </row>
    <row r="357" hidden="1">
      <c r="A357" s="93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19"/>
      <c r="P357" s="22"/>
      <c r="Q357" s="22"/>
      <c r="R357" s="22"/>
    </row>
    <row r="358" hidden="1">
      <c r="A358" s="93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19"/>
      <c r="P358" s="22"/>
      <c r="Q358" s="22"/>
      <c r="R358" s="22"/>
    </row>
    <row r="359" hidden="1">
      <c r="A359" s="93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19"/>
      <c r="P359" s="22"/>
      <c r="Q359" s="22"/>
      <c r="R359" s="22"/>
    </row>
    <row r="360" hidden="1">
      <c r="A360" s="93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19"/>
      <c r="P360" s="22"/>
      <c r="Q360" s="22"/>
      <c r="R360" s="22"/>
    </row>
    <row r="361" hidden="1">
      <c r="A361" s="93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19"/>
      <c r="P361" s="22"/>
      <c r="Q361" s="22"/>
      <c r="R361" s="22"/>
    </row>
    <row r="362" hidden="1">
      <c r="A362" s="93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19"/>
      <c r="P362" s="22"/>
      <c r="Q362" s="22"/>
      <c r="R362" s="22"/>
    </row>
    <row r="363" hidden="1">
      <c r="A363" s="93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19"/>
      <c r="P363" s="22"/>
      <c r="Q363" s="22"/>
      <c r="R363" s="22"/>
    </row>
    <row r="364" hidden="1">
      <c r="A364" s="93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19"/>
      <c r="P364" s="22"/>
      <c r="Q364" s="22"/>
      <c r="R364" s="22"/>
    </row>
    <row r="365" hidden="1">
      <c r="A365" s="93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19"/>
      <c r="P365" s="22"/>
      <c r="Q365" s="22"/>
      <c r="R365" s="22"/>
    </row>
    <row r="366" hidden="1">
      <c r="A366" s="93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19"/>
      <c r="P366" s="22"/>
      <c r="Q366" s="22"/>
      <c r="R366" s="22"/>
    </row>
    <row r="367" hidden="1">
      <c r="A367" s="93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19"/>
      <c r="P367" s="22"/>
      <c r="Q367" s="22"/>
      <c r="R367" s="22"/>
    </row>
    <row r="368" hidden="1">
      <c r="A368" s="93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19"/>
      <c r="P368" s="22"/>
      <c r="Q368" s="22"/>
      <c r="R368" s="22"/>
    </row>
    <row r="369" hidden="1">
      <c r="A369" s="93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19"/>
      <c r="P369" s="22"/>
      <c r="Q369" s="22"/>
      <c r="R369" s="22"/>
    </row>
    <row r="370" hidden="1">
      <c r="A370" s="93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19"/>
      <c r="P370" s="22"/>
      <c r="Q370" s="22"/>
      <c r="R370" s="22"/>
    </row>
    <row r="371" hidden="1">
      <c r="A371" s="93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19"/>
      <c r="P371" s="22"/>
      <c r="Q371" s="22"/>
      <c r="R371" s="22"/>
    </row>
    <row r="372" hidden="1">
      <c r="A372" s="93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19"/>
      <c r="P372" s="22"/>
      <c r="Q372" s="22"/>
      <c r="R372" s="22"/>
    </row>
    <row r="373" hidden="1">
      <c r="A373" s="93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19"/>
      <c r="P373" s="22"/>
      <c r="Q373" s="22"/>
      <c r="R373" s="22"/>
    </row>
    <row r="374" hidden="1">
      <c r="A374" s="93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19"/>
      <c r="P374" s="22"/>
      <c r="Q374" s="22"/>
      <c r="R374" s="22"/>
    </row>
    <row r="375" hidden="1">
      <c r="A375" s="93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19"/>
      <c r="P375" s="22"/>
      <c r="Q375" s="22"/>
      <c r="R375" s="22"/>
    </row>
    <row r="376" hidden="1">
      <c r="A376" s="93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19"/>
      <c r="P376" s="22"/>
      <c r="Q376" s="22"/>
      <c r="R376" s="22"/>
    </row>
    <row r="377" hidden="1">
      <c r="A377" s="93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19"/>
      <c r="P377" s="22"/>
      <c r="Q377" s="22"/>
      <c r="R377" s="22"/>
    </row>
    <row r="378" hidden="1">
      <c r="A378" s="93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19"/>
      <c r="P378" s="22"/>
      <c r="Q378" s="22"/>
      <c r="R378" s="22"/>
    </row>
    <row r="379" hidden="1">
      <c r="A379" s="93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19"/>
      <c r="P379" s="22"/>
      <c r="Q379" s="22"/>
      <c r="R379" s="22"/>
    </row>
    <row r="380" hidden="1">
      <c r="A380" s="93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19"/>
      <c r="P380" s="22"/>
      <c r="Q380" s="22"/>
      <c r="R380" s="22"/>
    </row>
    <row r="381" hidden="1">
      <c r="A381" s="93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19"/>
      <c r="P381" s="22"/>
      <c r="Q381" s="22"/>
      <c r="R381" s="22"/>
    </row>
    <row r="382" hidden="1">
      <c r="A382" s="93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19"/>
      <c r="P382" s="22"/>
      <c r="Q382" s="22"/>
      <c r="R382" s="22"/>
    </row>
    <row r="383" hidden="1">
      <c r="A383" s="93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19"/>
      <c r="P383" s="22"/>
      <c r="Q383" s="22"/>
      <c r="R383" s="22"/>
    </row>
    <row r="384" hidden="1">
      <c r="A384" s="93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19"/>
      <c r="P384" s="22"/>
      <c r="Q384" s="22"/>
      <c r="R384" s="22"/>
    </row>
    <row r="385" hidden="1">
      <c r="A385" s="93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19"/>
      <c r="P385" s="22"/>
      <c r="Q385" s="22"/>
      <c r="R385" s="22"/>
    </row>
    <row r="386" hidden="1">
      <c r="A386" s="93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19"/>
      <c r="P386" s="22"/>
      <c r="Q386" s="22"/>
      <c r="R386" s="22"/>
    </row>
    <row r="387" hidden="1">
      <c r="A387" s="93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19"/>
      <c r="P387" s="22"/>
      <c r="Q387" s="22"/>
      <c r="R387" s="22"/>
    </row>
    <row r="388" hidden="1">
      <c r="A388" s="93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19"/>
      <c r="P388" s="22"/>
      <c r="Q388" s="22"/>
      <c r="R388" s="22"/>
    </row>
    <row r="389" hidden="1">
      <c r="A389" s="93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19"/>
      <c r="P389" s="22"/>
      <c r="Q389" s="22"/>
      <c r="R389" s="22"/>
    </row>
    <row r="390" hidden="1">
      <c r="A390" s="93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19"/>
      <c r="P390" s="22"/>
      <c r="Q390" s="22"/>
      <c r="R390" s="22"/>
    </row>
    <row r="391" hidden="1">
      <c r="A391" s="93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19"/>
      <c r="P391" s="22"/>
      <c r="Q391" s="22"/>
      <c r="R391" s="22"/>
    </row>
    <row r="392" hidden="1">
      <c r="A392" s="93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19"/>
      <c r="P392" s="22"/>
      <c r="Q392" s="22"/>
      <c r="R392" s="22"/>
    </row>
    <row r="393" hidden="1">
      <c r="A393" s="93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19"/>
      <c r="P393" s="22"/>
      <c r="Q393" s="22"/>
      <c r="R393" s="22"/>
    </row>
    <row r="394" hidden="1">
      <c r="A394" s="93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19"/>
      <c r="P394" s="22"/>
      <c r="Q394" s="22"/>
      <c r="R394" s="22"/>
    </row>
    <row r="395" hidden="1">
      <c r="A395" s="93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19"/>
      <c r="P395" s="22"/>
      <c r="Q395" s="22"/>
      <c r="R395" s="22"/>
    </row>
    <row r="396" hidden="1">
      <c r="A396" s="93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19"/>
      <c r="P396" s="22"/>
      <c r="Q396" s="22"/>
      <c r="R396" s="22"/>
    </row>
    <row r="397" hidden="1">
      <c r="A397" s="93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19"/>
      <c r="P397" s="22"/>
      <c r="Q397" s="22"/>
      <c r="R397" s="22"/>
    </row>
    <row r="398" hidden="1">
      <c r="A398" s="93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19"/>
      <c r="P398" s="22"/>
      <c r="Q398" s="22"/>
      <c r="R398" s="22"/>
    </row>
    <row r="399" hidden="1">
      <c r="A399" s="93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19"/>
      <c r="P399" s="22"/>
      <c r="Q399" s="22"/>
      <c r="R399" s="22"/>
    </row>
    <row r="400" hidden="1">
      <c r="A400" s="93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19"/>
      <c r="P400" s="22"/>
      <c r="Q400" s="22"/>
      <c r="R400" s="22"/>
    </row>
    <row r="401" hidden="1">
      <c r="A401" s="93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19"/>
      <c r="P401" s="22"/>
      <c r="Q401" s="22"/>
      <c r="R401" s="22"/>
    </row>
    <row r="402" hidden="1">
      <c r="A402" s="93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19"/>
      <c r="P402" s="22"/>
      <c r="Q402" s="22"/>
      <c r="R402" s="22"/>
    </row>
    <row r="403" hidden="1">
      <c r="A403" s="93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19"/>
      <c r="P403" s="22"/>
      <c r="Q403" s="22"/>
      <c r="R403" s="22"/>
    </row>
    <row r="404" hidden="1">
      <c r="A404" s="93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19"/>
      <c r="P404" s="22"/>
      <c r="Q404" s="22"/>
      <c r="R404" s="22"/>
    </row>
    <row r="405" hidden="1">
      <c r="A405" s="93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19"/>
      <c r="P405" s="22"/>
      <c r="Q405" s="22"/>
      <c r="R405" s="22"/>
    </row>
    <row r="406" hidden="1">
      <c r="A406" s="93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19"/>
      <c r="P406" s="22"/>
      <c r="Q406" s="22"/>
      <c r="R406" s="22"/>
    </row>
    <row r="407" hidden="1">
      <c r="A407" s="93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19"/>
      <c r="P407" s="22"/>
      <c r="Q407" s="22"/>
      <c r="R407" s="22"/>
    </row>
    <row r="408" hidden="1">
      <c r="A408" s="93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19"/>
      <c r="P408" s="22"/>
      <c r="Q408" s="22"/>
      <c r="R408" s="22"/>
    </row>
    <row r="409" hidden="1">
      <c r="A409" s="93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19"/>
      <c r="P409" s="22"/>
      <c r="Q409" s="22"/>
      <c r="R409" s="22"/>
    </row>
    <row r="410" hidden="1">
      <c r="A410" s="93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19"/>
      <c r="P410" s="22"/>
      <c r="Q410" s="22"/>
      <c r="R410" s="22"/>
    </row>
    <row r="411" hidden="1">
      <c r="A411" s="93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19"/>
      <c r="P411" s="22"/>
      <c r="Q411" s="22"/>
      <c r="R411" s="22"/>
    </row>
    <row r="412" hidden="1">
      <c r="A412" s="93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19"/>
      <c r="P412" s="22"/>
      <c r="Q412" s="22"/>
      <c r="R412" s="22"/>
    </row>
    <row r="413" hidden="1">
      <c r="A413" s="93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19"/>
      <c r="P413" s="22"/>
      <c r="Q413" s="22"/>
      <c r="R413" s="22"/>
    </row>
    <row r="414" hidden="1">
      <c r="A414" s="93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19"/>
      <c r="P414" s="22"/>
      <c r="Q414" s="22"/>
      <c r="R414" s="22"/>
    </row>
    <row r="415" hidden="1">
      <c r="A415" s="93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19"/>
      <c r="P415" s="22"/>
      <c r="Q415" s="22"/>
      <c r="R415" s="22"/>
    </row>
    <row r="416" hidden="1">
      <c r="A416" s="93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19"/>
      <c r="P416" s="22"/>
      <c r="Q416" s="22"/>
      <c r="R416" s="22"/>
    </row>
    <row r="417" hidden="1">
      <c r="A417" s="93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19"/>
      <c r="P417" s="22"/>
      <c r="Q417" s="22"/>
      <c r="R417" s="22"/>
    </row>
    <row r="418" hidden="1">
      <c r="A418" s="93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19"/>
      <c r="P418" s="22"/>
      <c r="Q418" s="22"/>
      <c r="R418" s="22"/>
    </row>
    <row r="419" hidden="1">
      <c r="A419" s="93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19"/>
      <c r="P419" s="22"/>
      <c r="Q419" s="22"/>
      <c r="R419" s="22"/>
    </row>
    <row r="420" hidden="1">
      <c r="A420" s="93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19"/>
      <c r="P420" s="22"/>
      <c r="Q420" s="22"/>
      <c r="R420" s="22"/>
    </row>
    <row r="421" hidden="1">
      <c r="A421" s="93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19"/>
      <c r="P421" s="22"/>
      <c r="Q421" s="22"/>
      <c r="R421" s="22"/>
    </row>
    <row r="422" hidden="1">
      <c r="A422" s="93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19"/>
      <c r="P422" s="22"/>
      <c r="Q422" s="22"/>
      <c r="R422" s="22"/>
    </row>
    <row r="423" hidden="1">
      <c r="A423" s="93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19"/>
      <c r="P423" s="22"/>
      <c r="Q423" s="22"/>
      <c r="R423" s="22"/>
    </row>
    <row r="424" hidden="1">
      <c r="A424" s="93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19"/>
      <c r="P424" s="22"/>
      <c r="Q424" s="22"/>
      <c r="R424" s="22"/>
    </row>
    <row r="425" hidden="1">
      <c r="A425" s="93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19"/>
      <c r="P425" s="22"/>
      <c r="Q425" s="22"/>
      <c r="R425" s="22"/>
    </row>
    <row r="426" hidden="1">
      <c r="A426" s="93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19"/>
      <c r="P426" s="22"/>
      <c r="Q426" s="22"/>
      <c r="R426" s="22"/>
    </row>
    <row r="427" hidden="1">
      <c r="A427" s="93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19"/>
      <c r="P427" s="22"/>
      <c r="Q427" s="22"/>
      <c r="R427" s="22"/>
    </row>
    <row r="428" hidden="1">
      <c r="A428" s="93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19"/>
      <c r="P428" s="22"/>
      <c r="Q428" s="22"/>
      <c r="R428" s="22"/>
    </row>
    <row r="429" hidden="1">
      <c r="A429" s="93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19"/>
      <c r="P429" s="22"/>
      <c r="Q429" s="22"/>
      <c r="R429" s="22"/>
    </row>
    <row r="430" hidden="1">
      <c r="A430" s="93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19"/>
      <c r="P430" s="22"/>
      <c r="Q430" s="22"/>
      <c r="R430" s="22"/>
    </row>
    <row r="431" hidden="1">
      <c r="A431" s="93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19"/>
      <c r="P431" s="22"/>
      <c r="Q431" s="22"/>
      <c r="R431" s="22"/>
    </row>
    <row r="432" hidden="1">
      <c r="A432" s="93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19"/>
      <c r="P432" s="22"/>
      <c r="Q432" s="22"/>
      <c r="R432" s="22"/>
    </row>
    <row r="433" hidden="1">
      <c r="A433" s="93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19"/>
      <c r="P433" s="22"/>
      <c r="Q433" s="22"/>
      <c r="R433" s="22"/>
    </row>
    <row r="434" hidden="1">
      <c r="A434" s="93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19"/>
      <c r="P434" s="22"/>
      <c r="Q434" s="22"/>
      <c r="R434" s="22"/>
    </row>
    <row r="435" hidden="1">
      <c r="A435" s="93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19"/>
      <c r="P435" s="22"/>
      <c r="Q435" s="22"/>
      <c r="R435" s="22"/>
    </row>
    <row r="436" hidden="1">
      <c r="A436" s="93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19"/>
      <c r="P436" s="22"/>
      <c r="Q436" s="22"/>
      <c r="R436" s="22"/>
    </row>
    <row r="437" hidden="1">
      <c r="A437" s="93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19"/>
      <c r="P437" s="22"/>
      <c r="Q437" s="22"/>
      <c r="R437" s="22"/>
    </row>
    <row r="438" hidden="1">
      <c r="A438" s="93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19"/>
      <c r="P438" s="22"/>
      <c r="Q438" s="22"/>
      <c r="R438" s="22"/>
    </row>
    <row r="439" hidden="1">
      <c r="A439" s="93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19"/>
      <c r="P439" s="22"/>
      <c r="Q439" s="22"/>
      <c r="R439" s="22"/>
    </row>
    <row r="440" hidden="1">
      <c r="A440" s="93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19"/>
      <c r="P440" s="22"/>
      <c r="Q440" s="22"/>
      <c r="R440" s="22"/>
    </row>
    <row r="441" hidden="1">
      <c r="A441" s="93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19"/>
      <c r="P441" s="22"/>
      <c r="Q441" s="22"/>
      <c r="R441" s="22"/>
    </row>
    <row r="442" hidden="1">
      <c r="A442" s="93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19"/>
      <c r="P442" s="22"/>
      <c r="Q442" s="22"/>
      <c r="R442" s="22"/>
    </row>
    <row r="443" hidden="1">
      <c r="A443" s="93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19"/>
      <c r="P443" s="22"/>
      <c r="Q443" s="22"/>
      <c r="R443" s="22"/>
    </row>
    <row r="444" hidden="1">
      <c r="A444" s="93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19"/>
      <c r="P444" s="22"/>
      <c r="Q444" s="22"/>
      <c r="R444" s="22"/>
    </row>
    <row r="445" hidden="1">
      <c r="A445" s="93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19"/>
      <c r="P445" s="22"/>
      <c r="Q445" s="22"/>
      <c r="R445" s="22"/>
    </row>
    <row r="446" hidden="1">
      <c r="A446" s="93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19"/>
      <c r="P446" s="22"/>
      <c r="Q446" s="22"/>
      <c r="R446" s="22"/>
    </row>
    <row r="447" hidden="1">
      <c r="A447" s="93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19"/>
      <c r="P447" s="22"/>
      <c r="Q447" s="22"/>
      <c r="R447" s="22"/>
    </row>
    <row r="448" hidden="1">
      <c r="A448" s="93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19"/>
      <c r="P448" s="22"/>
      <c r="Q448" s="22"/>
      <c r="R448" s="22"/>
    </row>
    <row r="449" hidden="1">
      <c r="A449" s="93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19"/>
      <c r="P449" s="22"/>
      <c r="Q449" s="22"/>
      <c r="R449" s="22"/>
    </row>
    <row r="450" hidden="1">
      <c r="A450" s="93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19"/>
      <c r="P450" s="22"/>
      <c r="Q450" s="22"/>
      <c r="R450" s="22"/>
    </row>
    <row r="451" hidden="1">
      <c r="A451" s="93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19"/>
      <c r="P451" s="22"/>
      <c r="Q451" s="22"/>
      <c r="R451" s="22"/>
    </row>
    <row r="452" hidden="1">
      <c r="A452" s="93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19"/>
      <c r="P452" s="22"/>
      <c r="Q452" s="22"/>
      <c r="R452" s="22"/>
    </row>
    <row r="453" hidden="1">
      <c r="A453" s="93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19"/>
      <c r="P453" s="22"/>
      <c r="Q453" s="22"/>
      <c r="R453" s="22"/>
    </row>
    <row r="454" hidden="1">
      <c r="A454" s="93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19"/>
      <c r="P454" s="22"/>
      <c r="Q454" s="22"/>
      <c r="R454" s="22"/>
    </row>
    <row r="455" hidden="1">
      <c r="A455" s="93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19"/>
      <c r="P455" s="22"/>
      <c r="Q455" s="22"/>
      <c r="R455" s="22"/>
    </row>
    <row r="456" hidden="1">
      <c r="A456" s="93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19"/>
      <c r="P456" s="22"/>
      <c r="Q456" s="22"/>
      <c r="R456" s="22"/>
    </row>
    <row r="457" hidden="1">
      <c r="A457" s="93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19"/>
      <c r="P457" s="22"/>
      <c r="Q457" s="22"/>
      <c r="R457" s="22"/>
    </row>
    <row r="458" hidden="1">
      <c r="A458" s="93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19"/>
      <c r="P458" s="22"/>
      <c r="Q458" s="22"/>
      <c r="R458" s="22"/>
    </row>
    <row r="459" hidden="1">
      <c r="A459" s="93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19"/>
      <c r="P459" s="22"/>
      <c r="Q459" s="22"/>
      <c r="R459" s="22"/>
    </row>
    <row r="460" hidden="1">
      <c r="A460" s="93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19"/>
      <c r="P460" s="22"/>
      <c r="Q460" s="22"/>
      <c r="R460" s="22"/>
    </row>
    <row r="461" hidden="1">
      <c r="A461" s="93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19"/>
      <c r="P461" s="22"/>
      <c r="Q461" s="22"/>
      <c r="R461" s="22"/>
    </row>
    <row r="462" hidden="1">
      <c r="A462" s="93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19"/>
      <c r="P462" s="22"/>
      <c r="Q462" s="22"/>
      <c r="R462" s="22"/>
    </row>
    <row r="463" hidden="1">
      <c r="A463" s="93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19"/>
      <c r="P463" s="22"/>
      <c r="Q463" s="22"/>
      <c r="R463" s="22"/>
    </row>
    <row r="464" hidden="1">
      <c r="A464" s="93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19"/>
      <c r="P464" s="22"/>
      <c r="Q464" s="22"/>
      <c r="R464" s="22"/>
    </row>
    <row r="465" hidden="1">
      <c r="A465" s="93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19"/>
      <c r="P465" s="22"/>
      <c r="Q465" s="22"/>
      <c r="R465" s="22"/>
    </row>
    <row r="466" hidden="1">
      <c r="A466" s="93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19"/>
      <c r="P466" s="22"/>
      <c r="Q466" s="22"/>
      <c r="R466" s="22"/>
    </row>
    <row r="467" hidden="1">
      <c r="A467" s="93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19"/>
      <c r="P467" s="22"/>
      <c r="Q467" s="22"/>
      <c r="R467" s="22"/>
    </row>
    <row r="468" hidden="1">
      <c r="A468" s="93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19"/>
      <c r="P468" s="22"/>
      <c r="Q468" s="22"/>
      <c r="R468" s="22"/>
    </row>
    <row r="469" hidden="1">
      <c r="A469" s="93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19"/>
      <c r="P469" s="22"/>
      <c r="Q469" s="22"/>
      <c r="R469" s="22"/>
    </row>
    <row r="470" hidden="1">
      <c r="A470" s="93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19"/>
      <c r="P470" s="22"/>
      <c r="Q470" s="22"/>
      <c r="R470" s="22"/>
    </row>
    <row r="471" hidden="1">
      <c r="A471" s="93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19"/>
      <c r="P471" s="22"/>
      <c r="Q471" s="22"/>
      <c r="R471" s="22"/>
    </row>
    <row r="472" hidden="1">
      <c r="A472" s="93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19"/>
      <c r="P472" s="22"/>
      <c r="Q472" s="22"/>
      <c r="R472" s="22"/>
    </row>
    <row r="473" hidden="1">
      <c r="A473" s="93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19"/>
      <c r="P473" s="22"/>
      <c r="Q473" s="22"/>
      <c r="R473" s="22"/>
    </row>
    <row r="474" hidden="1">
      <c r="A474" s="93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19"/>
      <c r="P474" s="22"/>
      <c r="Q474" s="22"/>
      <c r="R474" s="22"/>
    </row>
    <row r="475" hidden="1">
      <c r="A475" s="93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19"/>
      <c r="P475" s="22"/>
      <c r="Q475" s="22"/>
      <c r="R475" s="22"/>
    </row>
    <row r="476" hidden="1">
      <c r="A476" s="93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19"/>
      <c r="P476" s="22"/>
      <c r="Q476" s="22"/>
      <c r="R476" s="22"/>
    </row>
    <row r="477" hidden="1">
      <c r="A477" s="93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19"/>
      <c r="P477" s="22"/>
      <c r="Q477" s="22"/>
      <c r="R477" s="22"/>
    </row>
    <row r="478" hidden="1">
      <c r="A478" s="93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19"/>
      <c r="P478" s="22"/>
      <c r="Q478" s="22"/>
      <c r="R478" s="22"/>
    </row>
    <row r="479" hidden="1">
      <c r="A479" s="93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19"/>
      <c r="P479" s="22"/>
      <c r="Q479" s="22"/>
      <c r="R479" s="22"/>
    </row>
    <row r="480" hidden="1">
      <c r="A480" s="93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19"/>
      <c r="P480" s="22"/>
      <c r="Q480" s="22"/>
      <c r="R480" s="22"/>
    </row>
    <row r="481" hidden="1">
      <c r="A481" s="93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19"/>
      <c r="P481" s="22"/>
      <c r="Q481" s="22"/>
      <c r="R481" s="22"/>
    </row>
    <row r="482" hidden="1">
      <c r="A482" s="93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19"/>
      <c r="P482" s="22"/>
      <c r="Q482" s="22"/>
      <c r="R482" s="22"/>
    </row>
    <row r="483" hidden="1">
      <c r="A483" s="93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19"/>
      <c r="P483" s="22"/>
      <c r="Q483" s="22"/>
      <c r="R483" s="22"/>
    </row>
    <row r="484" hidden="1">
      <c r="A484" s="93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19"/>
      <c r="P484" s="22"/>
      <c r="Q484" s="22"/>
      <c r="R484" s="22"/>
    </row>
    <row r="485" hidden="1">
      <c r="A485" s="93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19"/>
      <c r="P485" s="22"/>
      <c r="Q485" s="22"/>
      <c r="R485" s="22"/>
    </row>
    <row r="486" hidden="1">
      <c r="A486" s="93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19"/>
      <c r="P486" s="22"/>
      <c r="Q486" s="22"/>
      <c r="R486" s="22"/>
    </row>
    <row r="487" hidden="1">
      <c r="A487" s="93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19"/>
      <c r="P487" s="22"/>
      <c r="Q487" s="22"/>
      <c r="R487" s="22"/>
    </row>
    <row r="488" hidden="1">
      <c r="A488" s="93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19"/>
      <c r="P488" s="22"/>
      <c r="Q488" s="22"/>
      <c r="R488" s="22"/>
    </row>
    <row r="489" hidden="1">
      <c r="A489" s="93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19"/>
      <c r="P489" s="22"/>
      <c r="Q489" s="22"/>
      <c r="R489" s="22"/>
    </row>
    <row r="490" hidden="1">
      <c r="A490" s="93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19"/>
      <c r="P490" s="22"/>
      <c r="Q490" s="22"/>
      <c r="R490" s="22"/>
    </row>
    <row r="491" hidden="1">
      <c r="A491" s="93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19"/>
      <c r="P491" s="22"/>
      <c r="Q491" s="22"/>
      <c r="R491" s="22"/>
    </row>
    <row r="492" hidden="1">
      <c r="A492" s="93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19"/>
      <c r="P492" s="22"/>
      <c r="Q492" s="22"/>
      <c r="R492" s="22"/>
    </row>
    <row r="493" hidden="1">
      <c r="A493" s="93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19"/>
      <c r="P493" s="22"/>
      <c r="Q493" s="22"/>
      <c r="R493" s="22"/>
    </row>
    <row r="494" hidden="1">
      <c r="A494" s="93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19"/>
      <c r="P494" s="22"/>
      <c r="Q494" s="22"/>
      <c r="R494" s="22"/>
    </row>
    <row r="495" hidden="1">
      <c r="A495" s="93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19"/>
      <c r="P495" s="22"/>
      <c r="Q495" s="22"/>
      <c r="R495" s="22"/>
    </row>
    <row r="496" hidden="1">
      <c r="A496" s="93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19"/>
      <c r="P496" s="22"/>
      <c r="Q496" s="22"/>
      <c r="R496" s="22"/>
    </row>
    <row r="497" hidden="1">
      <c r="A497" s="93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19"/>
      <c r="P497" s="22"/>
      <c r="Q497" s="22"/>
      <c r="R497" s="22"/>
    </row>
    <row r="498" hidden="1">
      <c r="A498" s="93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19"/>
      <c r="P498" s="22"/>
      <c r="Q498" s="22"/>
      <c r="R498" s="22"/>
    </row>
    <row r="499" hidden="1">
      <c r="A499" s="93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19"/>
      <c r="P499" s="22"/>
      <c r="Q499" s="22"/>
      <c r="R499" s="22"/>
    </row>
    <row r="500" hidden="1">
      <c r="A500" s="93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19"/>
      <c r="P500" s="22"/>
      <c r="Q500" s="22"/>
      <c r="R500" s="22"/>
    </row>
    <row r="501" hidden="1">
      <c r="A501" s="93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19"/>
      <c r="P501" s="22"/>
      <c r="Q501" s="22"/>
      <c r="R501" s="22"/>
    </row>
    <row r="502" hidden="1">
      <c r="A502" s="93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19"/>
      <c r="P502" s="22"/>
      <c r="Q502" s="22"/>
      <c r="R502" s="22"/>
    </row>
    <row r="503" hidden="1">
      <c r="A503" s="93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19"/>
      <c r="P503" s="22"/>
      <c r="Q503" s="22"/>
      <c r="R503" s="22"/>
    </row>
    <row r="504" hidden="1">
      <c r="A504" s="93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19"/>
      <c r="P504" s="22"/>
      <c r="Q504" s="22"/>
      <c r="R504" s="22"/>
    </row>
    <row r="505" hidden="1">
      <c r="A505" s="93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19"/>
      <c r="P505" s="22"/>
      <c r="Q505" s="22"/>
      <c r="R505" s="22"/>
    </row>
    <row r="506" hidden="1">
      <c r="A506" s="93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19"/>
      <c r="P506" s="22"/>
      <c r="Q506" s="22"/>
      <c r="R506" s="22"/>
    </row>
    <row r="507" hidden="1">
      <c r="A507" s="93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19"/>
      <c r="P507" s="22"/>
      <c r="Q507" s="22"/>
      <c r="R507" s="22"/>
    </row>
    <row r="508" hidden="1">
      <c r="A508" s="93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19"/>
      <c r="P508" s="22"/>
      <c r="Q508" s="22"/>
      <c r="R508" s="22"/>
    </row>
    <row r="509" hidden="1">
      <c r="A509" s="93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19"/>
      <c r="P509" s="22"/>
      <c r="Q509" s="22"/>
      <c r="R509" s="22"/>
    </row>
    <row r="510" hidden="1">
      <c r="A510" s="93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19"/>
      <c r="P510" s="22"/>
      <c r="Q510" s="22"/>
      <c r="R510" s="22"/>
    </row>
    <row r="511" hidden="1">
      <c r="A511" s="93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19"/>
      <c r="P511" s="22"/>
      <c r="Q511" s="22"/>
      <c r="R511" s="22"/>
    </row>
    <row r="512" hidden="1">
      <c r="A512" s="93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19"/>
      <c r="P512" s="22"/>
      <c r="Q512" s="22"/>
      <c r="R512" s="22"/>
    </row>
    <row r="513" hidden="1">
      <c r="A513" s="93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19"/>
      <c r="P513" s="22"/>
      <c r="Q513" s="22"/>
      <c r="R513" s="22"/>
    </row>
    <row r="514" hidden="1">
      <c r="A514" s="93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19"/>
      <c r="P514" s="22"/>
      <c r="Q514" s="22"/>
      <c r="R514" s="22"/>
    </row>
    <row r="515" hidden="1">
      <c r="A515" s="93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19"/>
      <c r="P515" s="22"/>
      <c r="Q515" s="22"/>
      <c r="R515" s="22"/>
    </row>
    <row r="516" hidden="1">
      <c r="A516" s="93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19"/>
      <c r="P516" s="22"/>
      <c r="Q516" s="22"/>
      <c r="R516" s="22"/>
    </row>
    <row r="517" hidden="1">
      <c r="A517" s="93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19"/>
      <c r="P517" s="22"/>
      <c r="Q517" s="22"/>
      <c r="R517" s="22"/>
    </row>
    <row r="518" hidden="1">
      <c r="A518" s="93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19"/>
      <c r="P518" s="22"/>
      <c r="Q518" s="22"/>
      <c r="R518" s="22"/>
    </row>
    <row r="519" hidden="1">
      <c r="A519" s="93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19"/>
      <c r="P519" s="22"/>
      <c r="Q519" s="22"/>
      <c r="R519" s="22"/>
    </row>
    <row r="520" hidden="1">
      <c r="A520" s="93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19"/>
      <c r="P520" s="22"/>
      <c r="Q520" s="22"/>
      <c r="R520" s="22"/>
    </row>
    <row r="521" hidden="1">
      <c r="A521" s="93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19"/>
      <c r="P521" s="22"/>
      <c r="Q521" s="22"/>
      <c r="R521" s="22"/>
    </row>
    <row r="522" hidden="1">
      <c r="A522" s="93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19"/>
      <c r="P522" s="22"/>
      <c r="Q522" s="22"/>
      <c r="R522" s="22"/>
    </row>
    <row r="523" hidden="1">
      <c r="A523" s="93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19"/>
      <c r="P523" s="22"/>
      <c r="Q523" s="22"/>
      <c r="R523" s="22"/>
    </row>
    <row r="524" hidden="1">
      <c r="A524" s="93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19"/>
      <c r="P524" s="22"/>
      <c r="Q524" s="22"/>
      <c r="R524" s="22"/>
    </row>
    <row r="525" hidden="1">
      <c r="A525" s="93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19"/>
      <c r="P525" s="22"/>
      <c r="Q525" s="22"/>
      <c r="R525" s="22"/>
    </row>
    <row r="526" hidden="1">
      <c r="A526" s="93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19"/>
      <c r="P526" s="22"/>
      <c r="Q526" s="22"/>
      <c r="R526" s="22"/>
    </row>
    <row r="527" hidden="1">
      <c r="A527" s="93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19"/>
      <c r="P527" s="22"/>
      <c r="Q527" s="22"/>
      <c r="R527" s="22"/>
    </row>
    <row r="528" hidden="1">
      <c r="A528" s="93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19"/>
      <c r="P528" s="22"/>
      <c r="Q528" s="22"/>
      <c r="R528" s="22"/>
    </row>
    <row r="529" hidden="1">
      <c r="A529" s="93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19"/>
      <c r="P529" s="22"/>
      <c r="Q529" s="22"/>
      <c r="R529" s="22"/>
    </row>
    <row r="530" hidden="1">
      <c r="A530" s="93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19"/>
      <c r="P530" s="22"/>
      <c r="Q530" s="22"/>
      <c r="R530" s="22"/>
    </row>
    <row r="531" hidden="1">
      <c r="A531" s="93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19"/>
      <c r="P531" s="22"/>
      <c r="Q531" s="22"/>
      <c r="R531" s="22"/>
    </row>
    <row r="532" hidden="1">
      <c r="A532" s="93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19"/>
      <c r="P532" s="22"/>
      <c r="Q532" s="22"/>
      <c r="R532" s="22"/>
    </row>
    <row r="533" hidden="1">
      <c r="A533" s="93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19"/>
      <c r="P533" s="22"/>
      <c r="Q533" s="22"/>
      <c r="R533" s="22"/>
    </row>
    <row r="534" hidden="1">
      <c r="A534" s="93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19"/>
      <c r="P534" s="22"/>
      <c r="Q534" s="22"/>
      <c r="R534" s="22"/>
    </row>
    <row r="535" hidden="1">
      <c r="A535" s="93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19"/>
      <c r="P535" s="22"/>
      <c r="Q535" s="22"/>
      <c r="R535" s="22"/>
    </row>
    <row r="536" hidden="1">
      <c r="A536" s="93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19"/>
      <c r="P536" s="22"/>
      <c r="Q536" s="22"/>
      <c r="R536" s="22"/>
    </row>
    <row r="537" hidden="1">
      <c r="A537" s="93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19"/>
      <c r="P537" s="22"/>
      <c r="Q537" s="22"/>
      <c r="R537" s="22"/>
    </row>
    <row r="538" hidden="1">
      <c r="A538" s="93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19"/>
      <c r="P538" s="22"/>
      <c r="Q538" s="22"/>
      <c r="R538" s="22"/>
    </row>
    <row r="539" hidden="1">
      <c r="A539" s="93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19"/>
      <c r="P539" s="22"/>
      <c r="Q539" s="22"/>
      <c r="R539" s="22"/>
    </row>
    <row r="540" hidden="1">
      <c r="A540" s="93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19"/>
      <c r="P540" s="22"/>
      <c r="Q540" s="22"/>
      <c r="R540" s="22"/>
    </row>
    <row r="541" hidden="1">
      <c r="A541" s="93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19"/>
      <c r="P541" s="22"/>
      <c r="Q541" s="22"/>
      <c r="R541" s="22"/>
    </row>
    <row r="542" hidden="1">
      <c r="A542" s="93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19"/>
      <c r="P542" s="22"/>
      <c r="Q542" s="22"/>
      <c r="R542" s="22"/>
    </row>
    <row r="543" hidden="1">
      <c r="A543" s="93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19"/>
      <c r="P543" s="22"/>
      <c r="Q543" s="22"/>
      <c r="R543" s="22"/>
    </row>
    <row r="544" hidden="1">
      <c r="A544" s="93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19"/>
      <c r="P544" s="22"/>
      <c r="Q544" s="22"/>
      <c r="R544" s="22"/>
    </row>
    <row r="545" hidden="1">
      <c r="A545" s="93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19"/>
      <c r="P545" s="22"/>
      <c r="Q545" s="22"/>
      <c r="R545" s="22"/>
    </row>
    <row r="546" hidden="1">
      <c r="A546" s="93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19"/>
      <c r="P546" s="22"/>
      <c r="Q546" s="22"/>
      <c r="R546" s="22"/>
    </row>
    <row r="547" hidden="1">
      <c r="A547" s="93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19"/>
      <c r="P547" s="22"/>
      <c r="Q547" s="22"/>
      <c r="R547" s="22"/>
    </row>
    <row r="548" hidden="1">
      <c r="A548" s="93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19"/>
      <c r="P548" s="22"/>
      <c r="Q548" s="22"/>
      <c r="R548" s="22"/>
    </row>
    <row r="549" hidden="1">
      <c r="A549" s="93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19"/>
      <c r="P549" s="22"/>
      <c r="Q549" s="22"/>
      <c r="R549" s="22"/>
    </row>
    <row r="550" hidden="1">
      <c r="A550" s="93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19"/>
      <c r="P550" s="22"/>
      <c r="Q550" s="22"/>
      <c r="R550" s="22"/>
    </row>
    <row r="551" hidden="1">
      <c r="A551" s="93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19"/>
      <c r="P551" s="22"/>
      <c r="Q551" s="22"/>
      <c r="R551" s="22"/>
    </row>
    <row r="552" hidden="1">
      <c r="A552" s="93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19"/>
      <c r="P552" s="22"/>
      <c r="Q552" s="22"/>
      <c r="R552" s="22"/>
    </row>
    <row r="553" hidden="1">
      <c r="A553" s="93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19"/>
      <c r="P553" s="22"/>
      <c r="Q553" s="22"/>
      <c r="R553" s="22"/>
    </row>
    <row r="554" hidden="1">
      <c r="A554" s="93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19"/>
      <c r="P554" s="22"/>
      <c r="Q554" s="22"/>
      <c r="R554" s="22"/>
    </row>
    <row r="555" hidden="1">
      <c r="A555" s="93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19"/>
      <c r="P555" s="22"/>
      <c r="Q555" s="22"/>
      <c r="R555" s="22"/>
    </row>
    <row r="556" hidden="1">
      <c r="A556" s="93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19"/>
      <c r="P556" s="22"/>
      <c r="Q556" s="22"/>
      <c r="R556" s="22"/>
    </row>
    <row r="557" hidden="1">
      <c r="A557" s="93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19"/>
      <c r="P557" s="22"/>
      <c r="Q557" s="22"/>
      <c r="R557" s="22"/>
    </row>
    <row r="558" hidden="1">
      <c r="A558" s="93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19"/>
      <c r="P558" s="22"/>
      <c r="Q558" s="22"/>
      <c r="R558" s="22"/>
    </row>
    <row r="559" hidden="1">
      <c r="A559" s="93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19"/>
      <c r="P559" s="22"/>
      <c r="Q559" s="22"/>
      <c r="R559" s="22"/>
    </row>
    <row r="560" hidden="1">
      <c r="A560" s="93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19"/>
      <c r="P560" s="22"/>
      <c r="Q560" s="22"/>
      <c r="R560" s="22"/>
    </row>
    <row r="561" hidden="1">
      <c r="A561" s="93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19"/>
      <c r="P561" s="22"/>
      <c r="Q561" s="22"/>
      <c r="R561" s="22"/>
    </row>
    <row r="562" hidden="1">
      <c r="A562" s="93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19"/>
      <c r="P562" s="22"/>
      <c r="Q562" s="22"/>
      <c r="R562" s="22"/>
    </row>
    <row r="563" hidden="1">
      <c r="A563" s="93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19"/>
      <c r="P563" s="22"/>
      <c r="Q563" s="22"/>
      <c r="R563" s="22"/>
    </row>
    <row r="564" hidden="1">
      <c r="A564" s="93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19"/>
      <c r="P564" s="22"/>
      <c r="Q564" s="22"/>
      <c r="R564" s="22"/>
    </row>
    <row r="565" hidden="1">
      <c r="A565" s="93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19"/>
      <c r="P565" s="22"/>
      <c r="Q565" s="22"/>
      <c r="R565" s="22"/>
    </row>
    <row r="566" hidden="1">
      <c r="A566" s="93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19"/>
      <c r="P566" s="22"/>
      <c r="Q566" s="22"/>
      <c r="R566" s="22"/>
    </row>
    <row r="567" hidden="1">
      <c r="A567" s="93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19"/>
      <c r="P567" s="22"/>
      <c r="Q567" s="22"/>
      <c r="R567" s="22"/>
    </row>
    <row r="568" hidden="1">
      <c r="A568" s="93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19"/>
      <c r="P568" s="22"/>
      <c r="Q568" s="22"/>
      <c r="R568" s="22"/>
    </row>
    <row r="569" hidden="1">
      <c r="A569" s="93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19"/>
      <c r="P569" s="22"/>
      <c r="Q569" s="22"/>
      <c r="R569" s="22"/>
    </row>
    <row r="570" hidden="1">
      <c r="A570" s="93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19"/>
      <c r="P570" s="22"/>
      <c r="Q570" s="22"/>
      <c r="R570" s="22"/>
    </row>
    <row r="571" hidden="1">
      <c r="A571" s="93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19"/>
      <c r="P571" s="22"/>
      <c r="Q571" s="22"/>
      <c r="R571" s="22"/>
    </row>
    <row r="572" hidden="1">
      <c r="A572" s="93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19"/>
      <c r="P572" s="22"/>
      <c r="Q572" s="22"/>
      <c r="R572" s="22"/>
    </row>
    <row r="573" hidden="1">
      <c r="A573" s="93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19"/>
      <c r="P573" s="22"/>
      <c r="Q573" s="22"/>
      <c r="R573" s="22"/>
    </row>
    <row r="574" hidden="1">
      <c r="A574" s="93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19"/>
      <c r="P574" s="22"/>
      <c r="Q574" s="22"/>
      <c r="R574" s="22"/>
    </row>
    <row r="575" hidden="1">
      <c r="A575" s="93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19"/>
      <c r="P575" s="22"/>
      <c r="Q575" s="22"/>
      <c r="R575" s="22"/>
    </row>
    <row r="576" hidden="1">
      <c r="A576" s="93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19"/>
      <c r="P576" s="22"/>
      <c r="Q576" s="22"/>
      <c r="R576" s="22"/>
    </row>
    <row r="577" hidden="1">
      <c r="A577" s="93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19"/>
      <c r="P577" s="22"/>
      <c r="Q577" s="22"/>
      <c r="R577" s="22"/>
    </row>
    <row r="578" hidden="1">
      <c r="A578" s="93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19"/>
      <c r="P578" s="22"/>
      <c r="Q578" s="22"/>
      <c r="R578" s="22"/>
    </row>
    <row r="579" hidden="1">
      <c r="A579" s="93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19"/>
      <c r="P579" s="22"/>
      <c r="Q579" s="22"/>
      <c r="R579" s="22"/>
    </row>
    <row r="580" hidden="1">
      <c r="A580" s="93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19"/>
      <c r="P580" s="22"/>
      <c r="Q580" s="22"/>
      <c r="R580" s="22"/>
    </row>
    <row r="581" hidden="1">
      <c r="A581" s="93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19"/>
      <c r="P581" s="22"/>
      <c r="Q581" s="22"/>
      <c r="R581" s="22"/>
    </row>
    <row r="582" hidden="1">
      <c r="A582" s="93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19"/>
      <c r="P582" s="22"/>
      <c r="Q582" s="22"/>
      <c r="R582" s="22"/>
    </row>
    <row r="583" hidden="1">
      <c r="A583" s="93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19"/>
      <c r="P583" s="22"/>
      <c r="Q583" s="22"/>
      <c r="R583" s="22"/>
    </row>
    <row r="584" hidden="1">
      <c r="A584" s="93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19"/>
      <c r="P584" s="22"/>
      <c r="Q584" s="22"/>
      <c r="R584" s="22"/>
    </row>
    <row r="585" hidden="1">
      <c r="A585" s="93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19"/>
      <c r="P585" s="22"/>
      <c r="Q585" s="22"/>
      <c r="R585" s="22"/>
    </row>
    <row r="586" hidden="1">
      <c r="A586" s="93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19"/>
      <c r="P586" s="22"/>
      <c r="Q586" s="22"/>
      <c r="R586" s="22"/>
    </row>
    <row r="587" hidden="1">
      <c r="A587" s="93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19"/>
      <c r="P587" s="22"/>
      <c r="Q587" s="22"/>
      <c r="R587" s="22"/>
    </row>
    <row r="588" hidden="1">
      <c r="A588" s="93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19"/>
      <c r="P588" s="22"/>
      <c r="Q588" s="22"/>
      <c r="R588" s="22"/>
    </row>
    <row r="589" hidden="1">
      <c r="A589" s="93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19"/>
      <c r="P589" s="22"/>
      <c r="Q589" s="22"/>
      <c r="R589" s="22"/>
    </row>
    <row r="590" hidden="1">
      <c r="A590" s="93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19"/>
      <c r="P590" s="22"/>
      <c r="Q590" s="22"/>
      <c r="R590" s="22"/>
    </row>
    <row r="591" hidden="1">
      <c r="A591" s="93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19"/>
      <c r="P591" s="22"/>
      <c r="Q591" s="22"/>
      <c r="R591" s="22"/>
    </row>
    <row r="592" hidden="1">
      <c r="A592" s="93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19"/>
      <c r="P592" s="22"/>
      <c r="Q592" s="22"/>
      <c r="R592" s="22"/>
    </row>
    <row r="593" hidden="1">
      <c r="A593" s="93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19"/>
      <c r="P593" s="22"/>
      <c r="Q593" s="22"/>
      <c r="R593" s="22"/>
    </row>
    <row r="594" hidden="1">
      <c r="A594" s="93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19"/>
      <c r="P594" s="22"/>
      <c r="Q594" s="22"/>
      <c r="R594" s="22"/>
    </row>
    <row r="595" hidden="1">
      <c r="A595" s="93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19"/>
      <c r="P595" s="22"/>
      <c r="Q595" s="22"/>
      <c r="R595" s="22"/>
    </row>
    <row r="596" hidden="1">
      <c r="A596" s="93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19"/>
      <c r="P596" s="22"/>
      <c r="Q596" s="22"/>
      <c r="R596" s="22"/>
    </row>
    <row r="597" hidden="1">
      <c r="A597" s="93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19"/>
      <c r="P597" s="22"/>
      <c r="Q597" s="22"/>
      <c r="R597" s="22"/>
    </row>
    <row r="598" hidden="1">
      <c r="A598" s="93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19"/>
      <c r="P598" s="22"/>
      <c r="Q598" s="22"/>
      <c r="R598" s="22"/>
    </row>
    <row r="599" hidden="1">
      <c r="A599" s="93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19"/>
      <c r="P599" s="22"/>
      <c r="Q599" s="22"/>
      <c r="R599" s="22"/>
    </row>
    <row r="600" hidden="1">
      <c r="A600" s="93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19"/>
      <c r="P600" s="22"/>
      <c r="Q600" s="22"/>
      <c r="R600" s="22"/>
    </row>
    <row r="601" hidden="1">
      <c r="A601" s="93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19"/>
      <c r="P601" s="22"/>
      <c r="Q601" s="22"/>
      <c r="R601" s="22"/>
    </row>
    <row r="602" hidden="1">
      <c r="A602" s="93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19"/>
      <c r="P602" s="22"/>
      <c r="Q602" s="22"/>
      <c r="R602" s="22"/>
    </row>
    <row r="603" hidden="1">
      <c r="A603" s="93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19"/>
      <c r="P603" s="22"/>
      <c r="Q603" s="22"/>
      <c r="R603" s="22"/>
    </row>
    <row r="604" hidden="1">
      <c r="A604" s="93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19"/>
      <c r="P604" s="22"/>
      <c r="Q604" s="22"/>
      <c r="R604" s="22"/>
    </row>
    <row r="605" hidden="1">
      <c r="A605" s="93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19"/>
      <c r="P605" s="22"/>
      <c r="Q605" s="22"/>
      <c r="R605" s="22"/>
    </row>
    <row r="606" hidden="1">
      <c r="A606" s="93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19"/>
      <c r="P606" s="22"/>
      <c r="Q606" s="22"/>
      <c r="R606" s="22"/>
    </row>
    <row r="607" hidden="1">
      <c r="A607" s="93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19"/>
      <c r="P607" s="22"/>
      <c r="Q607" s="22"/>
      <c r="R607" s="22"/>
    </row>
    <row r="608" hidden="1">
      <c r="A608" s="93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19"/>
      <c r="P608" s="22"/>
      <c r="Q608" s="22"/>
      <c r="R608" s="22"/>
    </row>
    <row r="609" hidden="1">
      <c r="A609" s="93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19"/>
      <c r="P609" s="22"/>
      <c r="Q609" s="22"/>
      <c r="R609" s="22"/>
    </row>
    <row r="610" hidden="1">
      <c r="A610" s="93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19"/>
      <c r="P610" s="22"/>
      <c r="Q610" s="22"/>
      <c r="R610" s="22"/>
    </row>
    <row r="611" hidden="1">
      <c r="A611" s="93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19"/>
      <c r="P611" s="22"/>
      <c r="Q611" s="22"/>
      <c r="R611" s="22"/>
    </row>
    <row r="612" hidden="1">
      <c r="A612" s="93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19"/>
      <c r="P612" s="22"/>
      <c r="Q612" s="22"/>
      <c r="R612" s="22"/>
    </row>
    <row r="613" hidden="1">
      <c r="A613" s="93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19"/>
      <c r="P613" s="22"/>
      <c r="Q613" s="22"/>
      <c r="R613" s="22"/>
    </row>
    <row r="614" hidden="1">
      <c r="A614" s="93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19"/>
      <c r="P614" s="22"/>
      <c r="Q614" s="22"/>
      <c r="R614" s="22"/>
    </row>
    <row r="615" hidden="1">
      <c r="A615" s="93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19"/>
      <c r="P615" s="22"/>
      <c r="Q615" s="22"/>
      <c r="R615" s="22"/>
    </row>
    <row r="616" hidden="1">
      <c r="A616" s="93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19"/>
      <c r="P616" s="22"/>
      <c r="Q616" s="22"/>
      <c r="R616" s="22"/>
    </row>
    <row r="617" hidden="1">
      <c r="A617" s="93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19"/>
      <c r="P617" s="22"/>
      <c r="Q617" s="22"/>
      <c r="R617" s="22"/>
    </row>
    <row r="618" hidden="1">
      <c r="A618" s="93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19"/>
      <c r="P618" s="22"/>
      <c r="Q618" s="22"/>
      <c r="R618" s="22"/>
    </row>
    <row r="619" hidden="1">
      <c r="A619" s="93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19"/>
      <c r="P619" s="22"/>
      <c r="Q619" s="22"/>
      <c r="R619" s="22"/>
    </row>
    <row r="620" hidden="1">
      <c r="A620" s="93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19"/>
      <c r="P620" s="22"/>
      <c r="Q620" s="22"/>
      <c r="R620" s="22"/>
    </row>
    <row r="621" hidden="1">
      <c r="A621" s="93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19"/>
      <c r="P621" s="22"/>
      <c r="Q621" s="22"/>
      <c r="R621" s="22"/>
    </row>
    <row r="622" hidden="1">
      <c r="A622" s="93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19"/>
      <c r="P622" s="22"/>
      <c r="Q622" s="22"/>
      <c r="R622" s="22"/>
    </row>
    <row r="623" hidden="1">
      <c r="A623" s="93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19"/>
      <c r="P623" s="22"/>
      <c r="Q623" s="22"/>
      <c r="R623" s="22"/>
    </row>
    <row r="624" hidden="1">
      <c r="A624" s="93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19"/>
      <c r="P624" s="22"/>
      <c r="Q624" s="22"/>
      <c r="R624" s="22"/>
    </row>
    <row r="625" hidden="1">
      <c r="A625" s="93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19"/>
      <c r="P625" s="22"/>
      <c r="Q625" s="22"/>
      <c r="R625" s="22"/>
    </row>
    <row r="626" hidden="1">
      <c r="A626" s="93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19"/>
      <c r="P626" s="22"/>
      <c r="Q626" s="22"/>
      <c r="R626" s="22"/>
    </row>
    <row r="627" hidden="1">
      <c r="A627" s="93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19"/>
      <c r="P627" s="22"/>
      <c r="Q627" s="22"/>
      <c r="R627" s="22"/>
    </row>
    <row r="628" hidden="1">
      <c r="A628" s="93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19"/>
      <c r="P628" s="22"/>
      <c r="Q628" s="22"/>
      <c r="R628" s="22"/>
    </row>
    <row r="629" hidden="1">
      <c r="A629" s="93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19"/>
      <c r="P629" s="22"/>
      <c r="Q629" s="22"/>
      <c r="R629" s="22"/>
    </row>
    <row r="630" hidden="1">
      <c r="A630" s="93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19"/>
      <c r="P630" s="22"/>
      <c r="Q630" s="22"/>
      <c r="R630" s="22"/>
    </row>
    <row r="631" hidden="1">
      <c r="A631" s="93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19"/>
      <c r="P631" s="22"/>
      <c r="Q631" s="22"/>
      <c r="R631" s="22"/>
    </row>
    <row r="632" hidden="1">
      <c r="A632" s="93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19"/>
      <c r="P632" s="22"/>
      <c r="Q632" s="22"/>
      <c r="R632" s="22"/>
    </row>
    <row r="633" hidden="1">
      <c r="A633" s="93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19"/>
      <c r="P633" s="22"/>
      <c r="Q633" s="22"/>
      <c r="R633" s="22"/>
    </row>
    <row r="634" hidden="1">
      <c r="A634" s="93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19"/>
      <c r="P634" s="22"/>
      <c r="Q634" s="22"/>
      <c r="R634" s="22"/>
    </row>
    <row r="635" hidden="1">
      <c r="A635" s="93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19"/>
      <c r="P635" s="22"/>
      <c r="Q635" s="22"/>
      <c r="R635" s="22"/>
    </row>
    <row r="636" hidden="1">
      <c r="A636" s="93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19"/>
      <c r="P636" s="22"/>
      <c r="Q636" s="22"/>
      <c r="R636" s="22"/>
    </row>
    <row r="637" hidden="1">
      <c r="A637" s="93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19"/>
      <c r="P637" s="22"/>
      <c r="Q637" s="22"/>
      <c r="R637" s="22"/>
    </row>
    <row r="638" hidden="1">
      <c r="A638" s="93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19"/>
      <c r="P638" s="22"/>
      <c r="Q638" s="22"/>
      <c r="R638" s="22"/>
    </row>
    <row r="639" hidden="1">
      <c r="A639" s="93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19"/>
      <c r="P639" s="22"/>
      <c r="Q639" s="22"/>
      <c r="R639" s="22"/>
    </row>
    <row r="640" hidden="1">
      <c r="A640" s="93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19"/>
      <c r="P640" s="22"/>
      <c r="Q640" s="22"/>
      <c r="R640" s="22"/>
    </row>
    <row r="641" hidden="1">
      <c r="A641" s="93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19"/>
      <c r="P641" s="22"/>
      <c r="Q641" s="22"/>
      <c r="R641" s="22"/>
    </row>
    <row r="642" hidden="1">
      <c r="A642" s="93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19"/>
      <c r="P642" s="22"/>
      <c r="Q642" s="22"/>
      <c r="R642" s="22"/>
    </row>
    <row r="643" hidden="1">
      <c r="A643" s="93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19"/>
      <c r="P643" s="22"/>
      <c r="Q643" s="22"/>
      <c r="R643" s="22"/>
    </row>
    <row r="644" hidden="1">
      <c r="A644" s="93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19"/>
      <c r="P644" s="22"/>
      <c r="Q644" s="22"/>
      <c r="R644" s="22"/>
    </row>
    <row r="645" hidden="1">
      <c r="A645" s="93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19"/>
      <c r="P645" s="22"/>
      <c r="Q645" s="22"/>
      <c r="R645" s="22"/>
    </row>
    <row r="646" hidden="1">
      <c r="A646" s="93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19"/>
      <c r="P646" s="22"/>
      <c r="Q646" s="22"/>
      <c r="R646" s="22"/>
    </row>
    <row r="647" hidden="1">
      <c r="A647" s="93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19"/>
      <c r="P647" s="22"/>
      <c r="Q647" s="22"/>
      <c r="R647" s="22"/>
    </row>
    <row r="648" hidden="1">
      <c r="A648" s="93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19"/>
      <c r="P648" s="22"/>
      <c r="Q648" s="22"/>
      <c r="R648" s="22"/>
    </row>
    <row r="649" hidden="1">
      <c r="A649" s="93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19"/>
      <c r="P649" s="22"/>
      <c r="Q649" s="22"/>
      <c r="R649" s="22"/>
    </row>
    <row r="650" hidden="1">
      <c r="A650" s="93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19"/>
      <c r="P650" s="22"/>
      <c r="Q650" s="22"/>
      <c r="R650" s="22"/>
    </row>
    <row r="651" hidden="1">
      <c r="A651" s="93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19"/>
      <c r="P651" s="22"/>
      <c r="Q651" s="22"/>
      <c r="R651" s="22"/>
    </row>
    <row r="652" hidden="1">
      <c r="A652" s="93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19"/>
      <c r="P652" s="22"/>
      <c r="Q652" s="22"/>
      <c r="R652" s="22"/>
    </row>
    <row r="653" hidden="1">
      <c r="A653" s="93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19"/>
      <c r="P653" s="22"/>
      <c r="Q653" s="22"/>
      <c r="R653" s="22"/>
    </row>
    <row r="654" hidden="1">
      <c r="A654" s="93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19"/>
      <c r="P654" s="22"/>
      <c r="Q654" s="22"/>
      <c r="R654" s="22"/>
    </row>
    <row r="655" hidden="1">
      <c r="A655" s="93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19"/>
      <c r="P655" s="22"/>
      <c r="Q655" s="22"/>
      <c r="R655" s="22"/>
    </row>
    <row r="656" hidden="1">
      <c r="A656" s="93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19"/>
      <c r="P656" s="22"/>
      <c r="Q656" s="22"/>
      <c r="R656" s="22"/>
    </row>
    <row r="657" hidden="1">
      <c r="A657" s="93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19"/>
      <c r="P657" s="22"/>
      <c r="Q657" s="22"/>
      <c r="R657" s="22"/>
    </row>
    <row r="658" hidden="1">
      <c r="A658" s="93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19"/>
      <c r="P658" s="22"/>
      <c r="Q658" s="22"/>
      <c r="R658" s="22"/>
    </row>
    <row r="659" hidden="1">
      <c r="A659" s="93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19"/>
      <c r="P659" s="22"/>
      <c r="Q659" s="22"/>
      <c r="R659" s="22"/>
    </row>
    <row r="660" hidden="1">
      <c r="A660" s="93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19"/>
      <c r="P660" s="22"/>
      <c r="Q660" s="22"/>
      <c r="R660" s="22"/>
    </row>
    <row r="661" hidden="1">
      <c r="A661" s="93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19"/>
      <c r="P661" s="22"/>
      <c r="Q661" s="22"/>
      <c r="R661" s="22"/>
    </row>
    <row r="662" hidden="1">
      <c r="A662" s="93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19"/>
      <c r="P662" s="22"/>
      <c r="Q662" s="22"/>
      <c r="R662" s="22"/>
    </row>
    <row r="663" hidden="1">
      <c r="A663" s="93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19"/>
      <c r="P663" s="22"/>
      <c r="Q663" s="22"/>
      <c r="R663" s="22"/>
    </row>
    <row r="664" hidden="1">
      <c r="A664" s="93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19"/>
      <c r="P664" s="22"/>
      <c r="Q664" s="22"/>
      <c r="R664" s="22"/>
    </row>
    <row r="665" hidden="1">
      <c r="A665" s="93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19"/>
      <c r="P665" s="22"/>
      <c r="Q665" s="22"/>
      <c r="R665" s="22"/>
    </row>
    <row r="666" hidden="1">
      <c r="A666" s="93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19"/>
      <c r="P666" s="22"/>
      <c r="Q666" s="22"/>
      <c r="R666" s="22"/>
    </row>
    <row r="667" hidden="1">
      <c r="A667" s="93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19"/>
      <c r="P667" s="22"/>
      <c r="Q667" s="22"/>
      <c r="R667" s="22"/>
    </row>
    <row r="668" hidden="1">
      <c r="A668" s="93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19"/>
      <c r="P668" s="22"/>
      <c r="Q668" s="22"/>
      <c r="R668" s="22"/>
    </row>
    <row r="669" hidden="1">
      <c r="A669" s="93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19"/>
      <c r="P669" s="22"/>
      <c r="Q669" s="22"/>
      <c r="R669" s="22"/>
    </row>
    <row r="670" hidden="1">
      <c r="A670" s="93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19"/>
      <c r="P670" s="22"/>
      <c r="Q670" s="22"/>
      <c r="R670" s="22"/>
    </row>
    <row r="671" hidden="1">
      <c r="A671" s="93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19"/>
      <c r="P671" s="22"/>
      <c r="Q671" s="22"/>
      <c r="R671" s="22"/>
    </row>
    <row r="672" hidden="1">
      <c r="A672" s="93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19"/>
      <c r="P672" s="22"/>
      <c r="Q672" s="22"/>
      <c r="R672" s="22"/>
    </row>
    <row r="673" hidden="1">
      <c r="A673" s="93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19"/>
      <c r="P673" s="22"/>
      <c r="Q673" s="22"/>
      <c r="R673" s="22"/>
    </row>
    <row r="674" hidden="1">
      <c r="A674" s="93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19"/>
      <c r="P674" s="22"/>
      <c r="Q674" s="22"/>
      <c r="R674" s="22"/>
    </row>
    <row r="675" hidden="1">
      <c r="A675" s="93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19"/>
      <c r="P675" s="22"/>
      <c r="Q675" s="22"/>
      <c r="R675" s="22"/>
    </row>
    <row r="676" hidden="1">
      <c r="A676" s="93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19"/>
      <c r="P676" s="22"/>
      <c r="Q676" s="22"/>
      <c r="R676" s="22"/>
    </row>
    <row r="677" hidden="1">
      <c r="A677" s="93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19"/>
      <c r="P677" s="22"/>
      <c r="Q677" s="22"/>
      <c r="R677" s="22"/>
    </row>
    <row r="678" hidden="1">
      <c r="A678" s="93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19"/>
      <c r="P678" s="22"/>
      <c r="Q678" s="22"/>
      <c r="R678" s="22"/>
    </row>
    <row r="679" hidden="1">
      <c r="A679" s="93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19"/>
      <c r="P679" s="22"/>
      <c r="Q679" s="22"/>
      <c r="R679" s="22"/>
    </row>
    <row r="680" hidden="1">
      <c r="A680" s="93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19"/>
      <c r="P680" s="22"/>
      <c r="Q680" s="22"/>
      <c r="R680" s="22"/>
    </row>
    <row r="681" hidden="1">
      <c r="A681" s="93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19"/>
      <c r="P681" s="22"/>
      <c r="Q681" s="22"/>
      <c r="R681" s="22"/>
    </row>
    <row r="682" hidden="1">
      <c r="A682" s="93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19"/>
      <c r="P682" s="22"/>
      <c r="Q682" s="22"/>
      <c r="R682" s="22"/>
    </row>
    <row r="683" hidden="1">
      <c r="A683" s="93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19"/>
      <c r="P683" s="22"/>
      <c r="Q683" s="22"/>
      <c r="R683" s="22"/>
    </row>
    <row r="684" hidden="1">
      <c r="A684" s="93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19"/>
      <c r="P684" s="22"/>
      <c r="Q684" s="22"/>
      <c r="R684" s="22"/>
    </row>
    <row r="685" hidden="1">
      <c r="A685" s="93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19"/>
      <c r="P685" s="22"/>
      <c r="Q685" s="22"/>
      <c r="R685" s="22"/>
    </row>
    <row r="686" hidden="1">
      <c r="A686" s="93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19"/>
      <c r="P686" s="22"/>
      <c r="Q686" s="22"/>
      <c r="R686" s="22"/>
    </row>
    <row r="687" hidden="1">
      <c r="A687" s="93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19"/>
      <c r="P687" s="22"/>
      <c r="Q687" s="22"/>
      <c r="R687" s="22"/>
    </row>
    <row r="688" hidden="1">
      <c r="A688" s="93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19"/>
      <c r="P688" s="22"/>
      <c r="Q688" s="22"/>
      <c r="R688" s="22"/>
    </row>
    <row r="689" hidden="1">
      <c r="A689" s="93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19"/>
      <c r="P689" s="22"/>
      <c r="Q689" s="22"/>
      <c r="R689" s="22"/>
    </row>
    <row r="690" hidden="1">
      <c r="A690" s="93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19"/>
      <c r="P690" s="22"/>
      <c r="Q690" s="22"/>
      <c r="R690" s="22"/>
    </row>
    <row r="691" hidden="1">
      <c r="A691" s="93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19"/>
      <c r="P691" s="22"/>
      <c r="Q691" s="22"/>
      <c r="R691" s="22"/>
    </row>
    <row r="692" hidden="1">
      <c r="A692" s="93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19"/>
      <c r="P692" s="22"/>
      <c r="Q692" s="22"/>
      <c r="R692" s="22"/>
    </row>
    <row r="693" hidden="1">
      <c r="A693" s="93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19"/>
      <c r="P693" s="22"/>
      <c r="Q693" s="22"/>
      <c r="R693" s="22"/>
    </row>
    <row r="694" hidden="1">
      <c r="A694" s="93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19"/>
      <c r="P694" s="22"/>
      <c r="Q694" s="22"/>
      <c r="R694" s="22"/>
    </row>
    <row r="695" hidden="1">
      <c r="A695" s="93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19"/>
      <c r="P695" s="22"/>
      <c r="Q695" s="22"/>
      <c r="R695" s="22"/>
    </row>
    <row r="696" hidden="1">
      <c r="A696" s="93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19"/>
      <c r="P696" s="22"/>
      <c r="Q696" s="22"/>
      <c r="R696" s="22"/>
    </row>
    <row r="697" hidden="1">
      <c r="A697" s="93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19"/>
      <c r="P697" s="22"/>
      <c r="Q697" s="22"/>
      <c r="R697" s="22"/>
    </row>
    <row r="698" hidden="1">
      <c r="A698" s="93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19"/>
      <c r="P698" s="22"/>
      <c r="Q698" s="22"/>
      <c r="R698" s="22"/>
    </row>
    <row r="699" hidden="1">
      <c r="A699" s="93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19"/>
      <c r="P699" s="22"/>
      <c r="Q699" s="22"/>
      <c r="R699" s="22"/>
    </row>
    <row r="700" hidden="1">
      <c r="A700" s="93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19"/>
      <c r="P700" s="22"/>
      <c r="Q700" s="22"/>
      <c r="R700" s="22"/>
    </row>
    <row r="701" hidden="1">
      <c r="A701" s="93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19"/>
      <c r="P701" s="22"/>
      <c r="Q701" s="22"/>
      <c r="R701" s="22"/>
    </row>
    <row r="702" hidden="1">
      <c r="A702" s="93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19"/>
      <c r="P702" s="22"/>
      <c r="Q702" s="22"/>
      <c r="R702" s="22"/>
    </row>
    <row r="703" hidden="1">
      <c r="A703" s="93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19"/>
      <c r="P703" s="22"/>
      <c r="Q703" s="22"/>
      <c r="R703" s="22"/>
    </row>
    <row r="704" hidden="1">
      <c r="A704" s="93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19"/>
      <c r="P704" s="22"/>
      <c r="Q704" s="22"/>
      <c r="R704" s="22"/>
    </row>
    <row r="705" hidden="1">
      <c r="A705" s="93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19"/>
      <c r="P705" s="22"/>
      <c r="Q705" s="22"/>
      <c r="R705" s="22"/>
    </row>
    <row r="706" hidden="1">
      <c r="A706" s="93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19"/>
      <c r="P706" s="22"/>
      <c r="Q706" s="22"/>
      <c r="R706" s="22"/>
    </row>
    <row r="707" hidden="1">
      <c r="A707" s="93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19"/>
      <c r="P707" s="22"/>
      <c r="Q707" s="22"/>
      <c r="R707" s="22"/>
    </row>
    <row r="708" hidden="1">
      <c r="A708" s="93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19"/>
      <c r="P708" s="22"/>
      <c r="Q708" s="22"/>
      <c r="R708" s="22"/>
    </row>
    <row r="709" hidden="1">
      <c r="A709" s="93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19"/>
      <c r="P709" s="22"/>
      <c r="Q709" s="22"/>
      <c r="R709" s="22"/>
    </row>
    <row r="710" hidden="1">
      <c r="A710" s="93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19"/>
      <c r="P710" s="22"/>
      <c r="Q710" s="22"/>
      <c r="R710" s="22"/>
    </row>
    <row r="711" hidden="1">
      <c r="A711" s="93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19"/>
      <c r="P711" s="22"/>
      <c r="Q711" s="22"/>
      <c r="R711" s="22"/>
    </row>
    <row r="712" hidden="1">
      <c r="A712" s="93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19"/>
      <c r="P712" s="22"/>
      <c r="Q712" s="22"/>
      <c r="R712" s="22"/>
    </row>
    <row r="713" hidden="1">
      <c r="A713" s="93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19"/>
      <c r="P713" s="22"/>
      <c r="Q713" s="22"/>
      <c r="R713" s="22"/>
    </row>
    <row r="714" hidden="1">
      <c r="A714" s="93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19"/>
      <c r="P714" s="22"/>
      <c r="Q714" s="22"/>
      <c r="R714" s="22"/>
    </row>
    <row r="715" hidden="1">
      <c r="A715" s="93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19"/>
      <c r="P715" s="22"/>
      <c r="Q715" s="22"/>
      <c r="R715" s="22"/>
    </row>
    <row r="716" hidden="1">
      <c r="A716" s="93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19"/>
      <c r="P716" s="22"/>
      <c r="Q716" s="22"/>
      <c r="R716" s="22"/>
    </row>
    <row r="717" hidden="1">
      <c r="A717" s="93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19"/>
      <c r="P717" s="22"/>
      <c r="Q717" s="22"/>
      <c r="R717" s="22"/>
    </row>
    <row r="718" hidden="1">
      <c r="A718" s="93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19"/>
      <c r="P718" s="22"/>
      <c r="Q718" s="22"/>
      <c r="R718" s="22"/>
    </row>
    <row r="719" hidden="1">
      <c r="A719" s="93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19"/>
      <c r="P719" s="22"/>
      <c r="Q719" s="22"/>
      <c r="R719" s="22"/>
    </row>
    <row r="720" hidden="1">
      <c r="A720" s="93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19"/>
      <c r="P720" s="22"/>
      <c r="Q720" s="22"/>
      <c r="R720" s="22"/>
    </row>
    <row r="721" hidden="1">
      <c r="A721" s="93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19"/>
      <c r="P721" s="22"/>
      <c r="Q721" s="22"/>
      <c r="R721" s="22"/>
    </row>
    <row r="722" hidden="1">
      <c r="A722" s="93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19"/>
      <c r="P722" s="22"/>
      <c r="Q722" s="22"/>
      <c r="R722" s="22"/>
    </row>
    <row r="723" hidden="1">
      <c r="A723" s="93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19"/>
      <c r="P723" s="22"/>
      <c r="Q723" s="22"/>
      <c r="R723" s="22"/>
    </row>
    <row r="724" hidden="1">
      <c r="A724" s="93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19"/>
      <c r="P724" s="22"/>
      <c r="Q724" s="22"/>
      <c r="R724" s="22"/>
    </row>
    <row r="725" hidden="1">
      <c r="A725" s="93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19"/>
      <c r="P725" s="22"/>
      <c r="Q725" s="22"/>
      <c r="R725" s="22"/>
    </row>
    <row r="726" hidden="1">
      <c r="A726" s="93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19"/>
      <c r="P726" s="22"/>
      <c r="Q726" s="22"/>
      <c r="R726" s="22"/>
    </row>
    <row r="727" hidden="1">
      <c r="A727" s="93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19"/>
      <c r="P727" s="22"/>
      <c r="Q727" s="22"/>
      <c r="R727" s="22"/>
    </row>
    <row r="728" hidden="1">
      <c r="A728" s="93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19"/>
      <c r="P728" s="22"/>
      <c r="Q728" s="22"/>
      <c r="R728" s="22"/>
    </row>
    <row r="729" hidden="1">
      <c r="A729" s="93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19"/>
      <c r="P729" s="22"/>
      <c r="Q729" s="22"/>
      <c r="R729" s="22"/>
    </row>
    <row r="730" hidden="1">
      <c r="A730" s="93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19"/>
      <c r="P730" s="22"/>
      <c r="Q730" s="22"/>
      <c r="R730" s="22"/>
    </row>
    <row r="731" hidden="1">
      <c r="A731" s="93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19"/>
      <c r="P731" s="22"/>
      <c r="Q731" s="22"/>
      <c r="R731" s="22"/>
    </row>
    <row r="732" hidden="1">
      <c r="A732" s="93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19"/>
      <c r="P732" s="22"/>
      <c r="Q732" s="22"/>
      <c r="R732" s="22"/>
    </row>
    <row r="733" hidden="1">
      <c r="A733" s="93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19"/>
      <c r="P733" s="22"/>
      <c r="Q733" s="22"/>
      <c r="R733" s="22"/>
    </row>
    <row r="734" hidden="1">
      <c r="A734" s="93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19"/>
      <c r="P734" s="22"/>
      <c r="Q734" s="22"/>
      <c r="R734" s="22"/>
    </row>
    <row r="735" hidden="1">
      <c r="A735" s="93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19"/>
      <c r="P735" s="22"/>
      <c r="Q735" s="22"/>
      <c r="R735" s="22"/>
    </row>
    <row r="736" hidden="1">
      <c r="A736" s="93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19"/>
      <c r="P736" s="22"/>
      <c r="Q736" s="22"/>
      <c r="R736" s="22"/>
    </row>
    <row r="737" hidden="1">
      <c r="A737" s="93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19"/>
      <c r="P737" s="22"/>
      <c r="Q737" s="22"/>
      <c r="R737" s="22"/>
    </row>
    <row r="738" hidden="1">
      <c r="A738" s="93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19"/>
      <c r="P738" s="22"/>
      <c r="Q738" s="22"/>
      <c r="R738" s="22"/>
    </row>
    <row r="739" hidden="1">
      <c r="A739" s="93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19"/>
      <c r="P739" s="22"/>
      <c r="Q739" s="22"/>
      <c r="R739" s="22"/>
    </row>
    <row r="740" hidden="1">
      <c r="A740" s="93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19"/>
      <c r="P740" s="22"/>
      <c r="Q740" s="22"/>
      <c r="R740" s="22"/>
    </row>
    <row r="741" hidden="1">
      <c r="A741" s="93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19"/>
      <c r="P741" s="22"/>
      <c r="Q741" s="22"/>
      <c r="R741" s="22"/>
    </row>
    <row r="742" hidden="1">
      <c r="A742" s="93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19"/>
      <c r="P742" s="22"/>
      <c r="Q742" s="22"/>
      <c r="R742" s="22"/>
    </row>
    <row r="743" hidden="1">
      <c r="A743" s="93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19"/>
      <c r="P743" s="22"/>
      <c r="Q743" s="22"/>
      <c r="R743" s="22"/>
    </row>
    <row r="744" hidden="1">
      <c r="A744" s="93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19"/>
      <c r="P744" s="22"/>
      <c r="Q744" s="22"/>
      <c r="R744" s="22"/>
    </row>
    <row r="745" hidden="1">
      <c r="A745" s="93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19"/>
      <c r="P745" s="22"/>
      <c r="Q745" s="22"/>
      <c r="R745" s="22"/>
    </row>
    <row r="746" hidden="1">
      <c r="A746" s="93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19"/>
      <c r="P746" s="22"/>
      <c r="Q746" s="22"/>
      <c r="R746" s="22"/>
    </row>
    <row r="747" hidden="1">
      <c r="A747" s="93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19"/>
      <c r="P747" s="22"/>
      <c r="Q747" s="22"/>
      <c r="R747" s="22"/>
    </row>
    <row r="748" hidden="1">
      <c r="A748" s="93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19"/>
      <c r="P748" s="22"/>
      <c r="Q748" s="22"/>
      <c r="R748" s="22"/>
    </row>
    <row r="749" hidden="1">
      <c r="A749" s="93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19"/>
      <c r="P749" s="22"/>
      <c r="Q749" s="22"/>
      <c r="R749" s="22"/>
    </row>
    <row r="750" hidden="1">
      <c r="A750" s="93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19"/>
      <c r="P750" s="22"/>
      <c r="Q750" s="22"/>
      <c r="R750" s="22"/>
    </row>
    <row r="751" hidden="1">
      <c r="A751" s="93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19"/>
      <c r="P751" s="22"/>
      <c r="Q751" s="22"/>
      <c r="R751" s="22"/>
    </row>
    <row r="752" hidden="1">
      <c r="A752" s="93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19"/>
      <c r="P752" s="22"/>
      <c r="Q752" s="22"/>
      <c r="R752" s="22"/>
    </row>
    <row r="753" hidden="1">
      <c r="A753" s="93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19"/>
      <c r="P753" s="22"/>
      <c r="Q753" s="22"/>
      <c r="R753" s="22"/>
    </row>
    <row r="754" hidden="1">
      <c r="A754" s="93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19"/>
      <c r="P754" s="22"/>
      <c r="Q754" s="22"/>
      <c r="R754" s="22"/>
    </row>
    <row r="755" hidden="1">
      <c r="A755" s="93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19"/>
      <c r="P755" s="22"/>
      <c r="Q755" s="22"/>
      <c r="R755" s="22"/>
    </row>
    <row r="756" hidden="1">
      <c r="A756" s="93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19"/>
      <c r="P756" s="22"/>
      <c r="Q756" s="22"/>
      <c r="R756" s="22"/>
    </row>
    <row r="757" hidden="1">
      <c r="A757" s="93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19"/>
      <c r="P757" s="22"/>
      <c r="Q757" s="22"/>
      <c r="R757" s="22"/>
    </row>
    <row r="758" hidden="1">
      <c r="A758" s="93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19"/>
      <c r="P758" s="22"/>
      <c r="Q758" s="22"/>
      <c r="R758" s="22"/>
    </row>
    <row r="759" hidden="1">
      <c r="A759" s="93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19"/>
      <c r="P759" s="22"/>
      <c r="Q759" s="22"/>
      <c r="R759" s="22"/>
    </row>
    <row r="760" hidden="1">
      <c r="A760" s="93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19"/>
      <c r="P760" s="22"/>
      <c r="Q760" s="22"/>
      <c r="R760" s="22"/>
    </row>
    <row r="761" hidden="1">
      <c r="A761" s="93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19"/>
      <c r="P761" s="22"/>
      <c r="Q761" s="22"/>
      <c r="R761" s="22"/>
    </row>
    <row r="762" hidden="1">
      <c r="A762" s="93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19"/>
      <c r="P762" s="22"/>
      <c r="Q762" s="22"/>
      <c r="R762" s="22"/>
    </row>
    <row r="763" hidden="1">
      <c r="A763" s="93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19"/>
      <c r="P763" s="22"/>
      <c r="Q763" s="22"/>
      <c r="R763" s="22"/>
    </row>
    <row r="764" hidden="1">
      <c r="A764" s="93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19"/>
      <c r="P764" s="22"/>
      <c r="Q764" s="22"/>
      <c r="R764" s="22"/>
    </row>
    <row r="765" hidden="1">
      <c r="A765" s="93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19"/>
      <c r="P765" s="22"/>
      <c r="Q765" s="22"/>
      <c r="R765" s="22"/>
    </row>
    <row r="766" hidden="1">
      <c r="A766" s="93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19"/>
      <c r="P766" s="22"/>
      <c r="Q766" s="22"/>
      <c r="R766" s="22"/>
    </row>
    <row r="767" hidden="1">
      <c r="A767" s="93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19"/>
      <c r="P767" s="22"/>
      <c r="Q767" s="22"/>
      <c r="R767" s="22"/>
    </row>
    <row r="768" hidden="1">
      <c r="A768" s="93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19"/>
      <c r="P768" s="22"/>
      <c r="Q768" s="22"/>
      <c r="R768" s="22"/>
    </row>
    <row r="769" hidden="1">
      <c r="A769" s="93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19"/>
      <c r="P769" s="22"/>
      <c r="Q769" s="22"/>
      <c r="R769" s="22"/>
    </row>
    <row r="770" hidden="1">
      <c r="A770" s="93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19"/>
      <c r="P770" s="22"/>
      <c r="Q770" s="22"/>
      <c r="R770" s="22"/>
    </row>
    <row r="771" hidden="1">
      <c r="A771" s="93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19"/>
      <c r="P771" s="22"/>
      <c r="Q771" s="22"/>
      <c r="R771" s="22"/>
    </row>
    <row r="772" hidden="1">
      <c r="A772" s="93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19"/>
      <c r="P772" s="22"/>
      <c r="Q772" s="22"/>
      <c r="R772" s="22"/>
    </row>
    <row r="773" hidden="1">
      <c r="A773" s="93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19"/>
      <c r="P773" s="22"/>
      <c r="Q773" s="22"/>
      <c r="R773" s="22"/>
    </row>
    <row r="774" hidden="1">
      <c r="A774" s="93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19"/>
      <c r="P774" s="22"/>
      <c r="Q774" s="22"/>
      <c r="R774" s="22"/>
    </row>
    <row r="775" hidden="1">
      <c r="A775" s="93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19"/>
      <c r="P775" s="22"/>
      <c r="Q775" s="22"/>
      <c r="R775" s="22"/>
    </row>
    <row r="776" hidden="1">
      <c r="A776" s="93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19"/>
      <c r="P776" s="22"/>
      <c r="Q776" s="22"/>
      <c r="R776" s="22"/>
    </row>
    <row r="777" hidden="1">
      <c r="A777" s="93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19"/>
      <c r="P777" s="22"/>
      <c r="Q777" s="22"/>
      <c r="R777" s="22"/>
    </row>
    <row r="778" hidden="1">
      <c r="A778" s="93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19"/>
      <c r="P778" s="22"/>
      <c r="Q778" s="22"/>
      <c r="R778" s="22"/>
    </row>
    <row r="779" hidden="1">
      <c r="A779" s="93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19"/>
      <c r="P779" s="22"/>
      <c r="Q779" s="22"/>
      <c r="R779" s="22"/>
    </row>
    <row r="780" hidden="1">
      <c r="A780" s="93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19"/>
      <c r="P780" s="22"/>
      <c r="Q780" s="22"/>
      <c r="R780" s="22"/>
    </row>
    <row r="781" hidden="1">
      <c r="A781" s="93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19"/>
      <c r="P781" s="22"/>
      <c r="Q781" s="22"/>
      <c r="R781" s="22"/>
    </row>
    <row r="782" hidden="1">
      <c r="A782" s="93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19"/>
      <c r="P782" s="22"/>
      <c r="Q782" s="22"/>
      <c r="R782" s="22"/>
    </row>
    <row r="783" hidden="1">
      <c r="A783" s="93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19"/>
      <c r="P783" s="22"/>
      <c r="Q783" s="22"/>
      <c r="R783" s="22"/>
    </row>
    <row r="784" hidden="1">
      <c r="A784" s="93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19"/>
      <c r="P784" s="22"/>
      <c r="Q784" s="22"/>
      <c r="R784" s="22"/>
    </row>
    <row r="785" hidden="1">
      <c r="A785" s="93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19"/>
      <c r="P785" s="22"/>
      <c r="Q785" s="22"/>
      <c r="R785" s="22"/>
    </row>
    <row r="786" hidden="1">
      <c r="A786" s="93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19"/>
      <c r="P786" s="22"/>
      <c r="Q786" s="22"/>
      <c r="R786" s="22"/>
    </row>
    <row r="787" hidden="1">
      <c r="A787" s="93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19"/>
      <c r="P787" s="22"/>
      <c r="Q787" s="22"/>
      <c r="R787" s="22"/>
    </row>
    <row r="788" hidden="1">
      <c r="A788" s="93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19"/>
      <c r="P788" s="22"/>
      <c r="Q788" s="22"/>
      <c r="R788" s="22"/>
    </row>
    <row r="789" hidden="1">
      <c r="A789" s="93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19"/>
      <c r="P789" s="22"/>
      <c r="Q789" s="22"/>
      <c r="R789" s="22"/>
    </row>
    <row r="790" hidden="1">
      <c r="A790" s="93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19"/>
      <c r="P790" s="22"/>
      <c r="Q790" s="22"/>
      <c r="R790" s="22"/>
    </row>
    <row r="791" hidden="1">
      <c r="A791" s="93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19"/>
      <c r="P791" s="22"/>
      <c r="Q791" s="22"/>
      <c r="R791" s="22"/>
    </row>
    <row r="792" hidden="1">
      <c r="A792" s="93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19"/>
      <c r="P792" s="22"/>
      <c r="Q792" s="22"/>
      <c r="R792" s="22"/>
    </row>
    <row r="793" hidden="1">
      <c r="A793" s="93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19"/>
      <c r="P793" s="22"/>
      <c r="Q793" s="22"/>
      <c r="R793" s="22"/>
    </row>
    <row r="794" hidden="1">
      <c r="A794" s="93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19"/>
      <c r="P794" s="22"/>
      <c r="Q794" s="22"/>
      <c r="R794" s="22"/>
    </row>
    <row r="795" hidden="1">
      <c r="A795" s="93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19"/>
      <c r="P795" s="22"/>
      <c r="Q795" s="22"/>
      <c r="R795" s="22"/>
    </row>
    <row r="796" hidden="1">
      <c r="A796" s="93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19"/>
      <c r="P796" s="22"/>
      <c r="Q796" s="22"/>
      <c r="R796" s="22"/>
    </row>
    <row r="797" hidden="1">
      <c r="A797" s="93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19"/>
      <c r="P797" s="22"/>
      <c r="Q797" s="22"/>
      <c r="R797" s="22"/>
    </row>
    <row r="798" hidden="1">
      <c r="A798" s="93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19"/>
      <c r="P798" s="22"/>
      <c r="Q798" s="22"/>
      <c r="R798" s="22"/>
    </row>
    <row r="799" hidden="1">
      <c r="A799" s="93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19"/>
      <c r="P799" s="22"/>
      <c r="Q799" s="22"/>
      <c r="R799" s="22"/>
    </row>
    <row r="800" hidden="1">
      <c r="A800" s="93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19"/>
      <c r="P800" s="22"/>
      <c r="Q800" s="22"/>
      <c r="R800" s="22"/>
    </row>
    <row r="801" hidden="1">
      <c r="A801" s="93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19"/>
      <c r="P801" s="22"/>
      <c r="Q801" s="22"/>
      <c r="R801" s="22"/>
    </row>
    <row r="802" hidden="1">
      <c r="A802" s="93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19"/>
      <c r="P802" s="22"/>
      <c r="Q802" s="22"/>
      <c r="R802" s="22"/>
    </row>
    <row r="803" hidden="1">
      <c r="A803" s="93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19"/>
      <c r="P803" s="22"/>
      <c r="Q803" s="22"/>
      <c r="R803" s="22"/>
    </row>
    <row r="804" hidden="1">
      <c r="A804" s="93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19"/>
      <c r="P804" s="22"/>
      <c r="Q804" s="22"/>
      <c r="R804" s="22"/>
    </row>
    <row r="805" hidden="1">
      <c r="A805" s="93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19"/>
      <c r="P805" s="22"/>
      <c r="Q805" s="22"/>
      <c r="R805" s="22"/>
    </row>
    <row r="806" hidden="1">
      <c r="A806" s="93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19"/>
      <c r="P806" s="22"/>
      <c r="Q806" s="22"/>
      <c r="R806" s="22"/>
    </row>
    <row r="807" hidden="1">
      <c r="A807" s="93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19"/>
      <c r="P807" s="22"/>
      <c r="Q807" s="22"/>
      <c r="R807" s="22"/>
    </row>
    <row r="808" hidden="1">
      <c r="A808" s="93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19"/>
      <c r="P808" s="22"/>
      <c r="Q808" s="22"/>
      <c r="R808" s="22"/>
    </row>
    <row r="809" hidden="1">
      <c r="A809" s="93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19"/>
      <c r="P809" s="22"/>
      <c r="Q809" s="22"/>
      <c r="R809" s="22"/>
    </row>
    <row r="810" hidden="1">
      <c r="A810" s="93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19"/>
      <c r="P810" s="22"/>
      <c r="Q810" s="22"/>
      <c r="R810" s="22"/>
    </row>
    <row r="811" hidden="1">
      <c r="A811" s="93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19"/>
      <c r="P811" s="22"/>
      <c r="Q811" s="22"/>
      <c r="R811" s="22"/>
    </row>
    <row r="812" hidden="1">
      <c r="A812" s="93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19"/>
      <c r="P812" s="22"/>
      <c r="Q812" s="22"/>
      <c r="R812" s="22"/>
    </row>
    <row r="813" hidden="1">
      <c r="A813" s="93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19"/>
      <c r="P813" s="22"/>
      <c r="Q813" s="22"/>
      <c r="R813" s="22"/>
    </row>
    <row r="814" hidden="1">
      <c r="A814" s="93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19"/>
      <c r="P814" s="22"/>
      <c r="Q814" s="22"/>
      <c r="R814" s="22"/>
    </row>
    <row r="815" hidden="1">
      <c r="A815" s="93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19"/>
      <c r="P815" s="22"/>
      <c r="Q815" s="22"/>
      <c r="R815" s="22"/>
    </row>
    <row r="816" hidden="1">
      <c r="A816" s="93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19"/>
      <c r="P816" s="22"/>
      <c r="Q816" s="22"/>
      <c r="R816" s="22"/>
    </row>
    <row r="817" hidden="1">
      <c r="A817" s="93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19"/>
      <c r="P817" s="22"/>
      <c r="Q817" s="22"/>
      <c r="R817" s="22"/>
    </row>
    <row r="818" hidden="1">
      <c r="A818" s="93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19"/>
      <c r="P818" s="22"/>
      <c r="Q818" s="22"/>
      <c r="R818" s="22"/>
    </row>
    <row r="819" hidden="1">
      <c r="A819" s="93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19"/>
      <c r="P819" s="22"/>
      <c r="Q819" s="22"/>
      <c r="R819" s="22"/>
    </row>
    <row r="820" hidden="1">
      <c r="A820" s="93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19"/>
      <c r="P820" s="22"/>
      <c r="Q820" s="22"/>
      <c r="R820" s="22"/>
    </row>
    <row r="821" hidden="1">
      <c r="A821" s="93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19"/>
      <c r="P821" s="22"/>
      <c r="Q821" s="22"/>
      <c r="R821" s="22"/>
    </row>
    <row r="822" hidden="1">
      <c r="A822" s="93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19"/>
      <c r="P822" s="22"/>
      <c r="Q822" s="22"/>
      <c r="R822" s="22"/>
    </row>
    <row r="823" hidden="1">
      <c r="A823" s="93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19"/>
      <c r="P823" s="22"/>
      <c r="Q823" s="22"/>
      <c r="R823" s="22"/>
    </row>
    <row r="824" hidden="1">
      <c r="A824" s="93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19"/>
      <c r="P824" s="22"/>
      <c r="Q824" s="22"/>
      <c r="R824" s="22"/>
    </row>
    <row r="825" hidden="1">
      <c r="A825" s="93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19"/>
      <c r="P825" s="22"/>
      <c r="Q825" s="22"/>
      <c r="R825" s="22"/>
    </row>
    <row r="826" hidden="1">
      <c r="A826" s="93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19"/>
      <c r="P826" s="22"/>
      <c r="Q826" s="22"/>
      <c r="R826" s="22"/>
    </row>
    <row r="827" hidden="1">
      <c r="A827" s="93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19"/>
      <c r="P827" s="22"/>
      <c r="Q827" s="22"/>
      <c r="R827" s="22"/>
    </row>
    <row r="828" hidden="1">
      <c r="A828" s="93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19"/>
      <c r="P828" s="22"/>
      <c r="Q828" s="22"/>
      <c r="R828" s="22"/>
    </row>
    <row r="829" hidden="1">
      <c r="A829" s="93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19"/>
      <c r="P829" s="22"/>
      <c r="Q829" s="22"/>
      <c r="R829" s="22"/>
    </row>
    <row r="830" hidden="1">
      <c r="A830" s="93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19"/>
      <c r="P830" s="22"/>
      <c r="Q830" s="22"/>
      <c r="R830" s="22"/>
    </row>
    <row r="831" hidden="1">
      <c r="A831" s="93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19"/>
      <c r="P831" s="22"/>
      <c r="Q831" s="22"/>
      <c r="R831" s="22"/>
    </row>
    <row r="832" hidden="1">
      <c r="A832" s="93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19"/>
      <c r="P832" s="22"/>
      <c r="Q832" s="22"/>
      <c r="R832" s="22"/>
    </row>
    <row r="833" hidden="1">
      <c r="A833" s="93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19"/>
      <c r="P833" s="22"/>
      <c r="Q833" s="22"/>
      <c r="R833" s="22"/>
    </row>
    <row r="834" hidden="1">
      <c r="A834" s="93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19"/>
      <c r="P834" s="22"/>
      <c r="Q834" s="22"/>
      <c r="R834" s="22"/>
    </row>
    <row r="835" hidden="1">
      <c r="A835" s="93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19"/>
      <c r="P835" s="22"/>
      <c r="Q835" s="22"/>
      <c r="R835" s="22"/>
    </row>
    <row r="836" hidden="1">
      <c r="A836" s="93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19"/>
      <c r="P836" s="22"/>
      <c r="Q836" s="22"/>
      <c r="R836" s="22"/>
    </row>
    <row r="837" hidden="1">
      <c r="A837" s="93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19"/>
      <c r="P837" s="22"/>
      <c r="Q837" s="22"/>
      <c r="R837" s="22"/>
    </row>
    <row r="838" hidden="1">
      <c r="A838" s="93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19"/>
      <c r="P838" s="22"/>
      <c r="Q838" s="22"/>
      <c r="R838" s="22"/>
    </row>
    <row r="839" hidden="1">
      <c r="A839" s="93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19"/>
      <c r="P839" s="22"/>
      <c r="Q839" s="22"/>
      <c r="R839" s="22"/>
    </row>
    <row r="840" hidden="1">
      <c r="A840" s="93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19"/>
      <c r="P840" s="22"/>
      <c r="Q840" s="22"/>
      <c r="R840" s="22"/>
    </row>
    <row r="841" hidden="1">
      <c r="A841" s="93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19"/>
      <c r="P841" s="22"/>
      <c r="Q841" s="22"/>
      <c r="R841" s="22"/>
    </row>
    <row r="842" hidden="1">
      <c r="A842" s="93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19"/>
      <c r="P842" s="22"/>
      <c r="Q842" s="22"/>
      <c r="R842" s="22"/>
    </row>
    <row r="843" hidden="1">
      <c r="A843" s="93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19"/>
      <c r="P843" s="22"/>
      <c r="Q843" s="22"/>
      <c r="R843" s="22"/>
    </row>
    <row r="844" hidden="1">
      <c r="A844" s="93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19"/>
      <c r="P844" s="22"/>
      <c r="Q844" s="22"/>
      <c r="R844" s="22"/>
    </row>
    <row r="845" hidden="1">
      <c r="A845" s="93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19"/>
      <c r="P845" s="22"/>
      <c r="Q845" s="22"/>
      <c r="R845" s="22"/>
    </row>
    <row r="846" hidden="1">
      <c r="A846" s="93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19"/>
      <c r="P846" s="22"/>
      <c r="Q846" s="22"/>
      <c r="R846" s="22"/>
    </row>
    <row r="847" hidden="1">
      <c r="A847" s="93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19"/>
      <c r="P847" s="22"/>
      <c r="Q847" s="22"/>
      <c r="R847" s="22"/>
    </row>
    <row r="848" hidden="1">
      <c r="A848" s="93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19"/>
      <c r="P848" s="22"/>
      <c r="Q848" s="22"/>
      <c r="R848" s="22"/>
    </row>
    <row r="849" hidden="1">
      <c r="A849" s="93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19"/>
      <c r="P849" s="22"/>
      <c r="Q849" s="22"/>
      <c r="R849" s="22"/>
    </row>
    <row r="850" hidden="1">
      <c r="A850" s="93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19"/>
      <c r="P850" s="22"/>
      <c r="Q850" s="22"/>
      <c r="R850" s="22"/>
    </row>
    <row r="851" hidden="1">
      <c r="A851" s="93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19"/>
      <c r="P851" s="22"/>
      <c r="Q851" s="22"/>
      <c r="R851" s="22"/>
    </row>
    <row r="852" hidden="1">
      <c r="A852" s="93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19"/>
      <c r="P852" s="22"/>
      <c r="Q852" s="22"/>
      <c r="R852" s="22"/>
    </row>
    <row r="853" hidden="1">
      <c r="A853" s="93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19"/>
      <c r="P853" s="22"/>
      <c r="Q853" s="22"/>
      <c r="R853" s="22"/>
    </row>
    <row r="854" hidden="1">
      <c r="A854" s="93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19"/>
      <c r="P854" s="22"/>
      <c r="Q854" s="22"/>
      <c r="R854" s="22"/>
    </row>
    <row r="855" hidden="1">
      <c r="A855" s="93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19"/>
      <c r="P855" s="22"/>
      <c r="Q855" s="22"/>
      <c r="R855" s="22"/>
    </row>
    <row r="856" hidden="1">
      <c r="A856" s="93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19"/>
      <c r="P856" s="22"/>
      <c r="Q856" s="22"/>
      <c r="R856" s="22"/>
    </row>
    <row r="857" hidden="1">
      <c r="A857" s="93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19"/>
      <c r="P857" s="22"/>
      <c r="Q857" s="22"/>
      <c r="R857" s="22"/>
    </row>
    <row r="858" hidden="1">
      <c r="A858" s="93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19"/>
      <c r="P858" s="22"/>
      <c r="Q858" s="22"/>
      <c r="R858" s="22"/>
    </row>
    <row r="859" hidden="1">
      <c r="A859" s="93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19"/>
      <c r="P859" s="22"/>
      <c r="Q859" s="22"/>
      <c r="R859" s="22"/>
    </row>
    <row r="860" hidden="1">
      <c r="A860" s="93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19"/>
      <c r="P860" s="22"/>
      <c r="Q860" s="22"/>
      <c r="R860" s="22"/>
    </row>
    <row r="861" hidden="1">
      <c r="A861" s="93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19"/>
      <c r="P861" s="22"/>
      <c r="Q861" s="22"/>
      <c r="R861" s="22"/>
    </row>
    <row r="862" hidden="1">
      <c r="A862" s="93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19"/>
      <c r="P862" s="22"/>
      <c r="Q862" s="22"/>
      <c r="R862" s="22"/>
    </row>
    <row r="863" hidden="1">
      <c r="A863" s="93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19"/>
      <c r="P863" s="22"/>
      <c r="Q863" s="22"/>
      <c r="R863" s="22"/>
    </row>
    <row r="864" hidden="1">
      <c r="A864" s="93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19"/>
      <c r="P864" s="22"/>
      <c r="Q864" s="22"/>
      <c r="R864" s="22"/>
    </row>
    <row r="865" hidden="1">
      <c r="A865" s="93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19"/>
      <c r="P865" s="22"/>
      <c r="Q865" s="22"/>
      <c r="R865" s="22"/>
    </row>
    <row r="866" hidden="1">
      <c r="A866" s="93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19"/>
      <c r="P866" s="22"/>
      <c r="Q866" s="22"/>
      <c r="R866" s="22"/>
    </row>
    <row r="867" hidden="1">
      <c r="A867" s="93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19"/>
      <c r="P867" s="22"/>
      <c r="Q867" s="22"/>
      <c r="R867" s="22"/>
    </row>
    <row r="868" hidden="1">
      <c r="A868" s="93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19"/>
      <c r="P868" s="22"/>
      <c r="Q868" s="22"/>
      <c r="R868" s="22"/>
    </row>
    <row r="869" hidden="1">
      <c r="A869" s="93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19"/>
      <c r="P869" s="22"/>
      <c r="Q869" s="22"/>
      <c r="R869" s="22"/>
    </row>
    <row r="870" hidden="1">
      <c r="A870" s="93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19"/>
      <c r="P870" s="22"/>
      <c r="Q870" s="22"/>
      <c r="R870" s="22"/>
    </row>
    <row r="871" hidden="1">
      <c r="A871" s="93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19"/>
      <c r="P871" s="22"/>
      <c r="Q871" s="22"/>
      <c r="R871" s="22"/>
    </row>
    <row r="872" hidden="1">
      <c r="A872" s="93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19"/>
      <c r="P872" s="22"/>
      <c r="Q872" s="22"/>
      <c r="R872" s="22"/>
    </row>
    <row r="873" hidden="1">
      <c r="A873" s="93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19"/>
      <c r="P873" s="22"/>
      <c r="Q873" s="22"/>
      <c r="R873" s="22"/>
    </row>
    <row r="874" hidden="1">
      <c r="A874" s="93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19"/>
      <c r="P874" s="22"/>
      <c r="Q874" s="22"/>
      <c r="R874" s="22"/>
    </row>
    <row r="875" hidden="1">
      <c r="A875" s="93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19"/>
      <c r="P875" s="22"/>
      <c r="Q875" s="22"/>
      <c r="R875" s="22"/>
    </row>
    <row r="876" hidden="1">
      <c r="A876" s="93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19"/>
      <c r="P876" s="22"/>
      <c r="Q876" s="22"/>
      <c r="R876" s="22"/>
    </row>
    <row r="877" hidden="1">
      <c r="A877" s="93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19"/>
      <c r="P877" s="22"/>
      <c r="Q877" s="22"/>
      <c r="R877" s="22"/>
    </row>
    <row r="878" hidden="1">
      <c r="A878" s="93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19"/>
      <c r="P878" s="22"/>
      <c r="Q878" s="22"/>
      <c r="R878" s="22"/>
    </row>
    <row r="879" hidden="1">
      <c r="A879" s="93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19"/>
      <c r="P879" s="22"/>
      <c r="Q879" s="22"/>
      <c r="R879" s="22"/>
    </row>
    <row r="880" hidden="1">
      <c r="A880" s="93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19"/>
      <c r="P880" s="22"/>
      <c r="Q880" s="22"/>
      <c r="R880" s="22"/>
    </row>
    <row r="881" hidden="1">
      <c r="A881" s="93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19"/>
      <c r="P881" s="22"/>
      <c r="Q881" s="22"/>
      <c r="R881" s="22"/>
    </row>
    <row r="882" hidden="1">
      <c r="A882" s="93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19"/>
      <c r="P882" s="22"/>
      <c r="Q882" s="22"/>
      <c r="R882" s="22"/>
    </row>
    <row r="883" hidden="1">
      <c r="A883" s="93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19"/>
      <c r="P883" s="22"/>
      <c r="Q883" s="22"/>
      <c r="R883" s="22"/>
    </row>
    <row r="884" hidden="1">
      <c r="A884" s="93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19"/>
      <c r="P884" s="22"/>
      <c r="Q884" s="22"/>
      <c r="R884" s="22"/>
    </row>
    <row r="885" hidden="1">
      <c r="A885" s="93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19"/>
      <c r="P885" s="22"/>
      <c r="Q885" s="22"/>
      <c r="R885" s="22"/>
    </row>
    <row r="886" hidden="1">
      <c r="A886" s="93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19"/>
      <c r="P886" s="22"/>
      <c r="Q886" s="22"/>
      <c r="R886" s="22"/>
    </row>
    <row r="887" hidden="1">
      <c r="A887" s="93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19"/>
      <c r="P887" s="22"/>
      <c r="Q887" s="22"/>
      <c r="R887" s="22"/>
    </row>
    <row r="888" hidden="1">
      <c r="A888" s="93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19"/>
      <c r="P888" s="22"/>
      <c r="Q888" s="22"/>
      <c r="R888" s="22"/>
    </row>
    <row r="889" hidden="1">
      <c r="A889" s="93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19"/>
      <c r="P889" s="22"/>
      <c r="Q889" s="22"/>
      <c r="R889" s="22"/>
    </row>
    <row r="890" hidden="1">
      <c r="A890" s="93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19"/>
      <c r="P890" s="22"/>
      <c r="Q890" s="22"/>
      <c r="R890" s="22"/>
    </row>
    <row r="891" hidden="1">
      <c r="A891" s="93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19"/>
      <c r="P891" s="22"/>
      <c r="Q891" s="22"/>
      <c r="R891" s="22"/>
    </row>
    <row r="892" hidden="1">
      <c r="A892" s="93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19"/>
      <c r="P892" s="22"/>
      <c r="Q892" s="22"/>
      <c r="R892" s="22"/>
    </row>
    <row r="893" hidden="1">
      <c r="A893" s="93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19"/>
      <c r="P893" s="22"/>
      <c r="Q893" s="22"/>
      <c r="R893" s="22"/>
    </row>
    <row r="894" hidden="1">
      <c r="A894" s="93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19"/>
      <c r="P894" s="22"/>
      <c r="Q894" s="22"/>
      <c r="R894" s="22"/>
    </row>
    <row r="895" hidden="1">
      <c r="A895" s="93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19"/>
      <c r="P895" s="22"/>
      <c r="Q895" s="22"/>
      <c r="R895" s="22"/>
    </row>
    <row r="896" hidden="1">
      <c r="A896" s="93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19"/>
      <c r="P896" s="22"/>
      <c r="Q896" s="22"/>
      <c r="R896" s="22"/>
    </row>
    <row r="897" hidden="1">
      <c r="A897" s="93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19"/>
      <c r="P897" s="22"/>
      <c r="Q897" s="22"/>
      <c r="R897" s="22"/>
    </row>
    <row r="898" hidden="1">
      <c r="A898" s="93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19"/>
      <c r="P898" s="22"/>
      <c r="Q898" s="22"/>
      <c r="R898" s="22"/>
    </row>
    <row r="899" hidden="1">
      <c r="A899" s="93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19"/>
      <c r="P899" s="22"/>
      <c r="Q899" s="22"/>
      <c r="R899" s="22"/>
    </row>
    <row r="900" hidden="1">
      <c r="A900" s="93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19"/>
      <c r="P900" s="22"/>
      <c r="Q900" s="22"/>
      <c r="R900" s="22"/>
    </row>
    <row r="901" hidden="1">
      <c r="A901" s="93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19"/>
      <c r="P901" s="22"/>
      <c r="Q901" s="22"/>
      <c r="R901" s="22"/>
    </row>
    <row r="902" hidden="1">
      <c r="A902" s="93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19"/>
      <c r="P902" s="22"/>
      <c r="Q902" s="22"/>
      <c r="R902" s="22"/>
    </row>
    <row r="903" hidden="1">
      <c r="A903" s="93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19"/>
      <c r="P903" s="22"/>
      <c r="Q903" s="22"/>
      <c r="R903" s="22"/>
    </row>
    <row r="904" hidden="1">
      <c r="A904" s="93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19"/>
      <c r="P904" s="22"/>
      <c r="Q904" s="22"/>
      <c r="R904" s="22"/>
    </row>
    <row r="905" hidden="1">
      <c r="A905" s="93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19"/>
      <c r="P905" s="22"/>
      <c r="Q905" s="22"/>
      <c r="R905" s="22"/>
    </row>
    <row r="906" hidden="1">
      <c r="A906" s="93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19"/>
      <c r="P906" s="22"/>
      <c r="Q906" s="22"/>
      <c r="R906" s="22"/>
    </row>
    <row r="907" hidden="1">
      <c r="A907" s="93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19"/>
      <c r="P907" s="22"/>
      <c r="Q907" s="22"/>
      <c r="R907" s="22"/>
    </row>
    <row r="908" hidden="1">
      <c r="A908" s="93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19"/>
      <c r="P908" s="22"/>
      <c r="Q908" s="22"/>
      <c r="R908" s="22"/>
    </row>
    <row r="909" hidden="1">
      <c r="A909" s="93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19"/>
      <c r="P909" s="22"/>
      <c r="Q909" s="22"/>
      <c r="R909" s="22"/>
    </row>
    <row r="910" hidden="1">
      <c r="A910" s="93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19"/>
      <c r="P910" s="22"/>
      <c r="Q910" s="22"/>
      <c r="R910" s="22"/>
    </row>
    <row r="911" hidden="1">
      <c r="A911" s="93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19"/>
      <c r="P911" s="22"/>
      <c r="Q911" s="22"/>
      <c r="R911" s="22"/>
    </row>
    <row r="912" hidden="1">
      <c r="A912" s="93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19"/>
      <c r="P912" s="22"/>
      <c r="Q912" s="22"/>
      <c r="R912" s="22"/>
    </row>
    <row r="913" hidden="1">
      <c r="A913" s="93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19"/>
      <c r="P913" s="22"/>
      <c r="Q913" s="22"/>
      <c r="R913" s="22"/>
    </row>
    <row r="914" hidden="1">
      <c r="A914" s="93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19"/>
      <c r="P914" s="22"/>
      <c r="Q914" s="22"/>
      <c r="R914" s="22"/>
    </row>
    <row r="915" hidden="1">
      <c r="A915" s="93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19"/>
      <c r="P915" s="22"/>
      <c r="Q915" s="22"/>
      <c r="R915" s="22"/>
    </row>
    <row r="916" hidden="1">
      <c r="A916" s="93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19"/>
      <c r="P916" s="22"/>
      <c r="Q916" s="22"/>
      <c r="R916" s="22"/>
    </row>
    <row r="917" hidden="1">
      <c r="A917" s="93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19"/>
      <c r="P917" s="22"/>
      <c r="Q917" s="22"/>
      <c r="R917" s="22"/>
    </row>
    <row r="918" hidden="1">
      <c r="A918" s="93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19"/>
      <c r="P918" s="22"/>
      <c r="Q918" s="22"/>
      <c r="R918" s="22"/>
    </row>
    <row r="919" hidden="1">
      <c r="A919" s="93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19"/>
      <c r="P919" s="22"/>
      <c r="Q919" s="22"/>
      <c r="R919" s="22"/>
    </row>
    <row r="920" hidden="1">
      <c r="A920" s="93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19"/>
      <c r="P920" s="22"/>
      <c r="Q920" s="22"/>
      <c r="R920" s="22"/>
    </row>
    <row r="921" hidden="1">
      <c r="A921" s="93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19"/>
      <c r="P921" s="22"/>
      <c r="Q921" s="22"/>
      <c r="R921" s="22"/>
    </row>
    <row r="922" hidden="1">
      <c r="A922" s="93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19"/>
      <c r="P922" s="22"/>
      <c r="Q922" s="22"/>
      <c r="R922" s="22"/>
    </row>
    <row r="923" hidden="1">
      <c r="A923" s="93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19"/>
      <c r="P923" s="22"/>
      <c r="Q923" s="22"/>
      <c r="R923" s="22"/>
    </row>
    <row r="924" hidden="1">
      <c r="A924" s="93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19"/>
      <c r="P924" s="22"/>
      <c r="Q924" s="22"/>
      <c r="R924" s="22"/>
    </row>
    <row r="925" hidden="1">
      <c r="A925" s="93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19"/>
      <c r="P925" s="22"/>
      <c r="Q925" s="22"/>
      <c r="R925" s="22"/>
    </row>
    <row r="926" hidden="1">
      <c r="A926" s="93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19"/>
      <c r="P926" s="22"/>
      <c r="Q926" s="22"/>
      <c r="R926" s="22"/>
    </row>
    <row r="927" hidden="1">
      <c r="A927" s="93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19"/>
      <c r="P927" s="22"/>
      <c r="Q927" s="22"/>
      <c r="R927" s="22"/>
    </row>
    <row r="928" hidden="1">
      <c r="A928" s="93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19"/>
      <c r="P928" s="22"/>
      <c r="Q928" s="22"/>
      <c r="R928" s="22"/>
    </row>
    <row r="929" hidden="1">
      <c r="A929" s="93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19"/>
      <c r="P929" s="22"/>
      <c r="Q929" s="22"/>
      <c r="R929" s="22"/>
    </row>
    <row r="930" hidden="1">
      <c r="A930" s="93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19"/>
      <c r="P930" s="22"/>
      <c r="Q930" s="22"/>
      <c r="R930" s="22"/>
    </row>
    <row r="931" hidden="1">
      <c r="A931" s="93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19"/>
      <c r="P931" s="22"/>
      <c r="Q931" s="22"/>
      <c r="R931" s="22"/>
    </row>
    <row r="932" hidden="1">
      <c r="A932" s="93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19"/>
      <c r="P932" s="22"/>
      <c r="Q932" s="22"/>
      <c r="R932" s="22"/>
    </row>
    <row r="933" hidden="1">
      <c r="A933" s="93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19"/>
      <c r="P933" s="22"/>
      <c r="Q933" s="22"/>
      <c r="R933" s="22"/>
    </row>
    <row r="934" hidden="1">
      <c r="A934" s="93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19"/>
      <c r="P934" s="22"/>
      <c r="Q934" s="22"/>
      <c r="R934" s="22"/>
    </row>
    <row r="935" hidden="1">
      <c r="A935" s="93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19"/>
      <c r="P935" s="22"/>
      <c r="Q935" s="22"/>
      <c r="R935" s="22"/>
    </row>
    <row r="936" hidden="1">
      <c r="A936" s="93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19"/>
      <c r="P936" s="22"/>
      <c r="Q936" s="22"/>
      <c r="R936" s="22"/>
    </row>
    <row r="937" hidden="1">
      <c r="A937" s="93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19"/>
      <c r="P937" s="22"/>
      <c r="Q937" s="22"/>
      <c r="R937" s="22"/>
    </row>
    <row r="938" hidden="1">
      <c r="A938" s="93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19"/>
      <c r="P938" s="22"/>
      <c r="Q938" s="22"/>
      <c r="R938" s="22"/>
    </row>
    <row r="939" hidden="1">
      <c r="A939" s="93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19"/>
      <c r="P939" s="22"/>
      <c r="Q939" s="22"/>
      <c r="R939" s="22"/>
    </row>
    <row r="940" hidden="1">
      <c r="A940" s="93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19"/>
      <c r="P940" s="22"/>
      <c r="Q940" s="22"/>
      <c r="R940" s="22"/>
    </row>
    <row r="941" hidden="1">
      <c r="A941" s="93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19"/>
      <c r="P941" s="22"/>
      <c r="Q941" s="22"/>
      <c r="R941" s="22"/>
    </row>
    <row r="942" hidden="1">
      <c r="A942" s="93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19"/>
      <c r="P942" s="22"/>
      <c r="Q942" s="22"/>
      <c r="R942" s="22"/>
    </row>
    <row r="943" hidden="1">
      <c r="A943" s="93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19"/>
      <c r="P943" s="22"/>
      <c r="Q943" s="22"/>
      <c r="R943" s="22"/>
    </row>
    <row r="944" hidden="1">
      <c r="A944" s="93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19"/>
      <c r="P944" s="22"/>
      <c r="Q944" s="22"/>
      <c r="R944" s="22"/>
    </row>
    <row r="945" hidden="1">
      <c r="A945" s="93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19"/>
      <c r="P945" s="22"/>
      <c r="Q945" s="22"/>
      <c r="R945" s="22"/>
    </row>
    <row r="946" hidden="1">
      <c r="A946" s="93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19"/>
      <c r="P946" s="22"/>
      <c r="Q946" s="22"/>
      <c r="R946" s="22"/>
    </row>
    <row r="947" hidden="1">
      <c r="A947" s="93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19"/>
      <c r="P947" s="22"/>
      <c r="Q947" s="22"/>
      <c r="R947" s="22"/>
    </row>
    <row r="948" hidden="1">
      <c r="A948" s="93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19"/>
      <c r="P948" s="22"/>
      <c r="Q948" s="22"/>
      <c r="R948" s="22"/>
    </row>
    <row r="949" hidden="1">
      <c r="A949" s="93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19"/>
      <c r="P949" s="22"/>
      <c r="Q949" s="22"/>
      <c r="R949" s="22"/>
    </row>
    <row r="950" hidden="1">
      <c r="A950" s="93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19"/>
      <c r="P950" s="22"/>
      <c r="Q950" s="22"/>
      <c r="R950" s="22"/>
    </row>
    <row r="951" hidden="1">
      <c r="A951" s="93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19"/>
      <c r="P951" s="22"/>
      <c r="Q951" s="22"/>
      <c r="R951" s="22"/>
    </row>
    <row r="952" hidden="1">
      <c r="A952" s="93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19"/>
      <c r="P952" s="22"/>
      <c r="Q952" s="22"/>
      <c r="R952" s="22"/>
    </row>
    <row r="953" hidden="1">
      <c r="A953" s="93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19"/>
      <c r="P953" s="22"/>
      <c r="Q953" s="22"/>
      <c r="R953" s="22"/>
    </row>
    <row r="954" hidden="1">
      <c r="A954" s="93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19"/>
      <c r="P954" s="22"/>
      <c r="Q954" s="22"/>
      <c r="R954" s="22"/>
    </row>
    <row r="955" hidden="1">
      <c r="A955" s="93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19"/>
      <c r="P955" s="22"/>
      <c r="Q955" s="22"/>
      <c r="R955" s="22"/>
    </row>
    <row r="956" hidden="1">
      <c r="A956" s="93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19"/>
      <c r="P956" s="22"/>
      <c r="Q956" s="22"/>
      <c r="R956" s="22"/>
    </row>
    <row r="957" hidden="1">
      <c r="A957" s="93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19"/>
      <c r="P957" s="22"/>
      <c r="Q957" s="22"/>
      <c r="R957" s="22"/>
    </row>
    <row r="958" hidden="1">
      <c r="A958" s="93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19"/>
      <c r="P958" s="22"/>
      <c r="Q958" s="22"/>
      <c r="R958" s="22"/>
    </row>
    <row r="959" hidden="1">
      <c r="A959" s="93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19"/>
      <c r="P959" s="22"/>
      <c r="Q959" s="22"/>
      <c r="R959" s="22"/>
    </row>
    <row r="960" hidden="1">
      <c r="A960" s="93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19"/>
      <c r="P960" s="22"/>
      <c r="Q960" s="22"/>
      <c r="R960" s="22"/>
    </row>
    <row r="961" hidden="1">
      <c r="A961" s="93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19"/>
      <c r="P961" s="22"/>
      <c r="Q961" s="22"/>
      <c r="R961" s="22"/>
    </row>
    <row r="962" hidden="1">
      <c r="A962" s="93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19"/>
      <c r="P962" s="22"/>
      <c r="Q962" s="22"/>
      <c r="R962" s="22"/>
    </row>
    <row r="963" hidden="1">
      <c r="A963" s="93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19"/>
      <c r="P963" s="22"/>
      <c r="Q963" s="22"/>
      <c r="R963" s="22"/>
    </row>
    <row r="964" hidden="1">
      <c r="A964" s="93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19"/>
      <c r="P964" s="22"/>
      <c r="Q964" s="22"/>
      <c r="R964" s="22"/>
    </row>
    <row r="965" hidden="1">
      <c r="A965" s="93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19"/>
      <c r="P965" s="22"/>
      <c r="Q965" s="22"/>
      <c r="R965" s="22"/>
    </row>
    <row r="966" hidden="1">
      <c r="A966" s="93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19"/>
      <c r="P966" s="22"/>
      <c r="Q966" s="22"/>
      <c r="R966" s="22"/>
    </row>
    <row r="967" hidden="1">
      <c r="A967" s="93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19"/>
      <c r="P967" s="22"/>
      <c r="Q967" s="22"/>
      <c r="R967" s="22"/>
    </row>
    <row r="968" hidden="1">
      <c r="A968" s="93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19"/>
      <c r="P968" s="22"/>
      <c r="Q968" s="22"/>
      <c r="R968" s="22"/>
    </row>
    <row r="969" hidden="1">
      <c r="A969" s="93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19"/>
      <c r="P969" s="22"/>
      <c r="Q969" s="22"/>
      <c r="R969" s="22"/>
    </row>
    <row r="970" hidden="1">
      <c r="A970" s="93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19"/>
      <c r="P970" s="22"/>
      <c r="Q970" s="22"/>
      <c r="R970" s="22"/>
    </row>
    <row r="971" hidden="1">
      <c r="A971" s="93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19"/>
      <c r="P971" s="22"/>
      <c r="Q971" s="22"/>
      <c r="R971" s="22"/>
    </row>
    <row r="972" hidden="1">
      <c r="A972" s="93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19"/>
      <c r="P972" s="22"/>
      <c r="Q972" s="22"/>
      <c r="R972" s="22"/>
    </row>
    <row r="973" hidden="1">
      <c r="A973" s="93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19"/>
      <c r="P973" s="22"/>
      <c r="Q973" s="22"/>
      <c r="R973" s="22"/>
    </row>
    <row r="974" hidden="1">
      <c r="A974" s="93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19"/>
      <c r="P974" s="22"/>
      <c r="Q974" s="22"/>
      <c r="R974" s="22"/>
    </row>
    <row r="975" hidden="1">
      <c r="A975" s="93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19"/>
      <c r="P975" s="22"/>
      <c r="Q975" s="22"/>
      <c r="R975" s="22"/>
    </row>
    <row r="976" hidden="1">
      <c r="A976" s="93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19"/>
      <c r="P976" s="22"/>
      <c r="Q976" s="22"/>
      <c r="R976" s="22"/>
    </row>
    <row r="977" hidden="1">
      <c r="A977" s="93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19"/>
      <c r="P977" s="22"/>
      <c r="Q977" s="22"/>
      <c r="R977" s="22"/>
    </row>
    <row r="978" hidden="1">
      <c r="A978" s="93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19"/>
      <c r="P978" s="22"/>
      <c r="Q978" s="22"/>
      <c r="R978" s="22"/>
    </row>
    <row r="979" hidden="1">
      <c r="A979" s="93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19"/>
      <c r="P979" s="22"/>
      <c r="Q979" s="22"/>
      <c r="R979" s="22"/>
    </row>
    <row r="980" hidden="1">
      <c r="A980" s="93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19"/>
      <c r="P980" s="22"/>
      <c r="Q980" s="22"/>
      <c r="R980" s="22"/>
    </row>
    <row r="981" hidden="1">
      <c r="A981" s="93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19"/>
      <c r="P981" s="22"/>
      <c r="Q981" s="22"/>
      <c r="R981" s="22"/>
    </row>
    <row r="982" hidden="1">
      <c r="A982" s="93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19"/>
      <c r="P982" s="22"/>
      <c r="Q982" s="22"/>
      <c r="R982" s="22"/>
    </row>
    <row r="983" hidden="1">
      <c r="A983" s="93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19"/>
      <c r="P983" s="22"/>
      <c r="Q983" s="22"/>
      <c r="R983" s="22"/>
    </row>
    <row r="984" hidden="1">
      <c r="A984" s="93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19"/>
      <c r="P984" s="22"/>
      <c r="Q984" s="22"/>
      <c r="R984" s="22"/>
    </row>
    <row r="985" hidden="1">
      <c r="A985" s="93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19"/>
      <c r="P985" s="22"/>
      <c r="Q985" s="22"/>
      <c r="R985" s="22"/>
    </row>
    <row r="986" hidden="1">
      <c r="A986" s="93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19"/>
      <c r="P986" s="22"/>
      <c r="Q986" s="22"/>
      <c r="R986" s="22"/>
    </row>
    <row r="987" hidden="1">
      <c r="A987" s="93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19"/>
      <c r="P987" s="22"/>
      <c r="Q987" s="22"/>
      <c r="R987" s="22"/>
    </row>
    <row r="988" hidden="1">
      <c r="A988" s="93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19"/>
      <c r="P988" s="22"/>
      <c r="Q988" s="22"/>
      <c r="R988" s="22"/>
    </row>
    <row r="989" hidden="1">
      <c r="A989" s="93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19"/>
      <c r="P989" s="22"/>
      <c r="Q989" s="22"/>
      <c r="R989" s="22"/>
    </row>
    <row r="990" hidden="1">
      <c r="A990" s="93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19"/>
      <c r="P990" s="22"/>
      <c r="Q990" s="22"/>
      <c r="R990" s="22"/>
    </row>
    <row r="991" hidden="1">
      <c r="A991" s="93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19"/>
      <c r="P991" s="22"/>
      <c r="Q991" s="22"/>
      <c r="R991" s="22"/>
    </row>
    <row r="992" hidden="1">
      <c r="A992" s="93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19"/>
      <c r="P992" s="22"/>
      <c r="Q992" s="22"/>
      <c r="R992" s="22"/>
    </row>
    <row r="993" hidden="1">
      <c r="A993" s="93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19"/>
      <c r="P993" s="22"/>
      <c r="Q993" s="22"/>
      <c r="R993" s="22"/>
    </row>
    <row r="994" hidden="1">
      <c r="A994" s="93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19"/>
      <c r="P994" s="22"/>
      <c r="Q994" s="22"/>
      <c r="R994" s="22"/>
    </row>
    <row r="995" hidden="1">
      <c r="A995" s="93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19"/>
      <c r="P995" s="22"/>
      <c r="Q995" s="22"/>
      <c r="R995" s="22"/>
    </row>
    <row r="996" hidden="1">
      <c r="A996" s="93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19"/>
      <c r="P996" s="22"/>
      <c r="Q996" s="22"/>
      <c r="R996" s="22"/>
    </row>
    <row r="997" hidden="1">
      <c r="A997" s="93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19"/>
      <c r="P997" s="22"/>
      <c r="Q997" s="22"/>
      <c r="R997" s="22"/>
    </row>
    <row r="998" hidden="1">
      <c r="A998" s="93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19"/>
      <c r="P998" s="22"/>
      <c r="Q998" s="22"/>
      <c r="R998" s="22"/>
    </row>
    <row r="999" hidden="1">
      <c r="A999" s="93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19"/>
      <c r="P999" s="22"/>
      <c r="Q999" s="22"/>
      <c r="R999" s="22"/>
    </row>
    <row r="1000" hidden="1">
      <c r="A1000" s="93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19"/>
      <c r="P1000" s="22"/>
      <c r="Q1000" s="22"/>
      <c r="R1000" s="22"/>
    </row>
    <row r="1001" hidden="1">
      <c r="A1001" s="93"/>
      <c r="B1001" s="66"/>
      <c r="C1001" s="66"/>
      <c r="D1001" s="66"/>
      <c r="E1001" s="66"/>
      <c r="F1001" s="66"/>
      <c r="G1001" s="66"/>
      <c r="H1001" s="66"/>
      <c r="I1001" s="66"/>
      <c r="J1001" s="66"/>
      <c r="K1001" s="66"/>
      <c r="L1001" s="66"/>
      <c r="M1001" s="66"/>
      <c r="N1001" s="66"/>
      <c r="O1001" s="19"/>
      <c r="P1001" s="22"/>
      <c r="Q1001" s="22"/>
      <c r="R1001" s="22"/>
    </row>
    <row r="1002" hidden="1">
      <c r="A1002" s="93"/>
      <c r="B1002" s="66"/>
      <c r="C1002" s="66"/>
      <c r="D1002" s="66"/>
      <c r="E1002" s="66"/>
      <c r="F1002" s="66"/>
      <c r="G1002" s="66"/>
      <c r="H1002" s="66"/>
      <c r="I1002" s="66"/>
      <c r="J1002" s="66"/>
      <c r="K1002" s="66"/>
      <c r="L1002" s="66"/>
      <c r="M1002" s="66"/>
      <c r="N1002" s="66"/>
      <c r="O1002" s="19"/>
      <c r="P1002" s="22"/>
      <c r="Q1002" s="22"/>
      <c r="R1002" s="22"/>
    </row>
    <row r="1003" hidden="1">
      <c r="A1003" s="93"/>
      <c r="B1003" s="66"/>
      <c r="C1003" s="66"/>
      <c r="D1003" s="66"/>
      <c r="E1003" s="66"/>
      <c r="F1003" s="66"/>
      <c r="G1003" s="66"/>
      <c r="H1003" s="66"/>
      <c r="I1003" s="66"/>
      <c r="J1003" s="66"/>
      <c r="K1003" s="66"/>
      <c r="L1003" s="66"/>
      <c r="M1003" s="66"/>
      <c r="N1003" s="66"/>
      <c r="O1003" s="19"/>
      <c r="P1003" s="22"/>
      <c r="Q1003" s="22"/>
      <c r="R1003" s="22"/>
    </row>
    <row r="1004" hidden="1">
      <c r="A1004" s="93"/>
      <c r="B1004" s="66"/>
      <c r="C1004" s="66"/>
      <c r="D1004" s="66"/>
      <c r="E1004" s="66"/>
      <c r="F1004" s="66"/>
      <c r="G1004" s="66"/>
      <c r="H1004" s="66"/>
      <c r="I1004" s="66"/>
      <c r="J1004" s="66"/>
      <c r="K1004" s="66"/>
      <c r="L1004" s="66"/>
      <c r="M1004" s="66"/>
      <c r="N1004" s="66"/>
      <c r="O1004" s="19"/>
      <c r="P1004" s="22"/>
      <c r="Q1004" s="22"/>
      <c r="R1004" s="22"/>
    </row>
    <row r="1005" hidden="1">
      <c r="A1005" s="93"/>
      <c r="B1005" s="66"/>
      <c r="C1005" s="66"/>
      <c r="D1005" s="66"/>
      <c r="E1005" s="66"/>
      <c r="F1005" s="66"/>
      <c r="G1005" s="66"/>
      <c r="H1005" s="66"/>
      <c r="I1005" s="66"/>
      <c r="J1005" s="66"/>
      <c r="K1005" s="66"/>
      <c r="L1005" s="66"/>
      <c r="M1005" s="66"/>
      <c r="N1005" s="66"/>
      <c r="O1005" s="19"/>
      <c r="P1005" s="22"/>
      <c r="Q1005" s="22"/>
      <c r="R1005" s="22"/>
    </row>
    <row r="1006" hidden="1">
      <c r="A1006" s="93"/>
      <c r="B1006" s="66"/>
      <c r="C1006" s="66"/>
      <c r="D1006" s="66"/>
      <c r="E1006" s="66"/>
      <c r="F1006" s="66"/>
      <c r="G1006" s="66"/>
      <c r="H1006" s="66"/>
      <c r="I1006" s="66"/>
      <c r="J1006" s="66"/>
      <c r="K1006" s="66"/>
      <c r="L1006" s="66"/>
      <c r="M1006" s="66"/>
      <c r="N1006" s="66"/>
      <c r="O1006" s="19"/>
      <c r="P1006" s="22"/>
      <c r="Q1006" s="22"/>
      <c r="R1006" s="22"/>
    </row>
    <row r="1007" hidden="1">
      <c r="A1007" s="93"/>
      <c r="B1007" s="66"/>
      <c r="C1007" s="66"/>
      <c r="D1007" s="66"/>
      <c r="E1007" s="66"/>
      <c r="F1007" s="66"/>
      <c r="G1007" s="66"/>
      <c r="H1007" s="66"/>
      <c r="I1007" s="66"/>
      <c r="J1007" s="66"/>
      <c r="K1007" s="66"/>
      <c r="L1007" s="66"/>
      <c r="M1007" s="66"/>
      <c r="N1007" s="66"/>
      <c r="O1007" s="19"/>
      <c r="P1007" s="22"/>
      <c r="Q1007" s="22"/>
      <c r="R1007" s="22"/>
    </row>
    <row r="1008" hidden="1">
      <c r="A1008" s="93"/>
      <c r="B1008" s="66"/>
      <c r="C1008" s="66"/>
      <c r="D1008" s="66"/>
      <c r="E1008" s="66"/>
      <c r="F1008" s="66"/>
      <c r="G1008" s="66"/>
      <c r="H1008" s="66"/>
      <c r="I1008" s="66"/>
      <c r="J1008" s="66"/>
      <c r="K1008" s="66"/>
      <c r="L1008" s="66"/>
      <c r="M1008" s="66"/>
      <c r="N1008" s="66"/>
      <c r="O1008" s="19"/>
      <c r="P1008" s="22"/>
      <c r="Q1008" s="22"/>
      <c r="R1008" s="22"/>
    </row>
    <row r="1009" hidden="1">
      <c r="A1009" s="93"/>
      <c r="B1009" s="66"/>
      <c r="C1009" s="66"/>
      <c r="D1009" s="66"/>
      <c r="E1009" s="66"/>
      <c r="F1009" s="66"/>
      <c r="G1009" s="66"/>
      <c r="H1009" s="66"/>
      <c r="I1009" s="66"/>
      <c r="J1009" s="66"/>
      <c r="K1009" s="66"/>
      <c r="L1009" s="66"/>
      <c r="M1009" s="66"/>
      <c r="N1009" s="66"/>
      <c r="O1009" s="19"/>
      <c r="P1009" s="22"/>
      <c r="Q1009" s="22"/>
      <c r="R1009" s="22"/>
    </row>
    <row r="1010" hidden="1">
      <c r="A1010" s="93"/>
      <c r="B1010" s="66"/>
      <c r="C1010" s="66"/>
      <c r="D1010" s="66"/>
      <c r="E1010" s="66"/>
      <c r="F1010" s="66"/>
      <c r="G1010" s="66"/>
      <c r="H1010" s="66"/>
      <c r="I1010" s="66"/>
      <c r="J1010" s="66"/>
      <c r="K1010" s="66"/>
      <c r="L1010" s="66"/>
      <c r="M1010" s="66"/>
      <c r="N1010" s="66"/>
      <c r="O1010" s="19"/>
      <c r="P1010" s="22"/>
      <c r="Q1010" s="22"/>
      <c r="R1010" s="22"/>
    </row>
    <row r="1011" hidden="1">
      <c r="A1011" s="93"/>
      <c r="B1011" s="66"/>
      <c r="C1011" s="66"/>
      <c r="D1011" s="66"/>
      <c r="E1011" s="66"/>
      <c r="F1011" s="66"/>
      <c r="G1011" s="66"/>
      <c r="H1011" s="66"/>
      <c r="I1011" s="66"/>
      <c r="J1011" s="66"/>
      <c r="K1011" s="66"/>
      <c r="L1011" s="66"/>
      <c r="M1011" s="66"/>
      <c r="N1011" s="66"/>
      <c r="O1011" s="19"/>
      <c r="P1011" s="22"/>
      <c r="Q1011" s="22"/>
      <c r="R1011" s="22"/>
    </row>
    <row r="1012" hidden="1">
      <c r="A1012" s="93"/>
      <c r="B1012" s="66"/>
      <c r="C1012" s="66"/>
      <c r="D1012" s="66"/>
      <c r="E1012" s="66"/>
      <c r="F1012" s="66"/>
      <c r="G1012" s="66"/>
      <c r="H1012" s="66"/>
      <c r="I1012" s="66"/>
      <c r="J1012" s="66"/>
      <c r="K1012" s="66"/>
      <c r="L1012" s="66"/>
      <c r="M1012" s="66"/>
      <c r="N1012" s="66"/>
      <c r="O1012" s="19"/>
      <c r="P1012" s="22"/>
      <c r="Q1012" s="22"/>
      <c r="R1012" s="22"/>
    </row>
    <row r="1013" hidden="1">
      <c r="A1013" s="93"/>
      <c r="B1013" s="66"/>
      <c r="C1013" s="66"/>
      <c r="D1013" s="66"/>
      <c r="E1013" s="66"/>
      <c r="F1013" s="66"/>
      <c r="G1013" s="66"/>
      <c r="H1013" s="66"/>
      <c r="I1013" s="66"/>
      <c r="J1013" s="66"/>
      <c r="K1013" s="66"/>
      <c r="L1013" s="66"/>
      <c r="M1013" s="66"/>
      <c r="N1013" s="66"/>
      <c r="O1013" s="19"/>
      <c r="P1013" s="22"/>
      <c r="Q1013" s="22"/>
      <c r="R1013" s="22"/>
    </row>
    <row r="1014" hidden="1">
      <c r="A1014" s="93"/>
      <c r="B1014" s="66"/>
      <c r="C1014" s="66"/>
      <c r="D1014" s="66"/>
      <c r="E1014" s="66"/>
      <c r="F1014" s="66"/>
      <c r="G1014" s="66"/>
      <c r="H1014" s="66"/>
      <c r="I1014" s="66"/>
      <c r="J1014" s="66"/>
      <c r="K1014" s="66"/>
      <c r="L1014" s="66"/>
      <c r="M1014" s="66"/>
      <c r="N1014" s="66"/>
      <c r="O1014" s="19"/>
      <c r="P1014" s="22"/>
      <c r="Q1014" s="22"/>
      <c r="R1014" s="22"/>
    </row>
    <row r="1015" hidden="1">
      <c r="A1015" s="93"/>
      <c r="B1015" s="66"/>
      <c r="C1015" s="66"/>
      <c r="D1015" s="66"/>
      <c r="E1015" s="66"/>
      <c r="F1015" s="66"/>
      <c r="G1015" s="66"/>
      <c r="H1015" s="66"/>
      <c r="I1015" s="66"/>
      <c r="J1015" s="66"/>
      <c r="K1015" s="66"/>
      <c r="L1015" s="66"/>
      <c r="M1015" s="66"/>
      <c r="N1015" s="66"/>
      <c r="O1015" s="19"/>
      <c r="P1015" s="22"/>
      <c r="Q1015" s="22"/>
      <c r="R1015" s="22"/>
    </row>
    <row r="1016" hidden="1">
      <c r="A1016" s="93"/>
      <c r="B1016" s="66"/>
      <c r="C1016" s="66"/>
      <c r="D1016" s="66"/>
      <c r="E1016" s="66"/>
      <c r="F1016" s="66"/>
      <c r="G1016" s="66"/>
      <c r="H1016" s="66"/>
      <c r="I1016" s="66"/>
      <c r="J1016" s="66"/>
      <c r="K1016" s="66"/>
      <c r="L1016" s="66"/>
      <c r="M1016" s="66"/>
      <c r="N1016" s="66"/>
      <c r="O1016" s="19"/>
      <c r="P1016" s="22"/>
      <c r="Q1016" s="22"/>
      <c r="R1016" s="22"/>
    </row>
    <row r="1017" hidden="1">
      <c r="A1017" s="93"/>
      <c r="B1017" s="66"/>
      <c r="C1017" s="66"/>
      <c r="D1017" s="66"/>
      <c r="E1017" s="66"/>
      <c r="F1017" s="66"/>
      <c r="G1017" s="66"/>
      <c r="H1017" s="66"/>
      <c r="I1017" s="66"/>
      <c r="J1017" s="66"/>
      <c r="K1017" s="66"/>
      <c r="L1017" s="66"/>
      <c r="M1017" s="66"/>
      <c r="N1017" s="66"/>
      <c r="O1017" s="19"/>
      <c r="P1017" s="22"/>
      <c r="Q1017" s="22"/>
      <c r="R1017" s="22"/>
    </row>
    <row r="1018" hidden="1">
      <c r="A1018" s="93"/>
      <c r="B1018" s="66"/>
      <c r="C1018" s="66"/>
      <c r="D1018" s="66"/>
      <c r="E1018" s="66"/>
      <c r="F1018" s="66"/>
      <c r="G1018" s="66"/>
      <c r="H1018" s="66"/>
      <c r="I1018" s="66"/>
      <c r="J1018" s="66"/>
      <c r="K1018" s="66"/>
      <c r="L1018" s="66"/>
      <c r="M1018" s="66"/>
      <c r="N1018" s="66"/>
      <c r="O1018" s="19"/>
      <c r="P1018" s="22"/>
      <c r="Q1018" s="22"/>
      <c r="R1018" s="22"/>
    </row>
    <row r="1019" hidden="1">
      <c r="A1019" s="93"/>
      <c r="B1019" s="66"/>
      <c r="C1019" s="66"/>
      <c r="D1019" s="66"/>
      <c r="E1019" s="66"/>
      <c r="F1019" s="66"/>
      <c r="G1019" s="66"/>
      <c r="H1019" s="66"/>
      <c r="I1019" s="66"/>
      <c r="J1019" s="66"/>
      <c r="K1019" s="66"/>
      <c r="L1019" s="66"/>
      <c r="M1019" s="66"/>
      <c r="N1019" s="66"/>
      <c r="O1019" s="19"/>
      <c r="P1019" s="22"/>
      <c r="Q1019" s="22"/>
      <c r="R1019" s="22"/>
    </row>
    <row r="1020" hidden="1">
      <c r="A1020" s="93"/>
      <c r="B1020" s="66"/>
      <c r="C1020" s="66"/>
      <c r="D1020" s="66"/>
      <c r="E1020" s="66"/>
      <c r="F1020" s="66"/>
      <c r="G1020" s="66"/>
      <c r="H1020" s="66"/>
      <c r="I1020" s="66"/>
      <c r="J1020" s="66"/>
      <c r="K1020" s="66"/>
      <c r="L1020" s="66"/>
      <c r="M1020" s="66"/>
      <c r="N1020" s="66"/>
      <c r="O1020" s="19"/>
      <c r="P1020" s="22"/>
      <c r="Q1020" s="22"/>
      <c r="R1020" s="22"/>
    </row>
    <row r="1021" hidden="1">
      <c r="A1021" s="93"/>
      <c r="B1021" s="66"/>
      <c r="C1021" s="66"/>
      <c r="D1021" s="66"/>
      <c r="E1021" s="66"/>
      <c r="F1021" s="66"/>
      <c r="G1021" s="66"/>
      <c r="H1021" s="66"/>
      <c r="I1021" s="66"/>
      <c r="J1021" s="66"/>
      <c r="K1021" s="66"/>
      <c r="L1021" s="66"/>
      <c r="M1021" s="66"/>
      <c r="N1021" s="66"/>
      <c r="O1021" s="19"/>
      <c r="P1021" s="22"/>
      <c r="Q1021" s="22"/>
      <c r="R1021" s="22"/>
    </row>
    <row r="1022" hidden="1">
      <c r="A1022" s="93"/>
      <c r="B1022" s="66"/>
      <c r="C1022" s="66"/>
      <c r="D1022" s="66"/>
      <c r="E1022" s="66"/>
      <c r="F1022" s="66"/>
      <c r="G1022" s="66"/>
      <c r="H1022" s="66"/>
      <c r="I1022" s="66"/>
      <c r="J1022" s="66"/>
      <c r="K1022" s="66"/>
      <c r="L1022" s="66"/>
      <c r="M1022" s="66"/>
      <c r="N1022" s="66"/>
      <c r="O1022" s="19"/>
      <c r="P1022" s="22"/>
      <c r="Q1022" s="22"/>
      <c r="R1022" s="22"/>
    </row>
    <row r="1023" hidden="1">
      <c r="A1023" s="93"/>
      <c r="B1023" s="66"/>
      <c r="C1023" s="66"/>
      <c r="D1023" s="66"/>
      <c r="E1023" s="66"/>
      <c r="F1023" s="66"/>
      <c r="G1023" s="66"/>
      <c r="H1023" s="66"/>
      <c r="I1023" s="66"/>
      <c r="J1023" s="66"/>
      <c r="K1023" s="66"/>
      <c r="L1023" s="66"/>
      <c r="M1023" s="66"/>
      <c r="N1023" s="66"/>
      <c r="O1023" s="19"/>
      <c r="P1023" s="22"/>
      <c r="Q1023" s="22"/>
      <c r="R1023" s="22"/>
    </row>
    <row r="1024" hidden="1">
      <c r="A1024" s="93"/>
      <c r="B1024" s="66"/>
      <c r="C1024" s="66"/>
      <c r="D1024" s="66"/>
      <c r="E1024" s="66"/>
      <c r="F1024" s="66"/>
      <c r="G1024" s="66"/>
      <c r="H1024" s="66"/>
      <c r="I1024" s="66"/>
      <c r="J1024" s="66"/>
      <c r="K1024" s="66"/>
      <c r="L1024" s="66"/>
      <c r="M1024" s="66"/>
      <c r="N1024" s="66"/>
      <c r="O1024" s="19"/>
      <c r="P1024" s="22"/>
      <c r="Q1024" s="22"/>
      <c r="R1024" s="22"/>
    </row>
    <row r="1025" hidden="1">
      <c r="A1025" s="93"/>
      <c r="B1025" s="66"/>
      <c r="C1025" s="66"/>
      <c r="D1025" s="66"/>
      <c r="E1025" s="66"/>
      <c r="F1025" s="66"/>
      <c r="G1025" s="66"/>
      <c r="H1025" s="66"/>
      <c r="I1025" s="66"/>
      <c r="J1025" s="66"/>
      <c r="K1025" s="66"/>
      <c r="L1025" s="66"/>
      <c r="M1025" s="66"/>
      <c r="N1025" s="66"/>
      <c r="O1025" s="19"/>
      <c r="P1025" s="22"/>
      <c r="Q1025" s="22"/>
      <c r="R1025" s="22"/>
    </row>
    <row r="1026" hidden="1">
      <c r="A1026" s="93"/>
      <c r="B1026" s="66"/>
      <c r="C1026" s="66"/>
      <c r="D1026" s="66"/>
      <c r="E1026" s="66"/>
      <c r="F1026" s="66"/>
      <c r="G1026" s="66"/>
      <c r="H1026" s="66"/>
      <c r="I1026" s="66"/>
      <c r="J1026" s="66"/>
      <c r="K1026" s="66"/>
      <c r="L1026" s="66"/>
      <c r="M1026" s="66"/>
      <c r="N1026" s="66"/>
      <c r="O1026" s="19"/>
      <c r="P1026" s="22"/>
      <c r="Q1026" s="22"/>
      <c r="R1026" s="22"/>
    </row>
    <row r="1027" hidden="1">
      <c r="A1027" s="93"/>
      <c r="B1027" s="66"/>
      <c r="C1027" s="66"/>
      <c r="D1027" s="66"/>
      <c r="E1027" s="66"/>
      <c r="F1027" s="66"/>
      <c r="G1027" s="66"/>
      <c r="H1027" s="66"/>
      <c r="I1027" s="66"/>
      <c r="J1027" s="66"/>
      <c r="K1027" s="66"/>
      <c r="L1027" s="66"/>
      <c r="M1027" s="66"/>
      <c r="N1027" s="66"/>
      <c r="O1027" s="19"/>
      <c r="P1027" s="22"/>
      <c r="Q1027" s="22"/>
      <c r="R1027" s="22"/>
    </row>
    <row r="1028" hidden="1">
      <c r="A1028" s="93"/>
      <c r="B1028" s="66"/>
      <c r="C1028" s="66"/>
      <c r="D1028" s="66"/>
      <c r="E1028" s="66"/>
      <c r="F1028" s="66"/>
      <c r="G1028" s="66"/>
      <c r="H1028" s="66"/>
      <c r="I1028" s="66"/>
      <c r="J1028" s="66"/>
      <c r="K1028" s="66"/>
      <c r="L1028" s="66"/>
      <c r="M1028" s="66"/>
      <c r="N1028" s="66"/>
      <c r="O1028" s="19"/>
      <c r="P1028" s="22"/>
      <c r="Q1028" s="22"/>
      <c r="R1028" s="22"/>
    </row>
    <row r="1029" hidden="1">
      <c r="A1029" s="93"/>
      <c r="B1029" s="66"/>
      <c r="C1029" s="66"/>
      <c r="D1029" s="66"/>
      <c r="E1029" s="66"/>
      <c r="F1029" s="66"/>
      <c r="G1029" s="66"/>
      <c r="H1029" s="66"/>
      <c r="I1029" s="66"/>
      <c r="J1029" s="66"/>
      <c r="K1029" s="66"/>
      <c r="L1029" s="66"/>
      <c r="M1029" s="66"/>
      <c r="N1029" s="66"/>
      <c r="O1029" s="19"/>
      <c r="P1029" s="22"/>
      <c r="Q1029" s="22"/>
      <c r="R1029" s="22"/>
    </row>
    <row r="1030" hidden="1">
      <c r="A1030" s="93"/>
      <c r="B1030" s="66"/>
      <c r="C1030" s="66"/>
      <c r="D1030" s="66"/>
      <c r="E1030" s="66"/>
      <c r="F1030" s="66"/>
      <c r="G1030" s="66"/>
      <c r="H1030" s="66"/>
      <c r="I1030" s="66"/>
      <c r="J1030" s="66"/>
      <c r="K1030" s="66"/>
      <c r="L1030" s="66"/>
      <c r="M1030" s="66"/>
      <c r="N1030" s="66"/>
      <c r="O1030" s="19"/>
      <c r="P1030" s="22"/>
      <c r="Q1030" s="22"/>
      <c r="R1030" s="22"/>
    </row>
    <row r="1031" hidden="1">
      <c r="A1031" s="93"/>
      <c r="B1031" s="66"/>
      <c r="C1031" s="66"/>
      <c r="D1031" s="66"/>
      <c r="E1031" s="66"/>
      <c r="F1031" s="66"/>
      <c r="G1031" s="66"/>
      <c r="H1031" s="66"/>
      <c r="I1031" s="66"/>
      <c r="J1031" s="66"/>
      <c r="K1031" s="66"/>
      <c r="L1031" s="66"/>
      <c r="M1031" s="66"/>
      <c r="N1031" s="66"/>
      <c r="O1031" s="19"/>
      <c r="P1031" s="22"/>
      <c r="Q1031" s="22"/>
      <c r="R1031" s="22"/>
    </row>
    <row r="1032" hidden="1">
      <c r="A1032" s="93"/>
      <c r="B1032" s="66"/>
      <c r="C1032" s="66"/>
      <c r="D1032" s="66"/>
      <c r="E1032" s="66"/>
      <c r="F1032" s="66"/>
      <c r="G1032" s="66"/>
      <c r="H1032" s="66"/>
      <c r="I1032" s="66"/>
      <c r="J1032" s="66"/>
      <c r="K1032" s="66"/>
      <c r="L1032" s="66"/>
      <c r="M1032" s="66"/>
      <c r="N1032" s="66"/>
      <c r="O1032" s="19"/>
      <c r="P1032" s="22"/>
      <c r="Q1032" s="22"/>
      <c r="R1032" s="22"/>
    </row>
    <row r="1033" hidden="1">
      <c r="A1033" s="93"/>
      <c r="B1033" s="66"/>
      <c r="C1033" s="66"/>
      <c r="D1033" s="66"/>
      <c r="E1033" s="66"/>
      <c r="F1033" s="66"/>
      <c r="G1033" s="66"/>
      <c r="H1033" s="66"/>
      <c r="I1033" s="66"/>
      <c r="J1033" s="66"/>
      <c r="K1033" s="66"/>
      <c r="L1033" s="66"/>
      <c r="M1033" s="66"/>
      <c r="N1033" s="66"/>
      <c r="O1033" s="19"/>
      <c r="P1033" s="22"/>
      <c r="Q1033" s="22"/>
      <c r="R1033" s="22"/>
    </row>
    <row r="1034" hidden="1">
      <c r="A1034" s="93"/>
      <c r="B1034" s="66"/>
      <c r="C1034" s="66"/>
      <c r="D1034" s="66"/>
      <c r="E1034" s="66"/>
      <c r="F1034" s="66"/>
      <c r="G1034" s="66"/>
      <c r="H1034" s="66"/>
      <c r="I1034" s="66"/>
      <c r="J1034" s="66"/>
      <c r="K1034" s="66"/>
      <c r="L1034" s="66"/>
      <c r="M1034" s="66"/>
      <c r="N1034" s="66"/>
      <c r="O1034" s="19"/>
      <c r="P1034" s="22"/>
      <c r="Q1034" s="22"/>
      <c r="R1034" s="22"/>
    </row>
    <row r="1035" hidden="1">
      <c r="A1035" s="93"/>
      <c r="B1035" s="66"/>
      <c r="C1035" s="66"/>
      <c r="D1035" s="66"/>
      <c r="E1035" s="66"/>
      <c r="F1035" s="66"/>
      <c r="G1035" s="66"/>
      <c r="H1035" s="66"/>
      <c r="I1035" s="66"/>
      <c r="J1035" s="66"/>
      <c r="K1035" s="66"/>
      <c r="L1035" s="66"/>
      <c r="M1035" s="66"/>
      <c r="N1035" s="66"/>
      <c r="O1035" s="19"/>
      <c r="P1035" s="22"/>
      <c r="Q1035" s="22"/>
      <c r="R1035" s="22"/>
    </row>
    <row r="1036" hidden="1">
      <c r="A1036" s="93"/>
      <c r="B1036" s="66"/>
      <c r="C1036" s="66"/>
      <c r="D1036" s="66"/>
      <c r="E1036" s="66"/>
      <c r="F1036" s="66"/>
      <c r="G1036" s="66"/>
      <c r="H1036" s="66"/>
      <c r="I1036" s="66"/>
      <c r="J1036" s="66"/>
      <c r="K1036" s="66"/>
      <c r="L1036" s="66"/>
      <c r="M1036" s="66"/>
      <c r="N1036" s="66"/>
      <c r="O1036" s="19"/>
      <c r="P1036" s="22"/>
      <c r="Q1036" s="22"/>
      <c r="R1036" s="22"/>
    </row>
    <row r="1037" hidden="1">
      <c r="A1037" s="93"/>
      <c r="B1037" s="66"/>
      <c r="C1037" s="66"/>
      <c r="D1037" s="66"/>
      <c r="E1037" s="66"/>
      <c r="F1037" s="66"/>
      <c r="G1037" s="66"/>
      <c r="H1037" s="66"/>
      <c r="I1037" s="66"/>
      <c r="J1037" s="66"/>
      <c r="K1037" s="66"/>
      <c r="L1037" s="66"/>
      <c r="M1037" s="66"/>
      <c r="N1037" s="66"/>
      <c r="O1037" s="19"/>
      <c r="P1037" s="22"/>
      <c r="Q1037" s="22"/>
      <c r="R1037" s="22"/>
    </row>
    <row r="1038" hidden="1">
      <c r="A1038" s="93"/>
      <c r="B1038" s="66"/>
      <c r="C1038" s="66"/>
      <c r="D1038" s="66"/>
      <c r="E1038" s="66"/>
      <c r="F1038" s="66"/>
      <c r="G1038" s="66"/>
      <c r="H1038" s="66"/>
      <c r="I1038" s="66"/>
      <c r="J1038" s="66"/>
      <c r="K1038" s="66"/>
      <c r="L1038" s="66"/>
      <c r="M1038" s="66"/>
      <c r="N1038" s="66"/>
      <c r="O1038" s="19"/>
      <c r="P1038" s="22"/>
      <c r="Q1038" s="22"/>
      <c r="R1038" s="22"/>
    </row>
    <row r="1039" hidden="1">
      <c r="A1039" s="93"/>
      <c r="B1039" s="66"/>
      <c r="C1039" s="66"/>
      <c r="D1039" s="66"/>
      <c r="E1039" s="66"/>
      <c r="F1039" s="66"/>
      <c r="G1039" s="66"/>
      <c r="H1039" s="66"/>
      <c r="I1039" s="66"/>
      <c r="J1039" s="66"/>
      <c r="K1039" s="66"/>
      <c r="L1039" s="66"/>
      <c r="M1039" s="66"/>
      <c r="N1039" s="66"/>
      <c r="O1039" s="19"/>
      <c r="P1039" s="22"/>
      <c r="Q1039" s="22"/>
      <c r="R1039" s="22"/>
    </row>
    <row r="1040" hidden="1">
      <c r="A1040" s="93"/>
      <c r="B1040" s="66"/>
      <c r="C1040" s="66"/>
      <c r="D1040" s="66"/>
      <c r="E1040" s="66"/>
      <c r="F1040" s="66"/>
      <c r="G1040" s="66"/>
      <c r="H1040" s="66"/>
      <c r="I1040" s="66"/>
      <c r="J1040" s="66"/>
      <c r="K1040" s="66"/>
      <c r="L1040" s="66"/>
      <c r="M1040" s="66"/>
      <c r="N1040" s="66"/>
      <c r="O1040" s="19"/>
      <c r="P1040" s="22"/>
      <c r="Q1040" s="22"/>
      <c r="R1040" s="22"/>
    </row>
    <row r="1041" hidden="1">
      <c r="A1041" s="93"/>
      <c r="B1041" s="66"/>
      <c r="C1041" s="66"/>
      <c r="D1041" s="66"/>
      <c r="E1041" s="66"/>
      <c r="F1041" s="66"/>
      <c r="G1041" s="66"/>
      <c r="H1041" s="66"/>
      <c r="I1041" s="66"/>
      <c r="J1041" s="66"/>
      <c r="K1041" s="66"/>
      <c r="L1041" s="66"/>
      <c r="M1041" s="66"/>
      <c r="N1041" s="66"/>
      <c r="O1041" s="19"/>
      <c r="P1041" s="22"/>
      <c r="Q1041" s="22"/>
      <c r="R1041" s="22"/>
    </row>
    <row r="1042" hidden="1">
      <c r="A1042" s="93"/>
      <c r="B1042" s="66"/>
      <c r="C1042" s="66"/>
      <c r="D1042" s="66"/>
      <c r="E1042" s="66"/>
      <c r="F1042" s="66"/>
      <c r="G1042" s="66"/>
      <c r="H1042" s="66"/>
      <c r="I1042" s="66"/>
      <c r="J1042" s="66"/>
      <c r="K1042" s="66"/>
      <c r="L1042" s="66"/>
      <c r="M1042" s="66"/>
      <c r="N1042" s="66"/>
      <c r="O1042" s="19"/>
      <c r="P1042" s="22"/>
      <c r="Q1042" s="22"/>
      <c r="R1042" s="22"/>
    </row>
    <row r="1043" hidden="1">
      <c r="A1043" s="93"/>
      <c r="B1043" s="66"/>
      <c r="C1043" s="66"/>
      <c r="D1043" s="66"/>
      <c r="E1043" s="66"/>
      <c r="F1043" s="66"/>
      <c r="G1043" s="66"/>
      <c r="H1043" s="66"/>
      <c r="I1043" s="66"/>
      <c r="J1043" s="66"/>
      <c r="K1043" s="66"/>
      <c r="L1043" s="66"/>
      <c r="M1043" s="66"/>
      <c r="N1043" s="66"/>
      <c r="O1043" s="19"/>
      <c r="P1043" s="22"/>
      <c r="Q1043" s="22"/>
      <c r="R1043" s="22"/>
    </row>
    <row r="1044" hidden="1">
      <c r="A1044" s="93"/>
      <c r="B1044" s="66"/>
      <c r="C1044" s="66"/>
      <c r="D1044" s="66"/>
      <c r="E1044" s="66"/>
      <c r="F1044" s="66"/>
      <c r="G1044" s="66"/>
      <c r="H1044" s="66"/>
      <c r="I1044" s="66"/>
      <c r="J1044" s="66"/>
      <c r="K1044" s="66"/>
      <c r="L1044" s="66"/>
      <c r="M1044" s="66"/>
      <c r="N1044" s="66"/>
      <c r="O1044" s="19"/>
      <c r="P1044" s="22"/>
      <c r="Q1044" s="22"/>
      <c r="R1044" s="22"/>
    </row>
    <row r="1045" hidden="1">
      <c r="A1045" s="93"/>
      <c r="B1045" s="66"/>
      <c r="C1045" s="66"/>
      <c r="D1045" s="66"/>
      <c r="E1045" s="66"/>
      <c r="F1045" s="66"/>
      <c r="G1045" s="66"/>
      <c r="H1045" s="66"/>
      <c r="I1045" s="66"/>
      <c r="J1045" s="66"/>
      <c r="K1045" s="66"/>
      <c r="L1045" s="66"/>
      <c r="M1045" s="66"/>
      <c r="N1045" s="66"/>
      <c r="O1045" s="19"/>
      <c r="P1045" s="22"/>
      <c r="Q1045" s="22"/>
      <c r="R1045" s="22"/>
    </row>
    <row r="1046" hidden="1">
      <c r="A1046" s="93"/>
      <c r="B1046" s="66"/>
      <c r="C1046" s="66"/>
      <c r="D1046" s="66"/>
      <c r="E1046" s="66"/>
      <c r="F1046" s="66"/>
      <c r="G1046" s="66"/>
      <c r="H1046" s="66"/>
      <c r="I1046" s="66"/>
      <c r="J1046" s="66"/>
      <c r="K1046" s="66"/>
      <c r="L1046" s="66"/>
      <c r="M1046" s="66"/>
      <c r="N1046" s="66"/>
      <c r="O1046" s="19"/>
      <c r="P1046" s="22"/>
      <c r="Q1046" s="22"/>
      <c r="R1046" s="22"/>
    </row>
    <row r="1047" hidden="1">
      <c r="A1047" s="93"/>
      <c r="B1047" s="66"/>
      <c r="C1047" s="66"/>
      <c r="D1047" s="66"/>
      <c r="E1047" s="66"/>
      <c r="F1047" s="66"/>
      <c r="G1047" s="66"/>
      <c r="H1047" s="66"/>
      <c r="I1047" s="66"/>
      <c r="J1047" s="66"/>
      <c r="K1047" s="66"/>
      <c r="L1047" s="66"/>
      <c r="M1047" s="66"/>
      <c r="N1047" s="66"/>
      <c r="O1047" s="19"/>
      <c r="P1047" s="22"/>
      <c r="Q1047" s="22"/>
      <c r="R1047" s="22"/>
    </row>
    <row r="1048" hidden="1">
      <c r="A1048" s="93"/>
      <c r="B1048" s="66"/>
      <c r="C1048" s="66"/>
      <c r="D1048" s="66"/>
      <c r="E1048" s="66"/>
      <c r="F1048" s="66"/>
      <c r="G1048" s="66"/>
      <c r="H1048" s="66"/>
      <c r="I1048" s="66"/>
      <c r="J1048" s="66"/>
      <c r="K1048" s="66"/>
      <c r="L1048" s="66"/>
      <c r="M1048" s="66"/>
      <c r="N1048" s="66"/>
      <c r="O1048" s="19"/>
      <c r="P1048" s="22"/>
      <c r="Q1048" s="22"/>
      <c r="R1048" s="22"/>
    </row>
    <row r="1049" hidden="1">
      <c r="A1049" s="93"/>
      <c r="B1049" s="66"/>
      <c r="C1049" s="66"/>
      <c r="D1049" s="66"/>
      <c r="E1049" s="66"/>
      <c r="F1049" s="66"/>
      <c r="G1049" s="66"/>
      <c r="H1049" s="66"/>
      <c r="I1049" s="66"/>
      <c r="J1049" s="66"/>
      <c r="K1049" s="66"/>
      <c r="L1049" s="66"/>
      <c r="M1049" s="66"/>
      <c r="N1049" s="66"/>
      <c r="O1049" s="19"/>
      <c r="P1049" s="22"/>
      <c r="Q1049" s="22"/>
      <c r="R1049" s="22"/>
    </row>
    <row r="1050" hidden="1">
      <c r="A1050" s="93"/>
      <c r="B1050" s="66"/>
      <c r="C1050" s="66"/>
      <c r="D1050" s="66"/>
      <c r="E1050" s="66"/>
      <c r="F1050" s="66"/>
      <c r="G1050" s="66"/>
      <c r="H1050" s="66"/>
      <c r="I1050" s="66"/>
      <c r="J1050" s="66"/>
      <c r="K1050" s="66"/>
      <c r="L1050" s="66"/>
      <c r="M1050" s="66"/>
      <c r="N1050" s="66"/>
      <c r="O1050" s="19"/>
      <c r="P1050" s="22"/>
      <c r="Q1050" s="22"/>
      <c r="R1050" s="22"/>
    </row>
    <row r="1051" hidden="1">
      <c r="A1051" s="93"/>
      <c r="B1051" s="66"/>
      <c r="C1051" s="66"/>
      <c r="D1051" s="66"/>
      <c r="E1051" s="66"/>
      <c r="F1051" s="66"/>
      <c r="G1051" s="66"/>
      <c r="H1051" s="66"/>
      <c r="I1051" s="66"/>
      <c r="J1051" s="66"/>
      <c r="K1051" s="66"/>
      <c r="L1051" s="66"/>
      <c r="M1051" s="66"/>
      <c r="N1051" s="66"/>
      <c r="O1051" s="19"/>
      <c r="P1051" s="22"/>
      <c r="Q1051" s="22"/>
      <c r="R1051" s="22"/>
    </row>
    <row r="1052" hidden="1">
      <c r="A1052" s="93"/>
      <c r="B1052" s="66"/>
      <c r="C1052" s="66"/>
      <c r="D1052" s="66"/>
      <c r="E1052" s="66"/>
      <c r="F1052" s="66"/>
      <c r="G1052" s="66"/>
      <c r="H1052" s="66"/>
      <c r="I1052" s="66"/>
      <c r="J1052" s="66"/>
      <c r="K1052" s="66"/>
      <c r="L1052" s="66"/>
      <c r="M1052" s="66"/>
      <c r="N1052" s="66"/>
      <c r="O1052" s="19"/>
      <c r="P1052" s="22"/>
      <c r="Q1052" s="22"/>
      <c r="R1052" s="22"/>
    </row>
    <row r="1053" hidden="1">
      <c r="A1053" s="93"/>
      <c r="B1053" s="66"/>
      <c r="C1053" s="66"/>
      <c r="D1053" s="66"/>
      <c r="E1053" s="66"/>
      <c r="F1053" s="66"/>
      <c r="G1053" s="66"/>
      <c r="H1053" s="66"/>
      <c r="I1053" s="66"/>
      <c r="J1053" s="66"/>
      <c r="K1053" s="66"/>
      <c r="L1053" s="66"/>
      <c r="M1053" s="66"/>
      <c r="N1053" s="66"/>
      <c r="O1053" s="19"/>
      <c r="P1053" s="22"/>
      <c r="Q1053" s="22"/>
      <c r="R1053" s="22"/>
    </row>
    <row r="1054" hidden="1">
      <c r="A1054" s="93"/>
      <c r="B1054" s="66"/>
      <c r="C1054" s="66"/>
      <c r="D1054" s="66"/>
      <c r="E1054" s="66"/>
      <c r="F1054" s="66"/>
      <c r="G1054" s="66"/>
      <c r="H1054" s="66"/>
      <c r="I1054" s="66"/>
      <c r="J1054" s="66"/>
      <c r="K1054" s="66"/>
      <c r="L1054" s="66"/>
      <c r="M1054" s="66"/>
      <c r="N1054" s="66"/>
      <c r="O1054" s="19"/>
      <c r="P1054" s="22"/>
      <c r="Q1054" s="22"/>
      <c r="R1054" s="22"/>
    </row>
    <row r="1055" hidden="1">
      <c r="A1055" s="93"/>
      <c r="B1055" s="66"/>
      <c r="C1055" s="66"/>
      <c r="D1055" s="66"/>
      <c r="E1055" s="66"/>
      <c r="F1055" s="66"/>
      <c r="G1055" s="66"/>
      <c r="H1055" s="66"/>
      <c r="I1055" s="66"/>
      <c r="J1055" s="66"/>
      <c r="K1055" s="66"/>
      <c r="L1055" s="66"/>
      <c r="M1055" s="66"/>
      <c r="N1055" s="66"/>
      <c r="O1055" s="19"/>
      <c r="P1055" s="22"/>
      <c r="Q1055" s="22"/>
      <c r="R1055" s="22"/>
    </row>
    <row r="1056" hidden="1">
      <c r="A1056" s="93"/>
      <c r="B1056" s="66"/>
      <c r="C1056" s="66"/>
      <c r="D1056" s="66"/>
      <c r="E1056" s="66"/>
      <c r="F1056" s="66"/>
      <c r="G1056" s="66"/>
      <c r="H1056" s="66"/>
      <c r="I1056" s="66"/>
      <c r="J1056" s="66"/>
      <c r="K1056" s="66"/>
      <c r="L1056" s="66"/>
      <c r="M1056" s="66"/>
      <c r="N1056" s="66"/>
      <c r="O1056" s="19"/>
      <c r="P1056" s="22"/>
      <c r="Q1056" s="22"/>
      <c r="R1056" s="22"/>
    </row>
    <row r="1057" hidden="1">
      <c r="A1057" s="93"/>
      <c r="B1057" s="66"/>
      <c r="C1057" s="66"/>
      <c r="D1057" s="66"/>
      <c r="E1057" s="66"/>
      <c r="F1057" s="66"/>
      <c r="G1057" s="66"/>
      <c r="H1057" s="66"/>
      <c r="I1057" s="66"/>
      <c r="J1057" s="66"/>
      <c r="K1057" s="66"/>
      <c r="L1057" s="66"/>
      <c r="M1057" s="66"/>
      <c r="N1057" s="66"/>
      <c r="O1057" s="19"/>
      <c r="P1057" s="22"/>
      <c r="Q1057" s="22"/>
      <c r="R1057" s="22"/>
    </row>
    <row r="1058" hidden="1">
      <c r="A1058" s="93"/>
      <c r="B1058" s="66"/>
      <c r="C1058" s="66"/>
      <c r="D1058" s="66"/>
      <c r="E1058" s="66"/>
      <c r="F1058" s="66"/>
      <c r="G1058" s="66"/>
      <c r="H1058" s="66"/>
      <c r="I1058" s="66"/>
      <c r="J1058" s="66"/>
      <c r="K1058" s="66"/>
      <c r="L1058" s="66"/>
      <c r="M1058" s="66"/>
      <c r="N1058" s="66"/>
      <c r="O1058" s="19"/>
      <c r="P1058" s="22"/>
      <c r="Q1058" s="22"/>
      <c r="R1058" s="22"/>
    </row>
    <row r="1059" hidden="1">
      <c r="A1059" s="93"/>
      <c r="B1059" s="66"/>
      <c r="C1059" s="66"/>
      <c r="D1059" s="66"/>
      <c r="E1059" s="66"/>
      <c r="F1059" s="66"/>
      <c r="G1059" s="66"/>
      <c r="H1059" s="66"/>
      <c r="I1059" s="66"/>
      <c r="J1059" s="66"/>
      <c r="K1059" s="66"/>
      <c r="L1059" s="66"/>
      <c r="M1059" s="66"/>
      <c r="N1059" s="66"/>
      <c r="O1059" s="19"/>
      <c r="P1059" s="22"/>
      <c r="Q1059" s="22"/>
      <c r="R1059" s="22"/>
    </row>
    <row r="1060" hidden="1">
      <c r="A1060" s="93"/>
      <c r="B1060" s="66"/>
      <c r="C1060" s="66"/>
      <c r="D1060" s="66"/>
      <c r="E1060" s="66"/>
      <c r="F1060" s="66"/>
      <c r="G1060" s="66"/>
      <c r="H1060" s="66"/>
      <c r="I1060" s="66"/>
      <c r="J1060" s="66"/>
      <c r="K1060" s="66"/>
      <c r="L1060" s="66"/>
      <c r="M1060" s="66"/>
      <c r="N1060" s="66"/>
      <c r="O1060" s="19"/>
      <c r="P1060" s="22"/>
      <c r="Q1060" s="22"/>
      <c r="R1060" s="22"/>
    </row>
    <row r="1061" hidden="1">
      <c r="A1061" s="93"/>
      <c r="B1061" s="66"/>
      <c r="C1061" s="66"/>
      <c r="D1061" s="66"/>
      <c r="E1061" s="66"/>
      <c r="F1061" s="66"/>
      <c r="G1061" s="66"/>
      <c r="H1061" s="66"/>
      <c r="I1061" s="66"/>
      <c r="J1061" s="66"/>
      <c r="K1061" s="66"/>
      <c r="L1061" s="66"/>
      <c r="M1061" s="66"/>
      <c r="N1061" s="66"/>
      <c r="O1061" s="19"/>
      <c r="P1061" s="22"/>
      <c r="Q1061" s="22"/>
      <c r="R1061" s="22"/>
    </row>
    <row r="1062" hidden="1">
      <c r="A1062" s="93"/>
      <c r="B1062" s="66"/>
      <c r="C1062" s="66"/>
      <c r="D1062" s="66"/>
      <c r="E1062" s="66"/>
      <c r="F1062" s="66"/>
      <c r="G1062" s="66"/>
      <c r="H1062" s="66"/>
      <c r="I1062" s="66"/>
      <c r="J1062" s="66"/>
      <c r="K1062" s="66"/>
      <c r="L1062" s="66"/>
      <c r="M1062" s="66"/>
      <c r="N1062" s="66"/>
      <c r="O1062" s="19"/>
      <c r="P1062" s="22"/>
      <c r="Q1062" s="22"/>
      <c r="R1062" s="22"/>
    </row>
    <row r="1063" hidden="1">
      <c r="A1063" s="93"/>
      <c r="B1063" s="66"/>
      <c r="C1063" s="66"/>
      <c r="D1063" s="66"/>
      <c r="E1063" s="66"/>
      <c r="F1063" s="66"/>
      <c r="G1063" s="66"/>
      <c r="H1063" s="66"/>
      <c r="I1063" s="66"/>
      <c r="J1063" s="66"/>
      <c r="K1063" s="66"/>
      <c r="L1063" s="66"/>
      <c r="M1063" s="66"/>
      <c r="N1063" s="66"/>
      <c r="O1063" s="19"/>
      <c r="P1063" s="22"/>
      <c r="Q1063" s="22"/>
      <c r="R1063" s="22"/>
    </row>
    <row r="1064" hidden="1">
      <c r="A1064" s="93"/>
      <c r="B1064" s="66"/>
      <c r="C1064" s="66"/>
      <c r="D1064" s="66"/>
      <c r="E1064" s="66"/>
      <c r="F1064" s="66"/>
      <c r="G1064" s="66"/>
      <c r="H1064" s="66"/>
      <c r="I1064" s="66"/>
      <c r="J1064" s="66"/>
      <c r="K1064" s="66"/>
      <c r="L1064" s="66"/>
      <c r="M1064" s="66"/>
      <c r="N1064" s="66"/>
      <c r="O1064" s="19"/>
      <c r="P1064" s="22"/>
      <c r="Q1064" s="22"/>
      <c r="R1064" s="22"/>
    </row>
    <row r="1065" hidden="1">
      <c r="A1065" s="93"/>
      <c r="B1065" s="66"/>
      <c r="C1065" s="66"/>
      <c r="D1065" s="66"/>
      <c r="E1065" s="66"/>
      <c r="F1065" s="66"/>
      <c r="G1065" s="66"/>
      <c r="H1065" s="66"/>
      <c r="I1065" s="66"/>
      <c r="J1065" s="66"/>
      <c r="K1065" s="66"/>
      <c r="L1065" s="66"/>
      <c r="M1065" s="66"/>
      <c r="N1065" s="66"/>
      <c r="O1065" s="19"/>
      <c r="P1065" s="22"/>
      <c r="Q1065" s="22"/>
      <c r="R1065" s="22"/>
    </row>
    <row r="1066" hidden="1">
      <c r="A1066" s="93"/>
      <c r="B1066" s="66"/>
      <c r="C1066" s="66"/>
      <c r="D1066" s="66"/>
      <c r="E1066" s="66"/>
      <c r="F1066" s="66"/>
      <c r="G1066" s="66"/>
      <c r="H1066" s="66"/>
      <c r="I1066" s="66"/>
      <c r="J1066" s="66"/>
      <c r="K1066" s="66"/>
      <c r="L1066" s="66"/>
      <c r="M1066" s="66"/>
      <c r="N1066" s="66"/>
      <c r="O1066" s="19"/>
      <c r="P1066" s="22"/>
      <c r="Q1066" s="22"/>
      <c r="R1066" s="22"/>
    </row>
    <row r="1067" hidden="1">
      <c r="A1067" s="93"/>
      <c r="B1067" s="66"/>
      <c r="C1067" s="66"/>
      <c r="D1067" s="66"/>
      <c r="E1067" s="66"/>
      <c r="F1067" s="66"/>
      <c r="G1067" s="66"/>
      <c r="H1067" s="66"/>
      <c r="I1067" s="66"/>
      <c r="J1067" s="66"/>
      <c r="K1067" s="66"/>
      <c r="L1067" s="66"/>
      <c r="M1067" s="66"/>
      <c r="N1067" s="66"/>
      <c r="O1067" s="19"/>
      <c r="P1067" s="22"/>
      <c r="Q1067" s="22"/>
      <c r="R1067" s="22"/>
    </row>
    <row r="1068" hidden="1">
      <c r="A1068" s="93"/>
      <c r="B1068" s="66"/>
      <c r="C1068" s="66"/>
      <c r="D1068" s="66"/>
      <c r="E1068" s="66"/>
      <c r="F1068" s="66"/>
      <c r="G1068" s="66"/>
      <c r="H1068" s="66"/>
      <c r="I1068" s="66"/>
      <c r="J1068" s="66"/>
      <c r="K1068" s="66"/>
      <c r="L1068" s="66"/>
      <c r="M1068" s="66"/>
      <c r="N1068" s="66"/>
      <c r="O1068" s="19"/>
      <c r="P1068" s="22"/>
      <c r="Q1068" s="22"/>
      <c r="R1068" s="22"/>
    </row>
    <row r="1069" hidden="1">
      <c r="A1069" s="93"/>
      <c r="B1069" s="48"/>
      <c r="C1069" s="48"/>
      <c r="D1069" s="48"/>
      <c r="E1069" s="48"/>
      <c r="F1069" s="48"/>
      <c r="G1069" s="48"/>
      <c r="H1069" s="48"/>
      <c r="I1069" s="48"/>
      <c r="J1069" s="48"/>
      <c r="K1069" s="66"/>
      <c r="L1069" s="66"/>
      <c r="M1069" s="66"/>
      <c r="N1069" s="66"/>
      <c r="O1069" s="19"/>
      <c r="P1069" s="22"/>
      <c r="Q1069" s="22"/>
      <c r="R1069" s="22"/>
    </row>
    <row r="1070" hidden="1">
      <c r="A1070" s="93"/>
      <c r="B1070" s="48"/>
      <c r="C1070" s="48"/>
      <c r="D1070" s="48"/>
      <c r="E1070" s="48"/>
      <c r="F1070" s="48"/>
      <c r="G1070" s="48"/>
      <c r="H1070" s="48"/>
      <c r="I1070" s="48"/>
      <c r="J1070" s="48"/>
      <c r="K1070" s="66"/>
      <c r="L1070" s="66"/>
      <c r="M1070" s="66"/>
      <c r="N1070" s="66"/>
      <c r="O1070" s="19"/>
      <c r="P1070" s="22"/>
      <c r="Q1070" s="22"/>
      <c r="R1070" s="22"/>
    </row>
    <row r="1071" hidden="1">
      <c r="A1071" s="93"/>
      <c r="B1071" s="48"/>
      <c r="C1071" s="48"/>
      <c r="D1071" s="48"/>
      <c r="E1071" s="48"/>
      <c r="F1071" s="48"/>
      <c r="G1071" s="48"/>
      <c r="H1071" s="48"/>
      <c r="I1071" s="48"/>
      <c r="J1071" s="48"/>
      <c r="K1071" s="66"/>
      <c r="L1071" s="66"/>
      <c r="M1071" s="66"/>
      <c r="N1071" s="66"/>
      <c r="O1071" s="19"/>
      <c r="P1071" s="22"/>
      <c r="Q1071" s="22"/>
      <c r="R1071" s="22"/>
    </row>
  </sheetData>
  <mergeCells count="184">
    <mergeCell ref="E8:E10"/>
    <mergeCell ref="F8:F10"/>
    <mergeCell ref="E14:E16"/>
    <mergeCell ref="F14:F16"/>
    <mergeCell ref="F17:F19"/>
    <mergeCell ref="G8:G10"/>
    <mergeCell ref="H8:H10"/>
    <mergeCell ref="G11:G13"/>
    <mergeCell ref="H11:H13"/>
    <mergeCell ref="H14:H16"/>
    <mergeCell ref="I14:I16"/>
    <mergeCell ref="G17:G19"/>
    <mergeCell ref="L5:L7"/>
    <mergeCell ref="M5:M7"/>
    <mergeCell ref="N5:N7"/>
    <mergeCell ref="I8:I10"/>
    <mergeCell ref="J8:J10"/>
    <mergeCell ref="J11:J13"/>
    <mergeCell ref="K11:K13"/>
    <mergeCell ref="L11:L13"/>
    <mergeCell ref="M11:M13"/>
    <mergeCell ref="N11:N13"/>
    <mergeCell ref="K8:K10"/>
    <mergeCell ref="L8:L10"/>
    <mergeCell ref="M8:M10"/>
    <mergeCell ref="N8:N10"/>
    <mergeCell ref="P11:Q11"/>
    <mergeCell ref="B5:B7"/>
    <mergeCell ref="F5:F7"/>
    <mergeCell ref="G5:G7"/>
    <mergeCell ref="I5:I7"/>
    <mergeCell ref="J5:J7"/>
    <mergeCell ref="K5:K7"/>
    <mergeCell ref="B8:B10"/>
    <mergeCell ref="K14:K16"/>
    <mergeCell ref="L14:L16"/>
    <mergeCell ref="M14:M16"/>
    <mergeCell ref="N14:N16"/>
    <mergeCell ref="J14:J16"/>
    <mergeCell ref="J17:J19"/>
    <mergeCell ref="K17:K19"/>
    <mergeCell ref="L17:L19"/>
    <mergeCell ref="M17:M19"/>
    <mergeCell ref="N17:N19"/>
    <mergeCell ref="D5:D7"/>
    <mergeCell ref="D8:D10"/>
    <mergeCell ref="B11:B13"/>
    <mergeCell ref="D11:D13"/>
    <mergeCell ref="B14:B16"/>
    <mergeCell ref="D14:D16"/>
    <mergeCell ref="D17:D19"/>
    <mergeCell ref="D20:D22"/>
    <mergeCell ref="G26:G28"/>
    <mergeCell ref="K26:K28"/>
    <mergeCell ref="L26:L28"/>
    <mergeCell ref="M26:M28"/>
    <mergeCell ref="N26:N28"/>
    <mergeCell ref="L29:L31"/>
    <mergeCell ref="M29:M31"/>
    <mergeCell ref="N29:N31"/>
    <mergeCell ref="E26:E28"/>
    <mergeCell ref="F26:F28"/>
    <mergeCell ref="E32:E34"/>
    <mergeCell ref="F32:F34"/>
    <mergeCell ref="G32:G34"/>
    <mergeCell ref="H32:H34"/>
    <mergeCell ref="I32:I34"/>
    <mergeCell ref="D23:D25"/>
    <mergeCell ref="D26:D28"/>
    <mergeCell ref="B29:B31"/>
    <mergeCell ref="D29:D31"/>
    <mergeCell ref="B32:B34"/>
    <mergeCell ref="D32:D34"/>
    <mergeCell ref="D35:D37"/>
    <mergeCell ref="E53:E55"/>
    <mergeCell ref="F53:F55"/>
    <mergeCell ref="B56:B58"/>
    <mergeCell ref="B59:B61"/>
    <mergeCell ref="B35:B37"/>
    <mergeCell ref="B38:B40"/>
    <mergeCell ref="B41:B43"/>
    <mergeCell ref="B44:B46"/>
    <mergeCell ref="B47:B49"/>
    <mergeCell ref="B50:B52"/>
    <mergeCell ref="B53:B55"/>
    <mergeCell ref="D56:D58"/>
    <mergeCell ref="D59:D61"/>
    <mergeCell ref="F59:F61"/>
    <mergeCell ref="D41:D43"/>
    <mergeCell ref="D44:D46"/>
    <mergeCell ref="D47:D49"/>
    <mergeCell ref="E47:E49"/>
    <mergeCell ref="D50:D52"/>
    <mergeCell ref="E50:E52"/>
    <mergeCell ref="D53:D55"/>
    <mergeCell ref="M38:M40"/>
    <mergeCell ref="N38:N40"/>
    <mergeCell ref="D38:D40"/>
    <mergeCell ref="E38:E40"/>
    <mergeCell ref="G38:G40"/>
    <mergeCell ref="H38:H40"/>
    <mergeCell ref="J38:J40"/>
    <mergeCell ref="K38:K40"/>
    <mergeCell ref="L38:L40"/>
    <mergeCell ref="J44:J46"/>
    <mergeCell ref="J47:J49"/>
    <mergeCell ref="J53:J55"/>
    <mergeCell ref="J56:J58"/>
    <mergeCell ref="J59:J61"/>
    <mergeCell ref="M47:M49"/>
    <mergeCell ref="N47:N49"/>
    <mergeCell ref="I44:I46"/>
    <mergeCell ref="K44:K46"/>
    <mergeCell ref="L44:L46"/>
    <mergeCell ref="M44:M46"/>
    <mergeCell ref="N44:N46"/>
    <mergeCell ref="G47:G49"/>
    <mergeCell ref="H47:H49"/>
    <mergeCell ref="H50:H52"/>
    <mergeCell ref="H53:H55"/>
    <mergeCell ref="G59:G61"/>
    <mergeCell ref="I59:I61"/>
    <mergeCell ref="G50:G52"/>
    <mergeCell ref="I50:I52"/>
    <mergeCell ref="J50:J52"/>
    <mergeCell ref="K50:K52"/>
    <mergeCell ref="L50:L52"/>
    <mergeCell ref="M50:M52"/>
    <mergeCell ref="N50:N52"/>
    <mergeCell ref="L56:L58"/>
    <mergeCell ref="M56:M58"/>
    <mergeCell ref="K56:K58"/>
    <mergeCell ref="K59:K61"/>
    <mergeCell ref="L59:L61"/>
    <mergeCell ref="M59:M61"/>
    <mergeCell ref="N59:N61"/>
    <mergeCell ref="K47:K49"/>
    <mergeCell ref="L47:L49"/>
    <mergeCell ref="K53:K55"/>
    <mergeCell ref="L53:L55"/>
    <mergeCell ref="M53:M55"/>
    <mergeCell ref="N53:N55"/>
    <mergeCell ref="N56:N58"/>
    <mergeCell ref="M20:M22"/>
    <mergeCell ref="N20:N22"/>
    <mergeCell ref="B17:B19"/>
    <mergeCell ref="B20:B22"/>
    <mergeCell ref="F20:F22"/>
    <mergeCell ref="G20:G22"/>
    <mergeCell ref="I20:I22"/>
    <mergeCell ref="K20:K22"/>
    <mergeCell ref="L20:L22"/>
    <mergeCell ref="J23:J25"/>
    <mergeCell ref="K23:K25"/>
    <mergeCell ref="L23:L25"/>
    <mergeCell ref="M23:M25"/>
    <mergeCell ref="N23:N25"/>
    <mergeCell ref="B23:B25"/>
    <mergeCell ref="E23:E25"/>
    <mergeCell ref="F23:F25"/>
    <mergeCell ref="G23:G25"/>
    <mergeCell ref="H23:H25"/>
    <mergeCell ref="I23:I25"/>
    <mergeCell ref="B26:B28"/>
    <mergeCell ref="J32:J34"/>
    <mergeCell ref="K32:K34"/>
    <mergeCell ref="L32:L34"/>
    <mergeCell ref="M32:M34"/>
    <mergeCell ref="N32:N34"/>
    <mergeCell ref="E35:E37"/>
    <mergeCell ref="F35:F37"/>
    <mergeCell ref="I35:I37"/>
    <mergeCell ref="J35:J37"/>
    <mergeCell ref="K35:K37"/>
    <mergeCell ref="L35:L37"/>
    <mergeCell ref="M35:M37"/>
    <mergeCell ref="N35:N37"/>
    <mergeCell ref="H41:H43"/>
    <mergeCell ref="I41:I43"/>
    <mergeCell ref="J41:J43"/>
    <mergeCell ref="K41:K43"/>
    <mergeCell ref="L41:L43"/>
    <mergeCell ref="M41:M43"/>
    <mergeCell ref="N41:N43"/>
  </mergeCells>
  <conditionalFormatting sqref="A3:R1071">
    <cfRule type="expression" dxfId="0" priority="1">
      <formula>($B3&lt;&gt;"")*($D3="")</formula>
    </cfRule>
  </conditionalFormatting>
  <conditionalFormatting sqref="N1:N61 E5:K61 O17:O22 N63:N68 L66:L68 I69:J69 N71:N1071 J73:J1071">
    <cfRule type="cellIs" dxfId="1" priority="2" operator="lessThan">
      <formula>0</formula>
    </cfRule>
  </conditionalFormatting>
  <conditionalFormatting sqref="N5:N61">
    <cfRule type="cellIs" dxfId="2" priority="3" operator="greaterThanOrEqual">
      <formula>0</formula>
    </cfRule>
  </conditionalFormatting>
  <hyperlinks>
    <hyperlink r:id="rId1" location="gid=1619821413" ref="B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.13"/>
    <col customWidth="1" min="2" max="2" width="28.0"/>
    <col customWidth="1" min="3" max="3" width="5.75"/>
    <col customWidth="1" min="5" max="5" width="24.5"/>
    <col customWidth="1" min="6" max="6" width="25.0"/>
    <col customWidth="1" min="7" max="7" width="30.63"/>
    <col customWidth="1" min="8" max="8" width="27.63"/>
    <col customWidth="1" min="9" max="9" width="28.0"/>
    <col customWidth="1" min="10" max="10" width="28.75"/>
    <col customWidth="1" min="11" max="11" width="24.5"/>
    <col customWidth="1" min="12" max="12" width="20.25"/>
    <col customWidth="1" min="13" max="13" width="10.5"/>
    <col customWidth="1" min="14" max="14" width="15.88"/>
    <col customWidth="1" min="15" max="18" width="28.25"/>
  </cols>
  <sheetData>
    <row r="1">
      <c r="A1" s="1"/>
      <c r="B1" s="2" t="s">
        <v>0</v>
      </c>
      <c r="C1" s="3"/>
      <c r="D1" s="4"/>
      <c r="E1" s="4"/>
      <c r="F1" s="4"/>
      <c r="G1" s="4"/>
      <c r="H1" s="4"/>
      <c r="I1" s="4"/>
      <c r="J1" s="4"/>
      <c r="K1" s="4"/>
      <c r="L1" s="4"/>
      <c r="M1" s="5"/>
      <c r="N1" s="6"/>
      <c r="O1" s="4"/>
      <c r="P1" s="4"/>
      <c r="Q1" s="4"/>
      <c r="R1" s="4"/>
    </row>
    <row r="2">
      <c r="A2" s="4"/>
      <c r="B2" s="7" t="s">
        <v>1</v>
      </c>
      <c r="C2" s="7"/>
      <c r="D2" s="7" t="s">
        <v>2</v>
      </c>
      <c r="E2" s="8">
        <v>46118.0</v>
      </c>
      <c r="F2" s="8">
        <f t="shared" ref="F2:K2" si="1">E2+1</f>
        <v>46119</v>
      </c>
      <c r="G2" s="8">
        <f t="shared" si="1"/>
        <v>46120</v>
      </c>
      <c r="H2" s="8">
        <f t="shared" si="1"/>
        <v>46121</v>
      </c>
      <c r="I2" s="8">
        <f t="shared" si="1"/>
        <v>46122</v>
      </c>
      <c r="J2" s="8">
        <f t="shared" si="1"/>
        <v>46123</v>
      </c>
      <c r="K2" s="8">
        <f t="shared" si="1"/>
        <v>46124</v>
      </c>
      <c r="L2" s="7"/>
      <c r="M2" s="9" t="s">
        <v>3</v>
      </c>
      <c r="N2" s="10" t="s">
        <v>4</v>
      </c>
      <c r="O2" s="11" t="s">
        <v>5</v>
      </c>
      <c r="P2" s="11"/>
      <c r="Q2" s="11"/>
      <c r="R2" s="11"/>
    </row>
    <row r="3" ht="15.0" customHeight="1">
      <c r="A3" s="12"/>
      <c r="B3" s="13" t="s">
        <v>6</v>
      </c>
      <c r="C3" s="13"/>
      <c r="D3" s="14"/>
      <c r="E3" s="15" t="s">
        <v>7</v>
      </c>
      <c r="F3" s="15" t="s">
        <v>8</v>
      </c>
      <c r="G3" s="15" t="s">
        <v>9</v>
      </c>
      <c r="H3" s="15" t="s">
        <v>10</v>
      </c>
      <c r="I3" s="15" t="s">
        <v>11</v>
      </c>
      <c r="J3" s="15" t="s">
        <v>12</v>
      </c>
      <c r="K3" s="15" t="s">
        <v>13</v>
      </c>
      <c r="L3" s="14"/>
      <c r="M3" s="16"/>
      <c r="N3" s="16"/>
      <c r="O3" s="12"/>
      <c r="P3" s="12"/>
      <c r="Q3" s="12"/>
      <c r="R3" s="12"/>
    </row>
    <row r="4">
      <c r="A4" s="12"/>
      <c r="B4" s="17"/>
      <c r="C4" s="17"/>
      <c r="D4" s="18"/>
      <c r="E4" s="19"/>
      <c r="F4" s="19"/>
      <c r="G4" s="19"/>
      <c r="H4" s="19"/>
      <c r="I4" s="20" t="s">
        <v>14</v>
      </c>
      <c r="J4" s="20"/>
      <c r="K4" s="20"/>
      <c r="L4" s="21"/>
      <c r="M4" s="19"/>
      <c r="N4" s="19"/>
      <c r="O4" s="21"/>
      <c r="P4" s="22"/>
      <c r="Q4" s="22"/>
      <c r="R4" s="22"/>
    </row>
    <row r="5">
      <c r="A5" s="12"/>
      <c r="B5" s="23" t="s">
        <v>15</v>
      </c>
      <c r="C5" s="24" t="s">
        <v>16</v>
      </c>
      <c r="D5" s="25" t="s">
        <v>17</v>
      </c>
      <c r="E5" s="26">
        <v>8000.0</v>
      </c>
      <c r="F5" s="27" t="s">
        <v>135</v>
      </c>
      <c r="G5" s="27" t="s">
        <v>135</v>
      </c>
      <c r="H5" s="97" t="s">
        <v>133</v>
      </c>
      <c r="I5" s="26">
        <v>7000.0</v>
      </c>
      <c r="J5" s="27" t="s">
        <v>135</v>
      </c>
      <c r="K5" s="27" t="s">
        <v>135</v>
      </c>
      <c r="L5" s="29" t="b">
        <v>0</v>
      </c>
      <c r="M5" s="30">
        <f>SUM(E5:L5)</f>
        <v>15000</v>
      </c>
      <c r="N5" s="31">
        <f>M5-8000</f>
        <v>7000</v>
      </c>
      <c r="O5" s="32"/>
      <c r="P5" s="33"/>
      <c r="Q5" s="34"/>
      <c r="R5" s="34"/>
    </row>
    <row r="6">
      <c r="A6" s="12"/>
      <c r="B6" s="35"/>
      <c r="C6" s="24" t="s">
        <v>5</v>
      </c>
      <c r="D6" s="36"/>
      <c r="E6" s="37">
        <v>3089.0</v>
      </c>
      <c r="H6" s="99"/>
      <c r="I6" s="37">
        <v>3068.0</v>
      </c>
      <c r="N6" s="36"/>
      <c r="O6" s="38">
        <f>SUM(E6:K6)</f>
        <v>6157</v>
      </c>
      <c r="P6" s="33"/>
      <c r="Q6" s="34"/>
      <c r="R6" s="34"/>
    </row>
    <row r="7">
      <c r="A7" s="12"/>
      <c r="B7" s="39"/>
      <c r="C7" s="24" t="s">
        <v>20</v>
      </c>
      <c r="D7" s="40"/>
      <c r="E7" s="17" t="s">
        <v>184</v>
      </c>
      <c r="H7" s="100"/>
      <c r="I7" s="17" t="s">
        <v>185</v>
      </c>
      <c r="L7" s="41"/>
      <c r="M7" s="41"/>
      <c r="N7" s="40"/>
      <c r="O7" s="43">
        <f>M5/O6</f>
        <v>2.436251421</v>
      </c>
      <c r="P7" s="33"/>
      <c r="Q7" s="34"/>
      <c r="R7" s="34"/>
    </row>
    <row r="8">
      <c r="A8" s="12"/>
      <c r="B8" s="23" t="s">
        <v>25</v>
      </c>
      <c r="C8" s="24" t="s">
        <v>16</v>
      </c>
      <c r="D8" s="25" t="s">
        <v>26</v>
      </c>
      <c r="E8" s="26">
        <v>2900.0</v>
      </c>
      <c r="F8" s="27" t="s">
        <v>135</v>
      </c>
      <c r="G8" s="26">
        <v>1400.0</v>
      </c>
      <c r="H8" s="26">
        <v>2125.0</v>
      </c>
      <c r="I8" s="28" t="s">
        <v>62</v>
      </c>
      <c r="J8" s="26">
        <v>3000.0</v>
      </c>
      <c r="K8" s="27" t="s">
        <v>135</v>
      </c>
      <c r="L8" s="29" t="b">
        <v>0</v>
      </c>
      <c r="M8" s="30">
        <f>SUM(E8:L8)</f>
        <v>9425</v>
      </c>
      <c r="N8" s="31">
        <f>M8-7000</f>
        <v>2425</v>
      </c>
      <c r="O8" s="32"/>
      <c r="P8" s="33"/>
      <c r="Q8" s="34"/>
      <c r="R8" s="34"/>
    </row>
    <row r="9">
      <c r="A9" s="12"/>
      <c r="B9" s="35"/>
      <c r="C9" s="24" t="s">
        <v>5</v>
      </c>
      <c r="D9" s="36"/>
      <c r="E9" s="37">
        <f>140+939</f>
        <v>1079</v>
      </c>
      <c r="G9" s="37">
        <f>80+245</f>
        <v>325</v>
      </c>
      <c r="H9" s="37">
        <v>908.0</v>
      </c>
      <c r="J9" s="37">
        <f>144+877</f>
        <v>1021</v>
      </c>
      <c r="N9" s="36"/>
      <c r="O9" s="38">
        <f>SUM(E9:K9)</f>
        <v>3333</v>
      </c>
      <c r="P9" s="33"/>
      <c r="Q9" s="34"/>
      <c r="R9" s="34"/>
    </row>
    <row r="10">
      <c r="A10" s="12"/>
      <c r="B10" s="39"/>
      <c r="C10" s="24" t="s">
        <v>20</v>
      </c>
      <c r="D10" s="40"/>
      <c r="E10" s="17" t="s">
        <v>186</v>
      </c>
      <c r="G10" s="17" t="s">
        <v>187</v>
      </c>
      <c r="H10" s="17" t="s">
        <v>188</v>
      </c>
      <c r="J10" s="17" t="s">
        <v>189</v>
      </c>
      <c r="L10" s="41"/>
      <c r="M10" s="41"/>
      <c r="N10" s="40"/>
      <c r="O10" s="43">
        <f>M8/O9</f>
        <v>2.827782778</v>
      </c>
      <c r="P10" s="33"/>
      <c r="Q10" s="34"/>
      <c r="R10" s="34"/>
    </row>
    <row r="11">
      <c r="A11" s="12"/>
      <c r="B11" s="23" t="s">
        <v>29</v>
      </c>
      <c r="C11" s="24" t="s">
        <v>16</v>
      </c>
      <c r="D11" s="25" t="s">
        <v>30</v>
      </c>
      <c r="E11" s="26">
        <v>3400.0</v>
      </c>
      <c r="F11" s="27" t="s">
        <v>135</v>
      </c>
      <c r="G11" s="26">
        <v>1900.0</v>
      </c>
      <c r="H11" s="26">
        <v>1700.0</v>
      </c>
      <c r="I11" s="27" t="s">
        <v>135</v>
      </c>
      <c r="J11" s="26">
        <v>4300.0</v>
      </c>
      <c r="K11" s="27" t="s">
        <v>135</v>
      </c>
      <c r="L11" s="29" t="b">
        <v>0</v>
      </c>
      <c r="M11" s="30">
        <f>SUM(E11:L11)</f>
        <v>11300</v>
      </c>
      <c r="N11" s="31">
        <f>M11-7000</f>
        <v>4300</v>
      </c>
      <c r="O11" s="32"/>
      <c r="P11" s="45"/>
      <c r="R11" s="46"/>
    </row>
    <row r="12">
      <c r="A12" s="12"/>
      <c r="B12" s="35"/>
      <c r="C12" s="24" t="s">
        <v>5</v>
      </c>
      <c r="D12" s="36"/>
      <c r="E12" s="37">
        <f>112+1204</f>
        <v>1316</v>
      </c>
      <c r="G12" s="37">
        <f>77+459</f>
        <v>536</v>
      </c>
      <c r="H12" s="37">
        <f>10+820</f>
        <v>830</v>
      </c>
      <c r="J12" s="37">
        <f>220+1407</f>
        <v>1627</v>
      </c>
      <c r="N12" s="36"/>
      <c r="O12" s="38">
        <f>SUM(E12:K12)</f>
        <v>4309</v>
      </c>
      <c r="P12" s="47"/>
      <c r="Q12" s="46"/>
      <c r="R12" s="46"/>
    </row>
    <row r="13">
      <c r="A13" s="12"/>
      <c r="B13" s="39"/>
      <c r="C13" s="24" t="s">
        <v>20</v>
      </c>
      <c r="D13" s="40"/>
      <c r="E13" s="17" t="s">
        <v>190</v>
      </c>
      <c r="G13" s="17" t="s">
        <v>191</v>
      </c>
      <c r="H13" s="17" t="s">
        <v>192</v>
      </c>
      <c r="J13" s="17" t="s">
        <v>193</v>
      </c>
      <c r="L13" s="41"/>
      <c r="M13" s="41"/>
      <c r="N13" s="40"/>
      <c r="O13" s="43">
        <f>M11/O12</f>
        <v>2.622418194</v>
      </c>
      <c r="P13" s="47"/>
      <c r="Q13" s="34"/>
      <c r="R13" s="34"/>
    </row>
    <row r="14">
      <c r="A14" s="12"/>
      <c r="B14" s="23" t="s">
        <v>34</v>
      </c>
      <c r="C14" s="24" t="s">
        <v>16</v>
      </c>
      <c r="D14" s="25" t="s">
        <v>35</v>
      </c>
      <c r="E14" s="28" t="s">
        <v>62</v>
      </c>
      <c r="F14" s="26">
        <v>1500.0</v>
      </c>
      <c r="G14" s="26">
        <v>3000.0</v>
      </c>
      <c r="H14" s="27" t="s">
        <v>135</v>
      </c>
      <c r="I14" s="26">
        <v>5000.0</v>
      </c>
      <c r="J14" s="27" t="s">
        <v>135</v>
      </c>
      <c r="K14" s="27" t="s">
        <v>135</v>
      </c>
      <c r="L14" s="29" t="b">
        <v>0</v>
      </c>
      <c r="M14" s="30">
        <f>SUM(E14:L14)</f>
        <v>9500</v>
      </c>
      <c r="N14" s="31">
        <f>M14-7000</f>
        <v>2500</v>
      </c>
      <c r="O14" s="32"/>
      <c r="P14" s="33"/>
      <c r="Q14" s="34"/>
      <c r="R14" s="34"/>
    </row>
    <row r="15">
      <c r="A15" s="12"/>
      <c r="B15" s="35"/>
      <c r="C15" s="24" t="s">
        <v>5</v>
      </c>
      <c r="D15" s="36"/>
      <c r="F15" s="37">
        <f>73+609</f>
        <v>682</v>
      </c>
      <c r="G15" s="37">
        <f>72+1353</f>
        <v>1425</v>
      </c>
      <c r="I15" s="37">
        <v>1472.0</v>
      </c>
      <c r="N15" s="36"/>
      <c r="O15" s="38">
        <f>SUM(E15:K15)</f>
        <v>3579</v>
      </c>
      <c r="P15" s="33"/>
      <c r="Q15" s="34"/>
      <c r="R15" s="34"/>
    </row>
    <row r="16">
      <c r="A16" s="12"/>
      <c r="B16" s="39"/>
      <c r="C16" s="24" t="s">
        <v>20</v>
      </c>
      <c r="D16" s="40"/>
      <c r="F16" s="17" t="s">
        <v>194</v>
      </c>
      <c r="G16" s="17" t="s">
        <v>195</v>
      </c>
      <c r="I16" s="17" t="s">
        <v>196</v>
      </c>
      <c r="L16" s="41"/>
      <c r="M16" s="41"/>
      <c r="N16" s="40"/>
      <c r="O16" s="43">
        <f>M14/O15</f>
        <v>2.65437273</v>
      </c>
      <c r="P16" s="33"/>
      <c r="Q16" s="34"/>
      <c r="R16" s="34"/>
    </row>
    <row r="17">
      <c r="A17" s="12"/>
      <c r="B17" s="23" t="s">
        <v>39</v>
      </c>
      <c r="C17" s="24" t="s">
        <v>16</v>
      </c>
      <c r="D17" s="25" t="s">
        <v>40</v>
      </c>
      <c r="E17" s="26">
        <v>3700.0</v>
      </c>
      <c r="F17" s="27" t="s">
        <v>135</v>
      </c>
      <c r="G17" s="26">
        <v>1400.0</v>
      </c>
      <c r="H17" s="26">
        <v>1700.0</v>
      </c>
      <c r="I17" s="26">
        <v>3700.0</v>
      </c>
      <c r="J17" s="27" t="s">
        <v>135</v>
      </c>
      <c r="K17" s="27" t="s">
        <v>135</v>
      </c>
      <c r="L17" s="29" t="b">
        <v>0</v>
      </c>
      <c r="M17" s="30">
        <f>SUM(E17:L17)</f>
        <v>10500</v>
      </c>
      <c r="N17" s="31">
        <f>M17-7000</f>
        <v>3500</v>
      </c>
      <c r="O17" s="32"/>
      <c r="P17" s="33"/>
      <c r="Q17" s="33"/>
      <c r="R17" s="34"/>
    </row>
    <row r="18">
      <c r="A18" s="12"/>
      <c r="B18" s="35"/>
      <c r="C18" s="24" t="s">
        <v>5</v>
      </c>
      <c r="D18" s="36"/>
      <c r="E18" s="37">
        <v>1169.0</v>
      </c>
      <c r="G18" s="37">
        <f>672</f>
        <v>672</v>
      </c>
      <c r="H18" s="37">
        <f>455</f>
        <v>455</v>
      </c>
      <c r="I18" s="37">
        <f>1188+83</f>
        <v>1271</v>
      </c>
      <c r="N18" s="36"/>
      <c r="O18" s="38">
        <f>SUM(E18:K18)</f>
        <v>3567</v>
      </c>
      <c r="P18" s="33"/>
      <c r="Q18" s="33"/>
      <c r="R18" s="34"/>
    </row>
    <row r="19">
      <c r="A19" s="12"/>
      <c r="B19" s="39"/>
      <c r="C19" s="24" t="s">
        <v>20</v>
      </c>
      <c r="D19" s="40"/>
      <c r="E19" s="17" t="s">
        <v>197</v>
      </c>
      <c r="G19" s="17" t="s">
        <v>198</v>
      </c>
      <c r="H19" s="17" t="s">
        <v>199</v>
      </c>
      <c r="I19" s="17" t="s">
        <v>200</v>
      </c>
      <c r="L19" s="41"/>
      <c r="M19" s="41"/>
      <c r="N19" s="40"/>
      <c r="O19" s="43">
        <f>M17/O18</f>
        <v>2.943650126</v>
      </c>
      <c r="P19" s="48"/>
      <c r="Q19" s="33"/>
      <c r="R19" s="34"/>
    </row>
    <row r="20">
      <c r="A20" s="12"/>
      <c r="B20" s="23" t="s">
        <v>45</v>
      </c>
      <c r="C20" s="24" t="s">
        <v>16</v>
      </c>
      <c r="D20" s="96" t="s">
        <v>46</v>
      </c>
      <c r="E20" s="97" t="s">
        <v>133</v>
      </c>
      <c r="F20" s="97" t="s">
        <v>133</v>
      </c>
      <c r="G20" s="26">
        <v>1200.0</v>
      </c>
      <c r="H20" s="26">
        <v>2500.0</v>
      </c>
      <c r="I20" s="26">
        <v>2900.0</v>
      </c>
      <c r="J20" s="27" t="s">
        <v>135</v>
      </c>
      <c r="K20" s="27" t="s">
        <v>135</v>
      </c>
      <c r="L20" s="29" t="b">
        <v>0</v>
      </c>
      <c r="M20" s="30">
        <f>SUM(E20:L20)</f>
        <v>6600</v>
      </c>
      <c r="N20" s="31">
        <f>M20-7000</f>
        <v>-400</v>
      </c>
      <c r="O20" s="32"/>
      <c r="P20" s="33"/>
      <c r="Q20" s="33"/>
      <c r="R20" s="34"/>
    </row>
    <row r="21">
      <c r="A21" s="12"/>
      <c r="B21" s="35"/>
      <c r="C21" s="24" t="s">
        <v>5</v>
      </c>
      <c r="E21" s="99"/>
      <c r="F21" s="99"/>
      <c r="G21" s="37">
        <f>662+6</f>
        <v>668</v>
      </c>
      <c r="H21" s="37">
        <f>578+66</f>
        <v>644</v>
      </c>
      <c r="I21" s="37">
        <f>1486+12</f>
        <v>1498</v>
      </c>
      <c r="N21" s="36"/>
      <c r="O21" s="38">
        <f>SUM(E21:K21)</f>
        <v>2810</v>
      </c>
      <c r="P21" s="33"/>
      <c r="Q21" s="33"/>
      <c r="R21" s="34"/>
    </row>
    <row r="22">
      <c r="A22" s="12"/>
      <c r="B22" s="39"/>
      <c r="C22" s="24" t="s">
        <v>20</v>
      </c>
      <c r="D22" s="41"/>
      <c r="E22" s="100"/>
      <c r="F22" s="100"/>
      <c r="G22" s="17" t="s">
        <v>201</v>
      </c>
      <c r="H22" s="17" t="s">
        <v>202</v>
      </c>
      <c r="I22" s="17" t="s">
        <v>203</v>
      </c>
      <c r="L22" s="41"/>
      <c r="M22" s="41"/>
      <c r="N22" s="40"/>
      <c r="O22" s="43">
        <f>M20/O21</f>
        <v>2.348754448</v>
      </c>
      <c r="P22" s="48"/>
      <c r="Q22" s="33"/>
      <c r="R22" s="34"/>
    </row>
    <row r="23">
      <c r="A23" s="12"/>
      <c r="B23" s="23" t="s">
        <v>50</v>
      </c>
      <c r="C23" s="24" t="s">
        <v>16</v>
      </c>
      <c r="D23" s="25" t="s">
        <v>51</v>
      </c>
      <c r="E23" s="101">
        <v>1600.0</v>
      </c>
      <c r="F23" s="101">
        <v>2300.0</v>
      </c>
      <c r="G23" s="26">
        <v>2465.0</v>
      </c>
      <c r="H23" s="27" t="s">
        <v>135</v>
      </c>
      <c r="I23" s="26">
        <v>3800.0</v>
      </c>
      <c r="J23" s="27" t="s">
        <v>135</v>
      </c>
      <c r="K23" s="27" t="s">
        <v>135</v>
      </c>
      <c r="L23" s="29" t="b">
        <v>0</v>
      </c>
      <c r="M23" s="30">
        <f>SUM(E23:L23)</f>
        <v>10165</v>
      </c>
      <c r="N23" s="31">
        <f>M23-7000</f>
        <v>3165</v>
      </c>
      <c r="O23" s="32"/>
      <c r="P23" s="33"/>
      <c r="Q23" s="34"/>
      <c r="R23" s="34"/>
    </row>
    <row r="24">
      <c r="A24" s="12"/>
      <c r="B24" s="35"/>
      <c r="C24" s="24" t="s">
        <v>5</v>
      </c>
      <c r="D24" s="36"/>
      <c r="E24" s="37">
        <v>659.0</v>
      </c>
      <c r="F24" s="37">
        <v>705.0</v>
      </c>
      <c r="G24" s="37">
        <v>1059.0</v>
      </c>
      <c r="I24" s="37">
        <v>1559.0</v>
      </c>
      <c r="N24" s="36"/>
      <c r="O24" s="38">
        <f>SUM(E24:K24)</f>
        <v>3982</v>
      </c>
      <c r="P24" s="48"/>
      <c r="Q24" s="34"/>
      <c r="R24" s="34"/>
    </row>
    <row r="25" ht="15.0" customHeight="1">
      <c r="A25" s="12"/>
      <c r="B25" s="39"/>
      <c r="C25" s="24" t="s">
        <v>20</v>
      </c>
      <c r="D25" s="40"/>
      <c r="E25" s="17" t="s">
        <v>204</v>
      </c>
      <c r="F25" s="17" t="s">
        <v>205</v>
      </c>
      <c r="G25" s="17" t="s">
        <v>206</v>
      </c>
      <c r="I25" s="17" t="s">
        <v>207</v>
      </c>
      <c r="L25" s="41"/>
      <c r="M25" s="41"/>
      <c r="N25" s="40"/>
      <c r="O25" s="43">
        <f>M23/O24</f>
        <v>2.552737318</v>
      </c>
      <c r="P25" s="22"/>
      <c r="Q25" s="34"/>
      <c r="R25" s="34"/>
    </row>
    <row r="26">
      <c r="A26" s="12"/>
      <c r="B26" s="23" t="s">
        <v>56</v>
      </c>
      <c r="C26" s="24" t="s">
        <v>16</v>
      </c>
      <c r="D26" s="25" t="s">
        <v>57</v>
      </c>
      <c r="E26" s="26">
        <v>2000.0</v>
      </c>
      <c r="F26" s="27" t="s">
        <v>135</v>
      </c>
      <c r="G26" s="26">
        <v>1400.0</v>
      </c>
      <c r="H26" s="104" t="s">
        <v>208</v>
      </c>
      <c r="I26" s="26">
        <v>2500.0</v>
      </c>
      <c r="J26" s="27" t="s">
        <v>135</v>
      </c>
      <c r="K26" s="26">
        <v>4500.0</v>
      </c>
      <c r="L26" s="29" t="b">
        <v>0</v>
      </c>
      <c r="M26" s="30">
        <f>SUM(E26:L26)</f>
        <v>10400</v>
      </c>
      <c r="N26" s="31">
        <f>M26-7000</f>
        <v>3400</v>
      </c>
      <c r="O26" s="32"/>
      <c r="P26" s="33"/>
      <c r="Q26" s="34"/>
      <c r="R26" s="34"/>
    </row>
    <row r="27">
      <c r="A27" s="12"/>
      <c r="B27" s="35"/>
      <c r="C27" s="24" t="s">
        <v>5</v>
      </c>
      <c r="D27" s="36"/>
      <c r="E27" s="37">
        <f>661+120</f>
        <v>781</v>
      </c>
      <c r="G27" s="37">
        <f>580+40+95</f>
        <v>715</v>
      </c>
      <c r="H27" s="99"/>
      <c r="I27" s="37">
        <f>963+138</f>
        <v>1101</v>
      </c>
      <c r="K27" s="37">
        <f>1475+52</f>
        <v>1527</v>
      </c>
      <c r="N27" s="36"/>
      <c r="O27" s="38">
        <f>SUM(E27:K27)</f>
        <v>4124</v>
      </c>
      <c r="P27" s="33"/>
      <c r="Q27" s="34"/>
      <c r="R27" s="34"/>
    </row>
    <row r="28">
      <c r="A28" s="12"/>
      <c r="B28" s="39"/>
      <c r="C28" s="24" t="s">
        <v>20</v>
      </c>
      <c r="D28" s="40"/>
      <c r="E28" s="17" t="s">
        <v>209</v>
      </c>
      <c r="G28" s="17" t="s">
        <v>210</v>
      </c>
      <c r="H28" s="100"/>
      <c r="I28" s="17" t="s">
        <v>211</v>
      </c>
      <c r="K28" s="17" t="s">
        <v>212</v>
      </c>
      <c r="L28" s="41"/>
      <c r="M28" s="41"/>
      <c r="N28" s="40"/>
      <c r="O28" s="43">
        <f>M26/O27</f>
        <v>2.521823472</v>
      </c>
      <c r="P28" s="33"/>
      <c r="Q28" s="34"/>
      <c r="R28" s="34"/>
    </row>
    <row r="29">
      <c r="A29" s="12"/>
      <c r="B29" s="23" t="s">
        <v>60</v>
      </c>
      <c r="C29" s="24" t="s">
        <v>16</v>
      </c>
      <c r="D29" s="25" t="s">
        <v>61</v>
      </c>
      <c r="E29" s="26">
        <f>775+850+850</f>
        <v>2475</v>
      </c>
      <c r="F29" s="28" t="s">
        <v>62</v>
      </c>
      <c r="G29" s="26">
        <v>1500.0</v>
      </c>
      <c r="H29" s="26">
        <f>750+750</f>
        <v>1500</v>
      </c>
      <c r="I29" s="27" t="s">
        <v>135</v>
      </c>
      <c r="J29" s="26">
        <v>2100.0</v>
      </c>
      <c r="K29" s="26">
        <v>150.0</v>
      </c>
      <c r="L29" s="29" t="b">
        <v>0</v>
      </c>
      <c r="M29" s="30">
        <f>SUM(E29:L29)</f>
        <v>7725</v>
      </c>
      <c r="N29" s="31">
        <f>M29-7000</f>
        <v>725</v>
      </c>
      <c r="O29" s="32"/>
      <c r="P29" s="33"/>
      <c r="Q29" s="34"/>
      <c r="R29" s="34"/>
    </row>
    <row r="30">
      <c r="A30" s="12"/>
      <c r="B30" s="35"/>
      <c r="C30" s="24" t="s">
        <v>5</v>
      </c>
      <c r="D30" s="36"/>
      <c r="E30" s="37">
        <f>27+27+27</f>
        <v>81</v>
      </c>
      <c r="G30" s="37">
        <f>353</f>
        <v>353</v>
      </c>
      <c r="H30" s="37">
        <f>27+27</f>
        <v>54</v>
      </c>
      <c r="J30" s="37">
        <f>27+27+27</f>
        <v>81</v>
      </c>
      <c r="K30" s="37" t="s">
        <v>213</v>
      </c>
      <c r="N30" s="36"/>
      <c r="O30" s="38">
        <f>SUM(E30:K30)</f>
        <v>569</v>
      </c>
      <c r="P30" s="33"/>
      <c r="Q30" s="34"/>
      <c r="R30" s="34"/>
    </row>
    <row r="31">
      <c r="A31" s="12"/>
      <c r="B31" s="39"/>
      <c r="C31" s="24" t="s">
        <v>20</v>
      </c>
      <c r="D31" s="40"/>
      <c r="E31" s="17" t="s">
        <v>214</v>
      </c>
      <c r="G31" s="17" t="s">
        <v>215</v>
      </c>
      <c r="H31" s="17" t="s">
        <v>216</v>
      </c>
      <c r="J31" s="17" t="s">
        <v>217</v>
      </c>
      <c r="K31" s="17" t="s">
        <v>218</v>
      </c>
      <c r="L31" s="41"/>
      <c r="M31" s="41"/>
      <c r="N31" s="40"/>
      <c r="O31" s="43">
        <f>M29/O30</f>
        <v>13.57644991</v>
      </c>
      <c r="P31" s="33"/>
      <c r="Q31" s="34"/>
      <c r="R31" s="34"/>
    </row>
    <row r="32">
      <c r="A32" s="12"/>
      <c r="B32" s="23" t="s">
        <v>219</v>
      </c>
      <c r="C32" s="24" t="s">
        <v>16</v>
      </c>
      <c r="D32" s="25" t="s">
        <v>220</v>
      </c>
      <c r="E32" s="44" t="s">
        <v>221</v>
      </c>
      <c r="F32" s="26">
        <v>3400.0</v>
      </c>
      <c r="G32" s="27" t="s">
        <v>135</v>
      </c>
      <c r="H32" s="26">
        <v>3850.0</v>
      </c>
      <c r="I32" s="27" t="s">
        <v>135</v>
      </c>
      <c r="J32" s="27" t="s">
        <v>135</v>
      </c>
      <c r="K32" s="27" t="s">
        <v>135</v>
      </c>
      <c r="L32" s="29" t="b">
        <v>0</v>
      </c>
      <c r="M32" s="30">
        <f>SUM(E32:L32)</f>
        <v>7250</v>
      </c>
      <c r="N32" s="31">
        <f>M32-7000</f>
        <v>250</v>
      </c>
      <c r="O32" s="32"/>
      <c r="P32" s="33"/>
      <c r="Q32" s="34"/>
      <c r="R32" s="34"/>
    </row>
    <row r="33">
      <c r="A33" s="12"/>
      <c r="B33" s="35"/>
      <c r="C33" s="24" t="s">
        <v>5</v>
      </c>
      <c r="D33" s="36"/>
      <c r="F33" s="37">
        <v>1087.0</v>
      </c>
      <c r="H33" s="37">
        <v>1391.0</v>
      </c>
      <c r="N33" s="36"/>
      <c r="O33" s="38">
        <f>SUM(E33:K33)</f>
        <v>2478</v>
      </c>
      <c r="P33" s="33"/>
      <c r="Q33" s="34"/>
      <c r="R33" s="34"/>
    </row>
    <row r="34">
      <c r="A34" s="12"/>
      <c r="B34" s="39"/>
      <c r="C34" s="24" t="s">
        <v>20</v>
      </c>
      <c r="D34" s="40"/>
      <c r="F34" s="17" t="s">
        <v>222</v>
      </c>
      <c r="H34" s="17" t="s">
        <v>223</v>
      </c>
      <c r="L34" s="41"/>
      <c r="M34" s="41"/>
      <c r="N34" s="40"/>
      <c r="O34" s="43">
        <f>M32/O33</f>
        <v>2.92574657</v>
      </c>
      <c r="P34" s="33"/>
      <c r="Q34" s="34"/>
      <c r="R34" s="34"/>
    </row>
    <row r="35">
      <c r="A35" s="12"/>
      <c r="B35" s="23" t="s">
        <v>73</v>
      </c>
      <c r="C35" s="24" t="s">
        <v>16</v>
      </c>
      <c r="D35" s="25" t="s">
        <v>74</v>
      </c>
      <c r="E35" s="26">
        <v>1600.0</v>
      </c>
      <c r="F35" s="26">
        <v>1400.0</v>
      </c>
      <c r="G35" s="104" t="s">
        <v>208</v>
      </c>
      <c r="H35" s="26">
        <v>1700.0</v>
      </c>
      <c r="I35" s="26">
        <v>1450.0</v>
      </c>
      <c r="J35" s="104" t="s">
        <v>224</v>
      </c>
      <c r="K35" s="28" t="s">
        <v>62</v>
      </c>
      <c r="L35" s="29" t="b">
        <v>0</v>
      </c>
      <c r="M35" s="30">
        <f>SUM(E35:L35)</f>
        <v>6150</v>
      </c>
      <c r="N35" s="31">
        <f>M35-7000</f>
        <v>-850</v>
      </c>
      <c r="O35" s="32"/>
      <c r="P35" s="33"/>
      <c r="Q35" s="34"/>
      <c r="R35" s="34"/>
    </row>
    <row r="36">
      <c r="A36" s="12"/>
      <c r="B36" s="35"/>
      <c r="C36" s="24" t="s">
        <v>5</v>
      </c>
      <c r="D36" s="36"/>
      <c r="E36" s="37">
        <v>370.0</v>
      </c>
      <c r="F36" s="37">
        <v>350.0</v>
      </c>
      <c r="G36" s="99"/>
      <c r="H36" s="37">
        <v>460.0</v>
      </c>
      <c r="I36" s="37">
        <v>303.0</v>
      </c>
      <c r="J36" s="99"/>
      <c r="N36" s="36"/>
      <c r="O36" s="38">
        <f>SUM(E36:K36)</f>
        <v>1483</v>
      </c>
      <c r="P36" s="33"/>
      <c r="Q36" s="34"/>
      <c r="R36" s="34"/>
    </row>
    <row r="37">
      <c r="A37" s="12"/>
      <c r="B37" s="39"/>
      <c r="C37" s="24" t="s">
        <v>20</v>
      </c>
      <c r="D37" s="40"/>
      <c r="E37" s="17" t="s">
        <v>225</v>
      </c>
      <c r="F37" s="17" t="s">
        <v>226</v>
      </c>
      <c r="G37" s="100"/>
      <c r="H37" s="17" t="s">
        <v>227</v>
      </c>
      <c r="I37" s="17" t="s">
        <v>228</v>
      </c>
      <c r="J37" s="100"/>
      <c r="L37" s="41"/>
      <c r="M37" s="41"/>
      <c r="N37" s="40"/>
      <c r="O37" s="43">
        <f>M35/O36</f>
        <v>4.146999326</v>
      </c>
      <c r="P37" s="33"/>
      <c r="Q37" s="34"/>
      <c r="R37" s="34"/>
    </row>
    <row r="38">
      <c r="A38" s="12"/>
      <c r="B38" s="23" t="s">
        <v>76</v>
      </c>
      <c r="C38" s="24" t="s">
        <v>16</v>
      </c>
      <c r="D38" s="25" t="s">
        <v>77</v>
      </c>
      <c r="E38" s="26">
        <v>1700.0</v>
      </c>
      <c r="F38" s="26">
        <v>3400.0</v>
      </c>
      <c r="G38" s="27" t="s">
        <v>135</v>
      </c>
      <c r="H38" s="26">
        <v>2100.0</v>
      </c>
      <c r="I38" s="26">
        <v>2600.0</v>
      </c>
      <c r="J38" s="27" t="s">
        <v>135</v>
      </c>
      <c r="K38" s="27" t="s">
        <v>135</v>
      </c>
      <c r="L38" s="29" t="b">
        <v>0</v>
      </c>
      <c r="M38" s="30">
        <f>SUM(E38:L38)</f>
        <v>9800</v>
      </c>
      <c r="N38" s="31">
        <f>M38-7000</f>
        <v>2800</v>
      </c>
      <c r="O38" s="32"/>
      <c r="P38" s="33"/>
      <c r="Q38" s="34"/>
      <c r="R38" s="34"/>
    </row>
    <row r="39">
      <c r="A39" s="12"/>
      <c r="B39" s="35"/>
      <c r="C39" s="24" t="s">
        <v>5</v>
      </c>
      <c r="D39" s="36"/>
      <c r="E39" s="37">
        <f>27+679</f>
        <v>706</v>
      </c>
      <c r="F39" s="37">
        <f>42+1147</f>
        <v>1189</v>
      </c>
      <c r="H39" s="37">
        <f>71+924</f>
        <v>995</v>
      </c>
      <c r="I39" s="37">
        <v>1088.0</v>
      </c>
      <c r="N39" s="36"/>
      <c r="O39" s="38">
        <f>SUM(E39:K39)</f>
        <v>3978</v>
      </c>
      <c r="P39" s="33"/>
      <c r="Q39" s="34"/>
      <c r="R39" s="34"/>
    </row>
    <row r="40">
      <c r="A40" s="12"/>
      <c r="B40" s="39"/>
      <c r="C40" s="24" t="s">
        <v>20</v>
      </c>
      <c r="D40" s="40"/>
      <c r="E40" s="17" t="s">
        <v>229</v>
      </c>
      <c r="F40" s="17" t="s">
        <v>230</v>
      </c>
      <c r="H40" s="17" t="s">
        <v>231</v>
      </c>
      <c r="I40" s="17" t="s">
        <v>232</v>
      </c>
      <c r="L40" s="41"/>
      <c r="M40" s="41"/>
      <c r="N40" s="40"/>
      <c r="O40" s="43">
        <f>M38/O39</f>
        <v>2.463549522</v>
      </c>
      <c r="P40" s="33"/>
      <c r="Q40" s="34"/>
      <c r="R40" s="34"/>
    </row>
    <row r="41">
      <c r="A41" s="12"/>
      <c r="B41" s="23" t="s">
        <v>82</v>
      </c>
      <c r="C41" s="24" t="s">
        <v>16</v>
      </c>
      <c r="D41" s="25" t="s">
        <v>83</v>
      </c>
      <c r="E41" s="26">
        <v>2600.0</v>
      </c>
      <c r="F41" s="27" t="s">
        <v>135</v>
      </c>
      <c r="G41" s="27" t="s">
        <v>135</v>
      </c>
      <c r="H41" s="26">
        <v>1700.0</v>
      </c>
      <c r="I41" s="104" t="s">
        <v>208</v>
      </c>
      <c r="J41" s="26">
        <v>6000.0</v>
      </c>
      <c r="K41" s="27" t="s">
        <v>135</v>
      </c>
      <c r="L41" s="29" t="b">
        <v>0</v>
      </c>
      <c r="M41" s="30">
        <f>SUM(E41:L41)</f>
        <v>10300</v>
      </c>
      <c r="N41" s="31">
        <f>M41-7000</f>
        <v>3300</v>
      </c>
      <c r="O41" s="32"/>
      <c r="P41" s="33"/>
      <c r="Q41" s="34"/>
      <c r="R41" s="34"/>
    </row>
    <row r="42">
      <c r="A42" s="12"/>
      <c r="B42" s="35"/>
      <c r="C42" s="24" t="s">
        <v>5</v>
      </c>
      <c r="D42" s="36"/>
      <c r="E42" s="37">
        <f>169+1131</f>
        <v>1300</v>
      </c>
      <c r="H42" s="37">
        <f>197+631</f>
        <v>828</v>
      </c>
      <c r="I42" s="99"/>
      <c r="J42" s="37">
        <v>2342.0</v>
      </c>
      <c r="N42" s="36"/>
      <c r="O42" s="38">
        <f>SUM(E42:K42)</f>
        <v>4470</v>
      </c>
      <c r="P42" s="33"/>
      <c r="Q42" s="34"/>
      <c r="R42" s="34"/>
    </row>
    <row r="43">
      <c r="A43" s="12"/>
      <c r="B43" s="39"/>
      <c r="C43" s="24" t="s">
        <v>20</v>
      </c>
      <c r="D43" s="40"/>
      <c r="E43" s="17" t="s">
        <v>233</v>
      </c>
      <c r="H43" s="17" t="s">
        <v>234</v>
      </c>
      <c r="I43" s="100"/>
      <c r="J43" s="17" t="s">
        <v>235</v>
      </c>
      <c r="L43" s="41"/>
      <c r="M43" s="41"/>
      <c r="N43" s="40"/>
      <c r="O43" s="43">
        <f>M41/O42</f>
        <v>2.304250559</v>
      </c>
      <c r="P43" s="33"/>
      <c r="Q43" s="34"/>
      <c r="R43" s="34"/>
    </row>
    <row r="44">
      <c r="A44" s="12"/>
      <c r="B44" s="23" t="s">
        <v>86</v>
      </c>
      <c r="C44" s="24" t="s">
        <v>16</v>
      </c>
      <c r="D44" s="25" t="s">
        <v>87</v>
      </c>
      <c r="E44" s="26">
        <v>2000.0</v>
      </c>
      <c r="F44" s="26">
        <v>2100.0</v>
      </c>
      <c r="G44" s="27" t="s">
        <v>135</v>
      </c>
      <c r="H44" s="26">
        <v>1200.0</v>
      </c>
      <c r="I44" s="105" t="s">
        <v>27</v>
      </c>
      <c r="J44" s="105" t="s">
        <v>27</v>
      </c>
      <c r="K44" s="105" t="s">
        <v>27</v>
      </c>
      <c r="L44" s="29" t="b">
        <v>0</v>
      </c>
      <c r="M44" s="30">
        <f>SUM(E44:L44)</f>
        <v>5300</v>
      </c>
      <c r="N44" s="31">
        <f>M44-7000</f>
        <v>-1700</v>
      </c>
      <c r="O44" s="32"/>
      <c r="P44" s="33"/>
      <c r="Q44" s="34"/>
      <c r="R44" s="34"/>
    </row>
    <row r="45">
      <c r="A45" s="12"/>
      <c r="B45" s="35"/>
      <c r="C45" s="24" t="s">
        <v>5</v>
      </c>
      <c r="D45" s="36"/>
      <c r="E45" s="37">
        <v>752.0</v>
      </c>
      <c r="F45" s="37">
        <v>664.0</v>
      </c>
      <c r="H45" s="37">
        <v>376.0</v>
      </c>
      <c r="N45" s="36"/>
      <c r="O45" s="38">
        <f>SUM(E45:K45)</f>
        <v>1792</v>
      </c>
      <c r="P45" s="33"/>
      <c r="Q45" s="34"/>
      <c r="R45" s="34"/>
    </row>
    <row r="46">
      <c r="A46" s="12"/>
      <c r="B46" s="39"/>
      <c r="C46" s="24" t="s">
        <v>20</v>
      </c>
      <c r="D46" s="40"/>
      <c r="E46" s="17" t="s">
        <v>236</v>
      </c>
      <c r="F46" s="17" t="s">
        <v>237</v>
      </c>
      <c r="H46" s="17" t="s">
        <v>238</v>
      </c>
      <c r="I46" s="41"/>
      <c r="J46" s="41"/>
      <c r="K46" s="41"/>
      <c r="L46" s="41"/>
      <c r="M46" s="41"/>
      <c r="N46" s="40"/>
      <c r="O46" s="43">
        <f>M44/O45</f>
        <v>2.957589286</v>
      </c>
      <c r="P46" s="33"/>
      <c r="Q46" s="34"/>
      <c r="R46" s="34"/>
    </row>
    <row r="47">
      <c r="A47" s="12"/>
      <c r="B47" s="23" t="s">
        <v>94</v>
      </c>
      <c r="C47" s="24" t="s">
        <v>16</v>
      </c>
      <c r="D47" s="25" t="s">
        <v>95</v>
      </c>
      <c r="E47" s="28" t="s">
        <v>62</v>
      </c>
      <c r="F47" s="28" t="s">
        <v>62</v>
      </c>
      <c r="G47" s="26">
        <v>5600.0</v>
      </c>
      <c r="H47" s="27" t="s">
        <v>135</v>
      </c>
      <c r="I47" s="106" t="s">
        <v>239</v>
      </c>
      <c r="J47" s="26">
        <v>2000.0</v>
      </c>
      <c r="K47" s="27" t="s">
        <v>135</v>
      </c>
      <c r="L47" s="29" t="b">
        <v>0</v>
      </c>
      <c r="M47" s="30">
        <f>SUM(E47:L47)</f>
        <v>7600</v>
      </c>
      <c r="N47" s="31">
        <f>M47-7000</f>
        <v>600</v>
      </c>
      <c r="O47" s="32"/>
      <c r="P47" s="33"/>
      <c r="Q47" s="34"/>
      <c r="R47" s="34"/>
    </row>
    <row r="48">
      <c r="A48" s="12"/>
      <c r="B48" s="35"/>
      <c r="C48" s="24" t="s">
        <v>5</v>
      </c>
      <c r="D48" s="36"/>
      <c r="G48" s="37">
        <v>1578.0</v>
      </c>
      <c r="J48" s="37">
        <v>661.0</v>
      </c>
      <c r="N48" s="36"/>
      <c r="O48" s="38">
        <f>SUM(F48:K48)</f>
        <v>2239</v>
      </c>
      <c r="P48" s="33"/>
      <c r="Q48" s="34"/>
      <c r="R48" s="34"/>
    </row>
    <row r="49">
      <c r="A49" s="12"/>
      <c r="B49" s="39"/>
      <c r="C49" s="24" t="s">
        <v>20</v>
      </c>
      <c r="D49" s="40"/>
      <c r="G49" s="17" t="s">
        <v>240</v>
      </c>
      <c r="J49" s="17" t="s">
        <v>241</v>
      </c>
      <c r="L49" s="41"/>
      <c r="M49" s="41"/>
      <c r="N49" s="40"/>
      <c r="O49" s="43">
        <f>M47/O48</f>
        <v>3.394372488</v>
      </c>
      <c r="P49" s="33"/>
      <c r="Q49" s="34"/>
      <c r="R49" s="34"/>
    </row>
    <row r="50">
      <c r="A50" s="12"/>
      <c r="B50" s="23" t="s">
        <v>98</v>
      </c>
      <c r="C50" s="24" t="s">
        <v>16</v>
      </c>
      <c r="D50" s="25" t="s">
        <v>99</v>
      </c>
      <c r="E50" s="26">
        <v>6000.0</v>
      </c>
      <c r="F50" s="27" t="s">
        <v>135</v>
      </c>
      <c r="G50" s="27" t="s">
        <v>135</v>
      </c>
      <c r="H50" s="97" t="s">
        <v>133</v>
      </c>
      <c r="I50" s="26">
        <v>6000.0</v>
      </c>
      <c r="J50" s="27" t="s">
        <v>135</v>
      </c>
      <c r="K50" s="27" t="s">
        <v>135</v>
      </c>
      <c r="L50" s="29" t="b">
        <v>0</v>
      </c>
      <c r="M50" s="30">
        <f>SUM(E50:L50)</f>
        <v>12000</v>
      </c>
      <c r="N50" s="31">
        <f>M50-7000</f>
        <v>5000</v>
      </c>
      <c r="O50" s="32"/>
      <c r="P50" s="33"/>
      <c r="Q50" s="34"/>
      <c r="R50" s="34"/>
    </row>
    <row r="51">
      <c r="A51" s="12"/>
      <c r="B51" s="35"/>
      <c r="C51" s="24" t="s">
        <v>5</v>
      </c>
      <c r="D51" s="36"/>
      <c r="E51" s="37">
        <v>2328.0</v>
      </c>
      <c r="H51" s="99"/>
      <c r="I51" s="37">
        <v>2932.0</v>
      </c>
      <c r="N51" s="36"/>
      <c r="O51" s="38">
        <f>SUM(E51:K51)</f>
        <v>5260</v>
      </c>
      <c r="P51" s="33"/>
      <c r="Q51" s="34"/>
      <c r="R51" s="34"/>
    </row>
    <row r="52">
      <c r="A52" s="12"/>
      <c r="B52" s="39"/>
      <c r="C52" s="24" t="s">
        <v>20</v>
      </c>
      <c r="D52" s="40"/>
      <c r="E52" s="17" t="s">
        <v>242</v>
      </c>
      <c r="G52" s="41"/>
      <c r="H52" s="100"/>
      <c r="I52" s="17" t="s">
        <v>243</v>
      </c>
      <c r="L52" s="41"/>
      <c r="M52" s="41"/>
      <c r="N52" s="40"/>
      <c r="O52" s="43">
        <f>M50/O51</f>
        <v>2.281368821</v>
      </c>
      <c r="P52" s="33"/>
      <c r="Q52" s="34"/>
      <c r="R52" s="34"/>
    </row>
    <row r="53">
      <c r="A53" s="12"/>
      <c r="B53" s="23" t="s">
        <v>104</v>
      </c>
      <c r="C53" s="24" t="s">
        <v>16</v>
      </c>
      <c r="D53" s="25" t="s">
        <v>105</v>
      </c>
      <c r="E53" s="26">
        <v>5600.0</v>
      </c>
      <c r="F53" s="27" t="s">
        <v>135</v>
      </c>
      <c r="G53" s="27" t="s">
        <v>135</v>
      </c>
      <c r="H53" s="26">
        <v>1200.0</v>
      </c>
      <c r="I53" s="26">
        <v>4200.0</v>
      </c>
      <c r="J53" s="27" t="s">
        <v>135</v>
      </c>
      <c r="K53" s="27" t="s">
        <v>135</v>
      </c>
      <c r="L53" s="29" t="b">
        <v>0</v>
      </c>
      <c r="M53" s="30">
        <f>SUM(E53:L53)</f>
        <v>11000</v>
      </c>
      <c r="N53" s="31">
        <f>M53-7000</f>
        <v>4000</v>
      </c>
      <c r="O53" s="32"/>
      <c r="P53" s="33"/>
      <c r="Q53" s="34"/>
      <c r="R53" s="34"/>
    </row>
    <row r="54">
      <c r="A54" s="12"/>
      <c r="B54" s="35"/>
      <c r="C54" s="24" t="s">
        <v>5</v>
      </c>
      <c r="D54" s="36"/>
      <c r="E54" s="37">
        <v>1892.0</v>
      </c>
      <c r="H54" s="37">
        <v>330.0</v>
      </c>
      <c r="I54" s="37">
        <v>1721.0</v>
      </c>
      <c r="N54" s="36"/>
      <c r="O54" s="38">
        <f>SUM(E54:K54)</f>
        <v>3943</v>
      </c>
      <c r="P54" s="33"/>
      <c r="Q54" s="34"/>
      <c r="R54" s="34"/>
    </row>
    <row r="55">
      <c r="A55" s="12"/>
      <c r="B55" s="39"/>
      <c r="C55" s="24" t="s">
        <v>20</v>
      </c>
      <c r="D55" s="40"/>
      <c r="E55" s="17" t="s">
        <v>244</v>
      </c>
      <c r="G55" s="41"/>
      <c r="H55" s="17" t="s">
        <v>245</v>
      </c>
      <c r="I55" s="17" t="s">
        <v>246</v>
      </c>
      <c r="L55" s="41"/>
      <c r="M55" s="41"/>
      <c r="N55" s="40"/>
      <c r="O55" s="43">
        <f>M53/O54</f>
        <v>2.789753994</v>
      </c>
      <c r="P55" s="33"/>
      <c r="Q55" s="34"/>
      <c r="R55" s="34"/>
    </row>
    <row r="56">
      <c r="A56" s="12"/>
      <c r="B56" s="23" t="s">
        <v>108</v>
      </c>
      <c r="C56" s="24" t="s">
        <v>16</v>
      </c>
      <c r="D56" s="25" t="s">
        <v>109</v>
      </c>
      <c r="E56" s="26">
        <v>2000.0</v>
      </c>
      <c r="F56" s="27" t="s">
        <v>135</v>
      </c>
      <c r="G56" s="26">
        <v>2000.0</v>
      </c>
      <c r="H56" s="26">
        <v>1750.0</v>
      </c>
      <c r="I56" s="105" t="s">
        <v>27</v>
      </c>
      <c r="J56" s="105" t="s">
        <v>27</v>
      </c>
      <c r="K56" s="105" t="s">
        <v>27</v>
      </c>
      <c r="L56" s="29" t="b">
        <v>0</v>
      </c>
      <c r="M56" s="30">
        <f>SUM(E56:L56)</f>
        <v>5750</v>
      </c>
      <c r="N56" s="31">
        <f>M56-7000</f>
        <v>-1250</v>
      </c>
      <c r="O56" s="32"/>
      <c r="P56" s="33"/>
      <c r="Q56" s="34"/>
      <c r="R56" s="34"/>
    </row>
    <row r="57">
      <c r="A57" s="12"/>
      <c r="B57" s="35"/>
      <c r="C57" s="24" t="s">
        <v>5</v>
      </c>
      <c r="D57" s="36"/>
      <c r="E57" s="37">
        <f>1247+9</f>
        <v>1256</v>
      </c>
      <c r="G57" s="37">
        <f>735+20</f>
        <v>755</v>
      </c>
      <c r="H57" s="37">
        <f>451+220</f>
        <v>671</v>
      </c>
      <c r="N57" s="36"/>
      <c r="O57" s="38">
        <f>SUM(E57:K57)</f>
        <v>2682</v>
      </c>
      <c r="P57" s="33"/>
      <c r="Q57" s="34"/>
      <c r="R57" s="34"/>
    </row>
    <row r="58">
      <c r="A58" s="12"/>
      <c r="B58" s="39"/>
      <c r="C58" s="24" t="s">
        <v>20</v>
      </c>
      <c r="D58" s="40"/>
      <c r="E58" s="17" t="s">
        <v>247</v>
      </c>
      <c r="G58" s="17" t="s">
        <v>248</v>
      </c>
      <c r="H58" s="17" t="s">
        <v>248</v>
      </c>
      <c r="I58" s="41"/>
      <c r="J58" s="41"/>
      <c r="K58" s="41"/>
      <c r="L58" s="41"/>
      <c r="M58" s="41"/>
      <c r="N58" s="40"/>
      <c r="O58" s="43">
        <f>M56/O57</f>
        <v>2.143922446</v>
      </c>
      <c r="P58" s="33"/>
      <c r="Q58" s="34"/>
      <c r="R58" s="34"/>
    </row>
    <row r="59">
      <c r="A59" s="12"/>
      <c r="B59" s="23" t="s">
        <v>249</v>
      </c>
      <c r="C59" s="24" t="s">
        <v>16</v>
      </c>
      <c r="D59" s="25" t="s">
        <v>250</v>
      </c>
      <c r="E59" s="26">
        <v>900.0</v>
      </c>
      <c r="F59" s="26">
        <v>3600.0</v>
      </c>
      <c r="G59" s="27" t="s">
        <v>135</v>
      </c>
      <c r="H59" s="97" t="s">
        <v>133</v>
      </c>
      <c r="I59" s="26">
        <v>3100.0</v>
      </c>
      <c r="J59" s="27" t="s">
        <v>135</v>
      </c>
      <c r="K59" s="27" t="s">
        <v>135</v>
      </c>
      <c r="L59" s="29" t="b">
        <v>0</v>
      </c>
      <c r="M59" s="30">
        <f>SUM(E59:L59)</f>
        <v>7600</v>
      </c>
      <c r="N59" s="31">
        <f>M59-7000</f>
        <v>600</v>
      </c>
      <c r="O59" s="32"/>
      <c r="P59" s="33"/>
      <c r="Q59" s="34"/>
      <c r="R59" s="34"/>
    </row>
    <row r="60">
      <c r="A60" s="12"/>
      <c r="B60" s="35"/>
      <c r="C60" s="24" t="s">
        <v>5</v>
      </c>
      <c r="D60" s="36"/>
      <c r="E60" s="37">
        <v>401.0</v>
      </c>
      <c r="F60" s="37">
        <v>835.0</v>
      </c>
      <c r="H60" s="99"/>
      <c r="I60" s="37">
        <v>1136.0</v>
      </c>
      <c r="N60" s="36"/>
      <c r="O60" s="38">
        <f>SUM(E60:K60)</f>
        <v>2372</v>
      </c>
      <c r="P60" s="33"/>
      <c r="Q60" s="34"/>
      <c r="R60" s="34"/>
    </row>
    <row r="61">
      <c r="A61" s="12"/>
      <c r="B61" s="39"/>
      <c r="C61" s="24" t="s">
        <v>20</v>
      </c>
      <c r="D61" s="40"/>
      <c r="E61" s="17" t="s">
        <v>251</v>
      </c>
      <c r="F61" s="17" t="s">
        <v>252</v>
      </c>
      <c r="H61" s="100"/>
      <c r="I61" s="17" t="s">
        <v>253</v>
      </c>
      <c r="J61" s="41"/>
      <c r="K61" s="41"/>
      <c r="L61" s="41"/>
      <c r="M61" s="41"/>
      <c r="N61" s="40"/>
      <c r="O61" s="43">
        <f>M59/O60</f>
        <v>3.204047218</v>
      </c>
      <c r="P61" s="33"/>
      <c r="Q61" s="34"/>
      <c r="R61" s="34"/>
    </row>
    <row r="62">
      <c r="A62" s="12"/>
      <c r="B62" s="23" t="s">
        <v>114</v>
      </c>
      <c r="C62" s="24" t="s">
        <v>16</v>
      </c>
      <c r="D62" s="25" t="s">
        <v>115</v>
      </c>
      <c r="E62" s="26">
        <v>5000.0</v>
      </c>
      <c r="F62" s="27" t="s">
        <v>135</v>
      </c>
      <c r="G62" s="26">
        <v>1875.0</v>
      </c>
      <c r="H62" s="27" t="s">
        <v>135</v>
      </c>
      <c r="I62" s="26">
        <v>2400.0</v>
      </c>
      <c r="J62" s="26">
        <v>1750.0</v>
      </c>
      <c r="K62" s="27" t="s">
        <v>135</v>
      </c>
      <c r="L62" s="29" t="b">
        <v>0</v>
      </c>
      <c r="M62" s="30">
        <f>SUM(E62:L62)</f>
        <v>11025</v>
      </c>
      <c r="N62" s="31">
        <f>M62-7000</f>
        <v>4025</v>
      </c>
      <c r="O62" s="32"/>
      <c r="P62" s="33"/>
      <c r="Q62" s="34"/>
      <c r="R62" s="34"/>
    </row>
    <row r="63">
      <c r="A63" s="12"/>
      <c r="B63" s="35"/>
      <c r="C63" s="24" t="s">
        <v>5</v>
      </c>
      <c r="D63" s="36"/>
      <c r="E63" s="37">
        <f>1697</f>
        <v>1697</v>
      </c>
      <c r="G63" s="37">
        <f>1127+54</f>
        <v>1181</v>
      </c>
      <c r="I63" s="37">
        <v>526.0</v>
      </c>
      <c r="J63" s="37">
        <f>637+91</f>
        <v>728</v>
      </c>
      <c r="N63" s="36"/>
      <c r="O63" s="38">
        <f>SUM(E63:K63)</f>
        <v>4132</v>
      </c>
      <c r="P63" s="33"/>
      <c r="Q63" s="34"/>
      <c r="R63" s="34"/>
    </row>
    <row r="64">
      <c r="A64" s="12"/>
      <c r="B64" s="39"/>
      <c r="C64" s="24" t="s">
        <v>20</v>
      </c>
      <c r="D64" s="40"/>
      <c r="E64" s="50" t="s">
        <v>254</v>
      </c>
      <c r="F64" s="41"/>
      <c r="G64" s="50" t="s">
        <v>255</v>
      </c>
      <c r="H64" s="41"/>
      <c r="I64" s="50" t="s">
        <v>256</v>
      </c>
      <c r="J64" s="50" t="s">
        <v>257</v>
      </c>
      <c r="K64" s="41"/>
      <c r="L64" s="41"/>
      <c r="M64" s="41"/>
      <c r="N64" s="40"/>
      <c r="O64" s="43">
        <f>M62/O63</f>
        <v>2.668199419</v>
      </c>
      <c r="P64" s="33"/>
      <c r="Q64" s="34"/>
      <c r="R64" s="34"/>
    </row>
    <row r="65" ht="14.25" customHeight="1">
      <c r="A65" s="51"/>
      <c r="B65" s="52"/>
      <c r="C65" s="53"/>
      <c r="D65" s="54">
        <f>counta(D5:D64)</f>
        <v>20</v>
      </c>
      <c r="E65" s="37">
        <f t="shared" ref="E65:K65" si="2">$D$65-(COUNTIF(E5:E64, "TRUCK ISSUE") + COUNTIF(E5:E64, "NEW DRIVER") + COUNTIF(E5:E64, "LEFT") + COUNTIF(E5:E64, "YARD"))</f>
        <v>19</v>
      </c>
      <c r="F65" s="37">
        <f t="shared" si="2"/>
        <v>20</v>
      </c>
      <c r="G65" s="37">
        <f t="shared" si="2"/>
        <v>20</v>
      </c>
      <c r="H65" s="37">
        <f t="shared" si="2"/>
        <v>20</v>
      </c>
      <c r="I65" s="37">
        <f t="shared" si="2"/>
        <v>20</v>
      </c>
      <c r="J65" s="37">
        <f t="shared" si="2"/>
        <v>20</v>
      </c>
      <c r="K65" s="37">
        <f t="shared" si="2"/>
        <v>20</v>
      </c>
      <c r="L65" s="55"/>
      <c r="M65" s="55"/>
      <c r="N65" s="55"/>
      <c r="O65" s="55"/>
      <c r="P65" s="55"/>
      <c r="Q65" s="56"/>
      <c r="R65" s="56"/>
    </row>
    <row r="66" ht="14.25" customHeight="1">
      <c r="A66" s="51"/>
      <c r="B66" s="55"/>
      <c r="C66" s="55"/>
      <c r="D66" s="48"/>
      <c r="E66" s="48"/>
      <c r="F66" s="48"/>
      <c r="G66" s="48"/>
      <c r="H66" s="48"/>
      <c r="I66" s="48"/>
      <c r="J66" s="48"/>
      <c r="K66" s="48"/>
      <c r="L66" s="55"/>
      <c r="M66" s="55"/>
      <c r="N66" s="55"/>
      <c r="O66" s="55"/>
      <c r="P66" s="55"/>
      <c r="Q66" s="56"/>
      <c r="R66" s="56"/>
    </row>
    <row r="67">
      <c r="A67" s="12"/>
      <c r="B67" s="57" t="s">
        <v>120</v>
      </c>
      <c r="C67" s="58"/>
      <c r="D67" s="59" t="s">
        <v>121</v>
      </c>
      <c r="E67" s="60">
        <f t="shared" ref="E67:K67" si="3">SUM(E62,E56,E53,E50,E47,E44,E41,E38,E35,E32,E29,E26,E23,E20,E17,E14,E11,E8,E5,E59)</f>
        <v>51475</v>
      </c>
      <c r="F67" s="60">
        <f t="shared" si="3"/>
        <v>17700</v>
      </c>
      <c r="G67" s="60">
        <f t="shared" si="3"/>
        <v>23740</v>
      </c>
      <c r="H67" s="60">
        <f t="shared" si="3"/>
        <v>23025</v>
      </c>
      <c r="I67" s="60">
        <f t="shared" si="3"/>
        <v>44650</v>
      </c>
      <c r="J67" s="60">
        <f t="shared" si="3"/>
        <v>19150</v>
      </c>
      <c r="K67" s="60">
        <f t="shared" si="3"/>
        <v>4650</v>
      </c>
      <c r="L67" s="61" t="s">
        <v>122</v>
      </c>
      <c r="M67" s="62">
        <f>SUM(E67:L67)</f>
        <v>184390</v>
      </c>
      <c r="N67" s="63"/>
      <c r="O67" s="64" t="s">
        <v>123</v>
      </c>
      <c r="P67" s="65">
        <f>COUNTIF(E5:K64, "No loads")</f>
        <v>0</v>
      </c>
      <c r="Q67" s="66"/>
      <c r="R67" s="66"/>
    </row>
    <row r="68">
      <c r="A68" s="12"/>
      <c r="B68" s="67">
        <f>D65</f>
        <v>20</v>
      </c>
      <c r="C68" s="68"/>
      <c r="D68" s="69" t="s">
        <v>124</v>
      </c>
      <c r="E68" s="70">
        <f t="shared" ref="E68:K68" si="4">E65</f>
        <v>19</v>
      </c>
      <c r="F68" s="70">
        <f t="shared" si="4"/>
        <v>20</v>
      </c>
      <c r="G68" s="70">
        <f t="shared" si="4"/>
        <v>20</v>
      </c>
      <c r="H68" s="70">
        <f t="shared" si="4"/>
        <v>20</v>
      </c>
      <c r="I68" s="70">
        <f t="shared" si="4"/>
        <v>20</v>
      </c>
      <c r="J68" s="70">
        <f t="shared" si="4"/>
        <v>20</v>
      </c>
      <c r="K68" s="70">
        <f t="shared" si="4"/>
        <v>20</v>
      </c>
      <c r="L68" s="71" t="s">
        <v>125</v>
      </c>
      <c r="M68" s="72">
        <f t="shared" ref="M68:M69" si="6">AVERAGE(E68:L68)</f>
        <v>19.85714286</v>
      </c>
      <c r="N68" s="63"/>
      <c r="O68" s="73" t="s">
        <v>27</v>
      </c>
      <c r="P68" s="74">
        <f>COUNTIF(E5:K64, "Home")</f>
        <v>6</v>
      </c>
      <c r="Q68" s="66"/>
      <c r="R68" s="66"/>
    </row>
    <row r="69">
      <c r="A69" s="12"/>
      <c r="B69" s="75"/>
      <c r="C69" s="75"/>
      <c r="D69" s="69" t="s">
        <v>124</v>
      </c>
      <c r="E69" s="76">
        <f t="shared" ref="E69:J69" si="5">$D$65-(COUNTIF(E5:E64, "TRUCK ISSUE") + COUNTIF(E5:E64, "NEW DRIVER") + COUNTIF(E5:E64, "LEFT") + COUNTIF(E5:E64, "YARD")+ COUNTIF(E5:E64, "HOME"))</f>
        <v>19</v>
      </c>
      <c r="F69" s="76">
        <f t="shared" si="5"/>
        <v>20</v>
      </c>
      <c r="G69" s="76">
        <f t="shared" si="5"/>
        <v>20</v>
      </c>
      <c r="H69" s="76">
        <f t="shared" si="5"/>
        <v>20</v>
      </c>
      <c r="I69" s="76">
        <f t="shared" si="5"/>
        <v>18</v>
      </c>
      <c r="J69" s="76">
        <f t="shared" si="5"/>
        <v>18</v>
      </c>
      <c r="K69" s="76">
        <f>$D$65-(COUNTIF(K5:K64, "TRUCK ISSUE") + COUNTIF(K5:K64, "NEW DRIVER") + COUNTIF(K5:K64, "LEFT") + COUNTIF(K5:K64, "YARD")+ COUNTIF(K5:K64, "HOME")+COUNTIF(K5:K64, "REST"))</f>
        <v>17</v>
      </c>
      <c r="L69" s="71" t="s">
        <v>126</v>
      </c>
      <c r="M69" s="72">
        <f t="shared" si="6"/>
        <v>18.85714286</v>
      </c>
      <c r="N69" s="66"/>
      <c r="O69" s="77" t="s">
        <v>62</v>
      </c>
      <c r="P69" s="74">
        <f>COUNTIF(E6:K65, "Rest")</f>
        <v>6</v>
      </c>
      <c r="Q69" s="66"/>
      <c r="R69" s="66"/>
    </row>
    <row r="70" ht="24.75" customHeight="1">
      <c r="A70" s="12"/>
      <c r="B70" s="75"/>
      <c r="C70" s="75"/>
      <c r="D70" s="78" t="s">
        <v>127</v>
      </c>
      <c r="E70" s="79">
        <f t="shared" ref="E70:K70" si="7">SUM(E63,E57,E54,E51,E48,E45,E42,E39,E36,E33,E30,E27,E24,E21,E18,E15,E12,E9,E6,E60)</f>
        <v>18876</v>
      </c>
      <c r="F70" s="79">
        <f t="shared" si="7"/>
        <v>5512</v>
      </c>
      <c r="G70" s="79">
        <f t="shared" si="7"/>
        <v>9267</v>
      </c>
      <c r="H70" s="79">
        <f t="shared" si="7"/>
        <v>7942</v>
      </c>
      <c r="I70" s="79">
        <f t="shared" si="7"/>
        <v>17675</v>
      </c>
      <c r="J70" s="79">
        <f t="shared" si="7"/>
        <v>6460</v>
      </c>
      <c r="K70" s="79">
        <f t="shared" si="7"/>
        <v>1527</v>
      </c>
      <c r="L70" s="80" t="s">
        <v>128</v>
      </c>
      <c r="M70" s="81">
        <f>SUM(E70:K70)</f>
        <v>67259</v>
      </c>
      <c r="N70" s="66"/>
      <c r="O70" s="82" t="s">
        <v>88</v>
      </c>
      <c r="P70" s="74">
        <f>COUNTIF(E5:K64, "TRUCK ISSUE")</f>
        <v>0</v>
      </c>
      <c r="Q70" s="75"/>
      <c r="R70" s="75"/>
    </row>
    <row r="71">
      <c r="A71" s="12"/>
      <c r="B71" s="75"/>
      <c r="C71" s="75"/>
      <c r="D71" s="78" t="s">
        <v>129</v>
      </c>
      <c r="E71" s="83">
        <f t="shared" ref="E71:K71" si="8">E67/E70</f>
        <v>2.727007841</v>
      </c>
      <c r="F71" s="83">
        <f t="shared" si="8"/>
        <v>3.211175617</v>
      </c>
      <c r="G71" s="83">
        <f t="shared" si="8"/>
        <v>2.561778353</v>
      </c>
      <c r="H71" s="83">
        <f t="shared" si="8"/>
        <v>2.899143792</v>
      </c>
      <c r="I71" s="83">
        <f t="shared" si="8"/>
        <v>2.526166902</v>
      </c>
      <c r="J71" s="83">
        <f t="shared" si="8"/>
        <v>2.964396285</v>
      </c>
      <c r="K71" s="83">
        <f t="shared" si="8"/>
        <v>3.04518664</v>
      </c>
      <c r="L71" s="80" t="s">
        <v>130</v>
      </c>
      <c r="M71" s="84">
        <f>M67/M70</f>
        <v>2.741491845</v>
      </c>
      <c r="N71" s="63"/>
      <c r="O71" s="82" t="s">
        <v>71</v>
      </c>
      <c r="P71" s="74">
        <f>COUNTIF(E5:K64, "YARD")</f>
        <v>0</v>
      </c>
      <c r="Q71" s="66"/>
      <c r="R71" s="66"/>
    </row>
    <row r="72">
      <c r="A72" s="12"/>
      <c r="B72" s="75"/>
      <c r="C72" s="75"/>
      <c r="D72" s="85" t="s">
        <v>131</v>
      </c>
      <c r="E72" s="86">
        <f t="shared" ref="E72:K72" si="9">E67/E68</f>
        <v>2709.210526</v>
      </c>
      <c r="F72" s="86">
        <f t="shared" si="9"/>
        <v>885</v>
      </c>
      <c r="G72" s="86">
        <f t="shared" si="9"/>
        <v>1187</v>
      </c>
      <c r="H72" s="86">
        <f t="shared" si="9"/>
        <v>1151.25</v>
      </c>
      <c r="I72" s="86">
        <f t="shared" si="9"/>
        <v>2232.5</v>
      </c>
      <c r="J72" s="86">
        <f t="shared" si="9"/>
        <v>957.5</v>
      </c>
      <c r="K72" s="86">
        <f t="shared" si="9"/>
        <v>232.5</v>
      </c>
      <c r="L72" s="80" t="s">
        <v>132</v>
      </c>
      <c r="M72" s="84">
        <f>M67/M68</f>
        <v>9285.827338</v>
      </c>
      <c r="N72" s="63"/>
      <c r="O72" s="87" t="s">
        <v>133</v>
      </c>
      <c r="P72" s="88">
        <f>COUNTIF(E5:K64, "MISSED APPOINMENT TIME")+COUNTIF(E5:K64, "CANCELLED")</f>
        <v>0</v>
      </c>
      <c r="Q72" s="48"/>
      <c r="R72" s="48"/>
    </row>
    <row r="73">
      <c r="A73" s="12"/>
      <c r="B73" s="66"/>
      <c r="C73" s="66"/>
      <c r="D73" s="66"/>
      <c r="E73" s="66"/>
      <c r="F73" s="66"/>
      <c r="G73" s="66"/>
      <c r="H73" s="66"/>
      <c r="I73" s="66"/>
      <c r="J73" s="66"/>
      <c r="K73" s="89"/>
      <c r="L73" s="90" t="s">
        <v>134</v>
      </c>
      <c r="M73" s="91">
        <f>M67/M69</f>
        <v>9778.257576</v>
      </c>
      <c r="N73" s="92"/>
      <c r="O73" s="92"/>
      <c r="P73" s="92"/>
      <c r="Q73" s="48"/>
      <c r="R73" s="48"/>
    </row>
    <row r="74">
      <c r="A74" s="93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3"/>
      <c r="P74" s="92"/>
      <c r="Q74" s="22"/>
      <c r="R74" s="22"/>
    </row>
    <row r="75">
      <c r="A75" s="93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19"/>
      <c r="P75" s="22"/>
      <c r="Q75" s="22"/>
      <c r="R75" s="22"/>
    </row>
    <row r="76">
      <c r="A76" s="93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19"/>
      <c r="P76" s="22"/>
      <c r="Q76" s="22"/>
      <c r="R76" s="22"/>
    </row>
    <row r="77" hidden="1">
      <c r="A77" s="93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19"/>
      <c r="P77" s="22"/>
      <c r="Q77" s="22"/>
      <c r="R77" s="22"/>
    </row>
    <row r="78" hidden="1">
      <c r="A78" s="93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19"/>
      <c r="P78" s="22"/>
      <c r="Q78" s="22"/>
      <c r="R78" s="22"/>
    </row>
    <row r="79" hidden="1">
      <c r="A79" s="93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19"/>
      <c r="P79" s="22"/>
      <c r="Q79" s="22"/>
      <c r="R79" s="22"/>
    </row>
    <row r="80" hidden="1">
      <c r="A80" s="93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19"/>
      <c r="P80" s="22"/>
      <c r="Q80" s="22"/>
      <c r="R80" s="22"/>
    </row>
    <row r="81" hidden="1">
      <c r="A81" s="93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19"/>
      <c r="P81" s="22"/>
      <c r="Q81" s="22"/>
      <c r="R81" s="22"/>
    </row>
    <row r="82" hidden="1">
      <c r="A82" s="93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19"/>
      <c r="P82" s="22"/>
      <c r="Q82" s="22"/>
      <c r="R82" s="22"/>
    </row>
    <row r="83" hidden="1">
      <c r="A83" s="93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19"/>
      <c r="P83" s="22"/>
      <c r="Q83" s="22"/>
      <c r="R83" s="22"/>
    </row>
    <row r="84" hidden="1">
      <c r="A84" s="93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19"/>
      <c r="P84" s="22"/>
      <c r="Q84" s="22"/>
      <c r="R84" s="22"/>
    </row>
    <row r="85" hidden="1">
      <c r="A85" s="93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19"/>
      <c r="P85" s="22"/>
      <c r="Q85" s="22"/>
      <c r="R85" s="22"/>
    </row>
    <row r="86" hidden="1">
      <c r="A86" s="93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19"/>
      <c r="P86" s="22"/>
      <c r="Q86" s="22"/>
      <c r="R86" s="22"/>
    </row>
    <row r="87" hidden="1">
      <c r="A87" s="93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19"/>
      <c r="P87" s="22"/>
      <c r="Q87" s="22"/>
      <c r="R87" s="22"/>
    </row>
    <row r="88" hidden="1">
      <c r="A88" s="93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19"/>
      <c r="P88" s="22"/>
      <c r="Q88" s="22"/>
      <c r="R88" s="22"/>
    </row>
    <row r="89" hidden="1">
      <c r="A89" s="93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19"/>
      <c r="P89" s="22"/>
      <c r="Q89" s="22"/>
      <c r="R89" s="22"/>
    </row>
    <row r="90" hidden="1">
      <c r="A90" s="93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19"/>
      <c r="P90" s="22"/>
      <c r="Q90" s="22"/>
      <c r="R90" s="22"/>
    </row>
    <row r="91" hidden="1">
      <c r="A91" s="93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19"/>
      <c r="P91" s="22"/>
      <c r="Q91" s="22"/>
      <c r="R91" s="22"/>
    </row>
    <row r="92" hidden="1">
      <c r="A92" s="93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19"/>
      <c r="P92" s="22"/>
      <c r="Q92" s="22"/>
      <c r="R92" s="22"/>
    </row>
    <row r="93" hidden="1">
      <c r="A93" s="93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19"/>
      <c r="P93" s="22"/>
      <c r="Q93" s="22"/>
      <c r="R93" s="22"/>
    </row>
    <row r="94" hidden="1">
      <c r="A94" s="93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19"/>
      <c r="P94" s="22"/>
      <c r="Q94" s="22"/>
      <c r="R94" s="22"/>
    </row>
    <row r="95" hidden="1">
      <c r="A95" s="93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19"/>
      <c r="P95" s="22"/>
      <c r="Q95" s="22"/>
      <c r="R95" s="22"/>
    </row>
    <row r="96" hidden="1">
      <c r="A96" s="93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19"/>
      <c r="P96" s="22"/>
      <c r="Q96" s="22"/>
      <c r="R96" s="22"/>
    </row>
    <row r="97" hidden="1">
      <c r="A97" s="93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19"/>
      <c r="P97" s="22"/>
      <c r="Q97" s="22"/>
      <c r="R97" s="22"/>
    </row>
    <row r="98" hidden="1">
      <c r="A98" s="93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19"/>
      <c r="P98" s="22"/>
      <c r="Q98" s="22"/>
      <c r="R98" s="22"/>
    </row>
    <row r="99" hidden="1">
      <c r="A99" s="93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19"/>
      <c r="P99" s="22"/>
      <c r="Q99" s="22"/>
      <c r="R99" s="22"/>
    </row>
    <row r="100" hidden="1">
      <c r="A100" s="93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19"/>
      <c r="P100" s="22"/>
      <c r="Q100" s="22"/>
      <c r="R100" s="22"/>
    </row>
    <row r="101" hidden="1">
      <c r="A101" s="93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19"/>
      <c r="P101" s="22"/>
      <c r="Q101" s="22"/>
      <c r="R101" s="22"/>
    </row>
    <row r="102" hidden="1">
      <c r="A102" s="93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19"/>
      <c r="P102" s="22"/>
      <c r="Q102" s="22"/>
      <c r="R102" s="22"/>
    </row>
    <row r="103" hidden="1">
      <c r="A103" s="93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19"/>
      <c r="P103" s="22"/>
      <c r="Q103" s="22"/>
      <c r="R103" s="22"/>
    </row>
    <row r="104" hidden="1">
      <c r="A104" s="93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19"/>
      <c r="P104" s="22"/>
      <c r="Q104" s="22"/>
      <c r="R104" s="22"/>
    </row>
    <row r="105" hidden="1">
      <c r="A105" s="93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19"/>
      <c r="P105" s="22"/>
      <c r="Q105" s="22"/>
      <c r="R105" s="22"/>
    </row>
    <row r="106" hidden="1">
      <c r="A106" s="93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19"/>
      <c r="P106" s="22"/>
      <c r="Q106" s="22"/>
      <c r="R106" s="22"/>
    </row>
    <row r="107" hidden="1">
      <c r="A107" s="93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19"/>
      <c r="P107" s="22"/>
      <c r="Q107" s="22"/>
      <c r="R107" s="22"/>
    </row>
    <row r="108" hidden="1">
      <c r="A108" s="93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19"/>
      <c r="P108" s="22"/>
      <c r="Q108" s="22"/>
      <c r="R108" s="22"/>
    </row>
    <row r="109" hidden="1">
      <c r="A109" s="93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19"/>
      <c r="P109" s="22"/>
      <c r="Q109" s="22"/>
      <c r="R109" s="22"/>
    </row>
    <row r="110" hidden="1">
      <c r="A110" s="93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19"/>
      <c r="P110" s="22"/>
      <c r="Q110" s="22"/>
      <c r="R110" s="22"/>
    </row>
    <row r="111" hidden="1">
      <c r="A111" s="93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19"/>
      <c r="P111" s="22"/>
      <c r="Q111" s="22"/>
      <c r="R111" s="22"/>
    </row>
    <row r="112" hidden="1">
      <c r="A112" s="93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19"/>
      <c r="P112" s="22"/>
      <c r="Q112" s="22"/>
      <c r="R112" s="22"/>
    </row>
    <row r="113" hidden="1">
      <c r="A113" s="93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19"/>
      <c r="P113" s="22"/>
      <c r="Q113" s="22"/>
      <c r="R113" s="22"/>
    </row>
    <row r="114" hidden="1">
      <c r="A114" s="93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19"/>
      <c r="P114" s="22"/>
      <c r="Q114" s="22"/>
      <c r="R114" s="22"/>
    </row>
    <row r="115" hidden="1">
      <c r="A115" s="93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19"/>
      <c r="P115" s="22"/>
      <c r="Q115" s="22"/>
      <c r="R115" s="22"/>
    </row>
    <row r="116" hidden="1">
      <c r="A116" s="93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19"/>
      <c r="P116" s="22"/>
      <c r="Q116" s="22"/>
      <c r="R116" s="22"/>
    </row>
    <row r="117" hidden="1">
      <c r="A117" s="93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19"/>
      <c r="P117" s="22"/>
      <c r="Q117" s="22"/>
      <c r="R117" s="22"/>
    </row>
    <row r="118" hidden="1">
      <c r="A118" s="93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19"/>
      <c r="P118" s="22"/>
      <c r="Q118" s="22"/>
      <c r="R118" s="22"/>
    </row>
    <row r="119" hidden="1">
      <c r="A119" s="93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19"/>
      <c r="P119" s="22"/>
      <c r="Q119" s="22"/>
      <c r="R119" s="22"/>
    </row>
    <row r="120" hidden="1">
      <c r="A120" s="93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19"/>
      <c r="P120" s="22"/>
      <c r="Q120" s="22"/>
      <c r="R120" s="22"/>
    </row>
    <row r="121" hidden="1">
      <c r="A121" s="93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19"/>
      <c r="P121" s="22"/>
      <c r="Q121" s="22"/>
      <c r="R121" s="22"/>
    </row>
    <row r="122" hidden="1">
      <c r="A122" s="93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19"/>
      <c r="P122" s="22"/>
      <c r="Q122" s="22"/>
      <c r="R122" s="22"/>
    </row>
    <row r="123" hidden="1">
      <c r="A123" s="93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19"/>
      <c r="P123" s="22"/>
      <c r="Q123" s="22"/>
      <c r="R123" s="22"/>
    </row>
    <row r="124" hidden="1">
      <c r="A124" s="93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19"/>
      <c r="P124" s="22"/>
      <c r="Q124" s="22"/>
      <c r="R124" s="22"/>
    </row>
    <row r="125" hidden="1">
      <c r="A125" s="93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19"/>
      <c r="P125" s="22"/>
      <c r="Q125" s="22"/>
      <c r="R125" s="22"/>
    </row>
    <row r="126" hidden="1">
      <c r="A126" s="93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19"/>
      <c r="P126" s="22"/>
      <c r="Q126" s="22"/>
      <c r="R126" s="22"/>
    </row>
    <row r="127" hidden="1">
      <c r="A127" s="93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19"/>
      <c r="P127" s="22"/>
      <c r="Q127" s="22"/>
      <c r="R127" s="22"/>
    </row>
    <row r="128" hidden="1">
      <c r="A128" s="93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19"/>
      <c r="P128" s="22"/>
      <c r="Q128" s="22"/>
      <c r="R128" s="22"/>
    </row>
    <row r="129" hidden="1">
      <c r="A129" s="93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19"/>
      <c r="P129" s="22"/>
      <c r="Q129" s="22"/>
      <c r="R129" s="22"/>
    </row>
    <row r="130" hidden="1">
      <c r="A130" s="93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19"/>
      <c r="P130" s="22"/>
      <c r="Q130" s="22"/>
      <c r="R130" s="22"/>
    </row>
    <row r="131" hidden="1">
      <c r="A131" s="93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19"/>
      <c r="P131" s="22"/>
      <c r="Q131" s="22"/>
      <c r="R131" s="22"/>
    </row>
    <row r="132" hidden="1">
      <c r="A132" s="93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19"/>
      <c r="P132" s="22"/>
      <c r="Q132" s="22"/>
      <c r="R132" s="22"/>
    </row>
    <row r="133" hidden="1">
      <c r="A133" s="93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19"/>
      <c r="P133" s="22"/>
      <c r="Q133" s="22"/>
      <c r="R133" s="22"/>
    </row>
    <row r="134" hidden="1">
      <c r="A134" s="93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19"/>
      <c r="P134" s="22"/>
      <c r="Q134" s="22"/>
      <c r="R134" s="22"/>
    </row>
    <row r="135" hidden="1">
      <c r="A135" s="93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19"/>
      <c r="P135" s="22"/>
      <c r="Q135" s="22"/>
      <c r="R135" s="22"/>
    </row>
    <row r="136" hidden="1">
      <c r="A136" s="93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19"/>
      <c r="P136" s="22"/>
      <c r="Q136" s="22"/>
      <c r="R136" s="22"/>
    </row>
    <row r="137" hidden="1">
      <c r="A137" s="93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19"/>
      <c r="P137" s="22"/>
      <c r="Q137" s="22"/>
      <c r="R137" s="22"/>
    </row>
    <row r="138" hidden="1">
      <c r="A138" s="93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19"/>
      <c r="P138" s="22"/>
      <c r="Q138" s="22"/>
      <c r="R138" s="22"/>
    </row>
    <row r="139" hidden="1">
      <c r="A139" s="93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19"/>
      <c r="P139" s="22"/>
      <c r="Q139" s="22"/>
      <c r="R139" s="22"/>
    </row>
    <row r="140" hidden="1">
      <c r="A140" s="93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19"/>
      <c r="P140" s="22"/>
      <c r="Q140" s="22"/>
      <c r="R140" s="22"/>
    </row>
    <row r="141" hidden="1">
      <c r="A141" s="93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19"/>
      <c r="P141" s="22"/>
      <c r="Q141" s="22"/>
      <c r="R141" s="22"/>
    </row>
    <row r="142" hidden="1">
      <c r="A142" s="93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19"/>
      <c r="P142" s="22"/>
      <c r="Q142" s="22"/>
      <c r="R142" s="22"/>
    </row>
    <row r="143" hidden="1">
      <c r="A143" s="93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19"/>
      <c r="P143" s="22"/>
      <c r="Q143" s="22"/>
      <c r="R143" s="22"/>
    </row>
    <row r="144" hidden="1">
      <c r="A144" s="93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19"/>
      <c r="P144" s="22"/>
      <c r="Q144" s="22"/>
      <c r="R144" s="22"/>
    </row>
    <row r="145" hidden="1">
      <c r="A145" s="93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19"/>
      <c r="P145" s="22"/>
      <c r="Q145" s="22"/>
      <c r="R145" s="22"/>
    </row>
    <row r="146" hidden="1">
      <c r="A146" s="93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19"/>
      <c r="P146" s="22"/>
      <c r="Q146" s="22"/>
      <c r="R146" s="22"/>
    </row>
    <row r="147" hidden="1">
      <c r="A147" s="93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19"/>
      <c r="P147" s="22"/>
      <c r="Q147" s="22"/>
      <c r="R147" s="22"/>
    </row>
    <row r="148" hidden="1">
      <c r="A148" s="93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19"/>
      <c r="P148" s="22"/>
      <c r="Q148" s="22"/>
      <c r="R148" s="22"/>
    </row>
    <row r="149" hidden="1">
      <c r="A149" s="93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19"/>
      <c r="P149" s="22"/>
      <c r="Q149" s="22"/>
      <c r="R149" s="22"/>
    </row>
    <row r="150" hidden="1">
      <c r="A150" s="93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19"/>
      <c r="P150" s="22"/>
      <c r="Q150" s="22"/>
      <c r="R150" s="22"/>
    </row>
    <row r="151" hidden="1">
      <c r="A151" s="93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19"/>
      <c r="P151" s="22"/>
      <c r="Q151" s="22"/>
      <c r="R151" s="22"/>
    </row>
    <row r="152" hidden="1">
      <c r="A152" s="93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19"/>
      <c r="P152" s="22"/>
      <c r="Q152" s="22"/>
      <c r="R152" s="22"/>
    </row>
    <row r="153" hidden="1">
      <c r="A153" s="93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19"/>
      <c r="P153" s="22"/>
      <c r="Q153" s="22"/>
      <c r="R153" s="22"/>
    </row>
    <row r="154" hidden="1">
      <c r="A154" s="93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19"/>
      <c r="P154" s="22"/>
      <c r="Q154" s="22"/>
      <c r="R154" s="22"/>
    </row>
    <row r="155" hidden="1">
      <c r="A155" s="93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19"/>
      <c r="P155" s="22"/>
      <c r="Q155" s="22"/>
      <c r="R155" s="22"/>
    </row>
    <row r="156" hidden="1">
      <c r="A156" s="93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19"/>
      <c r="P156" s="22"/>
      <c r="Q156" s="22"/>
      <c r="R156" s="22"/>
    </row>
    <row r="157" hidden="1">
      <c r="A157" s="93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19"/>
      <c r="P157" s="22"/>
      <c r="Q157" s="22"/>
      <c r="R157" s="22"/>
    </row>
    <row r="158" hidden="1">
      <c r="A158" s="93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19"/>
      <c r="P158" s="22"/>
      <c r="Q158" s="22"/>
      <c r="R158" s="22"/>
    </row>
    <row r="159" hidden="1">
      <c r="A159" s="93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19"/>
      <c r="P159" s="22"/>
      <c r="Q159" s="22"/>
      <c r="R159" s="22"/>
    </row>
    <row r="160" hidden="1">
      <c r="A160" s="93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19"/>
      <c r="P160" s="22"/>
      <c r="Q160" s="22"/>
      <c r="R160" s="22"/>
    </row>
    <row r="161" hidden="1">
      <c r="A161" s="93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19"/>
      <c r="P161" s="22"/>
      <c r="Q161" s="22"/>
      <c r="R161" s="22"/>
    </row>
    <row r="162" hidden="1">
      <c r="A162" s="93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19"/>
      <c r="P162" s="22"/>
      <c r="Q162" s="22"/>
      <c r="R162" s="22"/>
    </row>
    <row r="163" hidden="1">
      <c r="A163" s="93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19"/>
      <c r="P163" s="22"/>
      <c r="Q163" s="22"/>
      <c r="R163" s="22"/>
    </row>
    <row r="164" hidden="1">
      <c r="A164" s="93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19"/>
      <c r="P164" s="22"/>
      <c r="Q164" s="22"/>
      <c r="R164" s="22"/>
    </row>
    <row r="165" hidden="1">
      <c r="A165" s="93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19"/>
      <c r="P165" s="22"/>
      <c r="Q165" s="22"/>
      <c r="R165" s="22"/>
    </row>
    <row r="166" hidden="1">
      <c r="A166" s="93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19"/>
      <c r="P166" s="22"/>
      <c r="Q166" s="22"/>
      <c r="R166" s="22"/>
    </row>
    <row r="167" hidden="1">
      <c r="A167" s="93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19"/>
      <c r="P167" s="22"/>
      <c r="Q167" s="22"/>
      <c r="R167" s="22"/>
    </row>
    <row r="168" hidden="1">
      <c r="A168" s="93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19"/>
      <c r="P168" s="22"/>
      <c r="Q168" s="22"/>
      <c r="R168" s="22"/>
    </row>
    <row r="169" hidden="1">
      <c r="A169" s="93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19"/>
      <c r="P169" s="22"/>
      <c r="Q169" s="22"/>
      <c r="R169" s="22"/>
    </row>
    <row r="170" hidden="1">
      <c r="A170" s="93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19"/>
      <c r="P170" s="22"/>
      <c r="Q170" s="22"/>
      <c r="R170" s="22"/>
    </row>
    <row r="171" hidden="1">
      <c r="A171" s="93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19"/>
      <c r="P171" s="22"/>
      <c r="Q171" s="22"/>
      <c r="R171" s="22"/>
    </row>
    <row r="172" hidden="1">
      <c r="A172" s="93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19"/>
      <c r="P172" s="22"/>
      <c r="Q172" s="22"/>
      <c r="R172" s="22"/>
    </row>
    <row r="173" hidden="1">
      <c r="A173" s="93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19"/>
      <c r="P173" s="22"/>
      <c r="Q173" s="22"/>
      <c r="R173" s="22"/>
    </row>
    <row r="174" hidden="1">
      <c r="A174" s="93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19"/>
      <c r="P174" s="22"/>
      <c r="Q174" s="22"/>
      <c r="R174" s="22"/>
    </row>
    <row r="175" hidden="1">
      <c r="A175" s="93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19"/>
      <c r="P175" s="22"/>
      <c r="Q175" s="22"/>
      <c r="R175" s="22"/>
    </row>
    <row r="176" hidden="1">
      <c r="A176" s="93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19"/>
      <c r="P176" s="22"/>
      <c r="Q176" s="22"/>
      <c r="R176" s="22"/>
    </row>
    <row r="177" hidden="1">
      <c r="A177" s="93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19"/>
      <c r="P177" s="22"/>
      <c r="Q177" s="22"/>
      <c r="R177" s="22"/>
    </row>
    <row r="178" hidden="1">
      <c r="A178" s="93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19"/>
      <c r="P178" s="22"/>
      <c r="Q178" s="22"/>
      <c r="R178" s="22"/>
    </row>
    <row r="179" hidden="1">
      <c r="A179" s="93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19"/>
      <c r="P179" s="22"/>
      <c r="Q179" s="22"/>
      <c r="R179" s="22"/>
    </row>
    <row r="180" hidden="1">
      <c r="A180" s="93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19"/>
      <c r="P180" s="22"/>
      <c r="Q180" s="22"/>
      <c r="R180" s="22"/>
    </row>
    <row r="181" hidden="1">
      <c r="A181" s="93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19"/>
      <c r="P181" s="22"/>
      <c r="Q181" s="22"/>
      <c r="R181" s="22"/>
    </row>
    <row r="182" hidden="1">
      <c r="A182" s="93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19"/>
      <c r="P182" s="22"/>
      <c r="Q182" s="22"/>
      <c r="R182" s="22"/>
    </row>
    <row r="183" hidden="1">
      <c r="A183" s="93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19"/>
      <c r="P183" s="22"/>
      <c r="Q183" s="22"/>
      <c r="R183" s="22"/>
    </row>
    <row r="184" hidden="1">
      <c r="A184" s="93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19"/>
      <c r="P184" s="22"/>
      <c r="Q184" s="22"/>
      <c r="R184" s="22"/>
    </row>
    <row r="185" hidden="1">
      <c r="A185" s="93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19"/>
      <c r="P185" s="22"/>
      <c r="Q185" s="22"/>
      <c r="R185" s="22"/>
    </row>
    <row r="186" hidden="1">
      <c r="A186" s="93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19"/>
      <c r="P186" s="22"/>
      <c r="Q186" s="22"/>
      <c r="R186" s="22"/>
    </row>
    <row r="187" hidden="1">
      <c r="A187" s="93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19"/>
      <c r="P187" s="22"/>
      <c r="Q187" s="22"/>
      <c r="R187" s="22"/>
    </row>
    <row r="188" hidden="1">
      <c r="A188" s="93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19"/>
      <c r="P188" s="22"/>
      <c r="Q188" s="22"/>
      <c r="R188" s="22"/>
    </row>
    <row r="189" hidden="1">
      <c r="A189" s="93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19"/>
      <c r="P189" s="22"/>
      <c r="Q189" s="22"/>
      <c r="R189" s="22"/>
    </row>
    <row r="190" hidden="1">
      <c r="A190" s="93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19"/>
      <c r="P190" s="22"/>
      <c r="Q190" s="22"/>
      <c r="R190" s="22"/>
    </row>
    <row r="191" hidden="1">
      <c r="A191" s="93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19"/>
      <c r="P191" s="22"/>
      <c r="Q191" s="22"/>
      <c r="R191" s="22"/>
    </row>
    <row r="192" hidden="1">
      <c r="A192" s="93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19"/>
      <c r="P192" s="22"/>
      <c r="Q192" s="22"/>
      <c r="R192" s="22"/>
    </row>
    <row r="193" hidden="1">
      <c r="A193" s="93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19"/>
      <c r="P193" s="22"/>
      <c r="Q193" s="22"/>
      <c r="R193" s="22"/>
    </row>
    <row r="194" hidden="1">
      <c r="A194" s="93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19"/>
      <c r="P194" s="22"/>
      <c r="Q194" s="22"/>
      <c r="R194" s="22"/>
    </row>
    <row r="195" hidden="1">
      <c r="A195" s="93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19"/>
      <c r="P195" s="22"/>
      <c r="Q195" s="22"/>
      <c r="R195" s="22"/>
    </row>
    <row r="196" hidden="1">
      <c r="A196" s="93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19"/>
      <c r="P196" s="22"/>
      <c r="Q196" s="22"/>
      <c r="R196" s="22"/>
    </row>
    <row r="197" hidden="1">
      <c r="A197" s="93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19"/>
      <c r="P197" s="22"/>
      <c r="Q197" s="22"/>
      <c r="R197" s="22"/>
    </row>
    <row r="198" hidden="1">
      <c r="A198" s="93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19"/>
      <c r="P198" s="22"/>
      <c r="Q198" s="22"/>
      <c r="R198" s="22"/>
    </row>
    <row r="199" hidden="1">
      <c r="A199" s="93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19"/>
      <c r="P199" s="22"/>
      <c r="Q199" s="22"/>
      <c r="R199" s="22"/>
    </row>
    <row r="200" hidden="1">
      <c r="A200" s="93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19"/>
      <c r="P200" s="22"/>
      <c r="Q200" s="22"/>
      <c r="R200" s="22"/>
    </row>
    <row r="201" hidden="1">
      <c r="A201" s="93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19"/>
      <c r="P201" s="22"/>
      <c r="Q201" s="22"/>
      <c r="R201" s="22"/>
    </row>
    <row r="202" hidden="1">
      <c r="A202" s="93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19"/>
      <c r="P202" s="22"/>
      <c r="Q202" s="22"/>
      <c r="R202" s="22"/>
    </row>
    <row r="203" hidden="1">
      <c r="A203" s="93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19"/>
      <c r="P203" s="22"/>
      <c r="Q203" s="22"/>
      <c r="R203" s="22"/>
    </row>
    <row r="204" hidden="1">
      <c r="A204" s="93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19"/>
      <c r="P204" s="22"/>
      <c r="Q204" s="22"/>
      <c r="R204" s="22"/>
    </row>
    <row r="205" hidden="1">
      <c r="A205" s="93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19"/>
      <c r="P205" s="22"/>
      <c r="Q205" s="22"/>
      <c r="R205" s="22"/>
    </row>
    <row r="206" hidden="1">
      <c r="A206" s="93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19"/>
      <c r="P206" s="22"/>
      <c r="Q206" s="22"/>
      <c r="R206" s="22"/>
    </row>
    <row r="207" hidden="1">
      <c r="A207" s="93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19"/>
      <c r="P207" s="22"/>
      <c r="Q207" s="22"/>
      <c r="R207" s="22"/>
    </row>
    <row r="208" hidden="1">
      <c r="A208" s="93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19"/>
      <c r="P208" s="22"/>
      <c r="Q208" s="22"/>
      <c r="R208" s="22"/>
    </row>
    <row r="209" hidden="1">
      <c r="A209" s="93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19"/>
      <c r="P209" s="22"/>
      <c r="Q209" s="22"/>
      <c r="R209" s="22"/>
    </row>
    <row r="210" hidden="1">
      <c r="A210" s="93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19"/>
      <c r="P210" s="22"/>
      <c r="Q210" s="22"/>
      <c r="R210" s="22"/>
    </row>
    <row r="211" hidden="1">
      <c r="A211" s="93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19"/>
      <c r="P211" s="22"/>
      <c r="Q211" s="22"/>
      <c r="R211" s="22"/>
    </row>
    <row r="212" hidden="1">
      <c r="A212" s="93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19"/>
      <c r="P212" s="22"/>
      <c r="Q212" s="22"/>
      <c r="R212" s="22"/>
    </row>
    <row r="213" hidden="1">
      <c r="A213" s="93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19"/>
      <c r="P213" s="22"/>
      <c r="Q213" s="22"/>
      <c r="R213" s="22"/>
    </row>
    <row r="214" hidden="1">
      <c r="A214" s="93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19"/>
      <c r="P214" s="22"/>
      <c r="Q214" s="22"/>
      <c r="R214" s="22"/>
    </row>
    <row r="215" hidden="1">
      <c r="A215" s="93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19"/>
      <c r="P215" s="22"/>
      <c r="Q215" s="22"/>
      <c r="R215" s="22"/>
    </row>
    <row r="216" hidden="1">
      <c r="A216" s="93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19"/>
      <c r="P216" s="22"/>
      <c r="Q216" s="22"/>
      <c r="R216" s="22"/>
    </row>
    <row r="217" hidden="1">
      <c r="A217" s="93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19"/>
      <c r="P217" s="22"/>
      <c r="Q217" s="22"/>
      <c r="R217" s="22"/>
    </row>
    <row r="218" hidden="1">
      <c r="A218" s="93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19"/>
      <c r="P218" s="22"/>
      <c r="Q218" s="22"/>
      <c r="R218" s="22"/>
    </row>
    <row r="219" hidden="1">
      <c r="A219" s="93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19"/>
      <c r="P219" s="22"/>
      <c r="Q219" s="22"/>
      <c r="R219" s="22"/>
    </row>
    <row r="220" hidden="1">
      <c r="A220" s="93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19"/>
      <c r="P220" s="22"/>
      <c r="Q220" s="22"/>
      <c r="R220" s="22"/>
    </row>
    <row r="221" hidden="1">
      <c r="A221" s="93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19"/>
      <c r="P221" s="22"/>
      <c r="Q221" s="22"/>
      <c r="R221" s="22"/>
    </row>
    <row r="222" hidden="1">
      <c r="A222" s="93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19"/>
      <c r="P222" s="22"/>
      <c r="Q222" s="22"/>
      <c r="R222" s="22"/>
    </row>
    <row r="223" hidden="1">
      <c r="A223" s="93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19"/>
      <c r="P223" s="22"/>
      <c r="Q223" s="22"/>
      <c r="R223" s="22"/>
    </row>
    <row r="224" hidden="1">
      <c r="A224" s="93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19"/>
      <c r="P224" s="22"/>
      <c r="Q224" s="22"/>
      <c r="R224" s="22"/>
    </row>
    <row r="225" hidden="1">
      <c r="A225" s="93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19"/>
      <c r="P225" s="22"/>
      <c r="Q225" s="22"/>
      <c r="R225" s="22"/>
    </row>
    <row r="226" hidden="1">
      <c r="A226" s="93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19"/>
      <c r="P226" s="22"/>
      <c r="Q226" s="22"/>
      <c r="R226" s="22"/>
    </row>
    <row r="227" hidden="1">
      <c r="A227" s="93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19"/>
      <c r="P227" s="22"/>
      <c r="Q227" s="22"/>
      <c r="R227" s="22"/>
    </row>
    <row r="228" hidden="1">
      <c r="A228" s="93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19"/>
      <c r="P228" s="22"/>
      <c r="Q228" s="22"/>
      <c r="R228" s="22"/>
    </row>
    <row r="229" hidden="1">
      <c r="A229" s="93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19"/>
      <c r="P229" s="22"/>
      <c r="Q229" s="22"/>
      <c r="R229" s="22"/>
    </row>
    <row r="230" hidden="1">
      <c r="A230" s="93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19"/>
      <c r="P230" s="22"/>
      <c r="Q230" s="22"/>
      <c r="R230" s="22"/>
    </row>
    <row r="231" hidden="1">
      <c r="A231" s="93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19"/>
      <c r="P231" s="22"/>
      <c r="Q231" s="22"/>
      <c r="R231" s="22"/>
    </row>
    <row r="232" hidden="1">
      <c r="A232" s="93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19"/>
      <c r="P232" s="22"/>
      <c r="Q232" s="22"/>
      <c r="R232" s="22"/>
    </row>
    <row r="233" hidden="1">
      <c r="A233" s="93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19"/>
      <c r="P233" s="22"/>
      <c r="Q233" s="22"/>
      <c r="R233" s="22"/>
    </row>
    <row r="234" hidden="1">
      <c r="A234" s="93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19"/>
      <c r="P234" s="22"/>
      <c r="Q234" s="22"/>
      <c r="R234" s="22"/>
    </row>
    <row r="235" hidden="1">
      <c r="A235" s="93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19"/>
      <c r="P235" s="22"/>
      <c r="Q235" s="22"/>
      <c r="R235" s="22"/>
    </row>
    <row r="236" hidden="1">
      <c r="A236" s="93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19"/>
      <c r="P236" s="22"/>
      <c r="Q236" s="22"/>
      <c r="R236" s="22"/>
    </row>
    <row r="237" hidden="1">
      <c r="A237" s="93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19"/>
      <c r="P237" s="22"/>
      <c r="Q237" s="22"/>
      <c r="R237" s="22"/>
    </row>
    <row r="238" hidden="1">
      <c r="A238" s="93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19"/>
      <c r="P238" s="22"/>
      <c r="Q238" s="22"/>
      <c r="R238" s="22"/>
    </row>
    <row r="239" hidden="1">
      <c r="A239" s="93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19"/>
      <c r="P239" s="22"/>
      <c r="Q239" s="22"/>
      <c r="R239" s="22"/>
    </row>
    <row r="240" hidden="1">
      <c r="A240" s="93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19"/>
      <c r="P240" s="22"/>
      <c r="Q240" s="22"/>
      <c r="R240" s="22"/>
    </row>
    <row r="241" hidden="1">
      <c r="A241" s="93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19"/>
      <c r="P241" s="22"/>
      <c r="Q241" s="22"/>
      <c r="R241" s="22"/>
    </row>
    <row r="242" hidden="1">
      <c r="A242" s="93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19"/>
      <c r="P242" s="22"/>
      <c r="Q242" s="22"/>
      <c r="R242" s="22"/>
    </row>
    <row r="243" hidden="1">
      <c r="A243" s="93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19"/>
      <c r="P243" s="22"/>
      <c r="Q243" s="22"/>
      <c r="R243" s="22"/>
    </row>
    <row r="244" hidden="1">
      <c r="A244" s="93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19"/>
      <c r="P244" s="22"/>
      <c r="Q244" s="22"/>
      <c r="R244" s="22"/>
    </row>
    <row r="245" hidden="1">
      <c r="A245" s="93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19"/>
      <c r="P245" s="22"/>
      <c r="Q245" s="22"/>
      <c r="R245" s="22"/>
    </row>
    <row r="246" hidden="1">
      <c r="A246" s="93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19"/>
      <c r="P246" s="22"/>
      <c r="Q246" s="22"/>
      <c r="R246" s="22"/>
    </row>
    <row r="247" hidden="1">
      <c r="A247" s="93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19"/>
      <c r="P247" s="22"/>
      <c r="Q247" s="22"/>
      <c r="R247" s="22"/>
    </row>
    <row r="248" hidden="1">
      <c r="A248" s="93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19"/>
      <c r="P248" s="22"/>
      <c r="Q248" s="22"/>
      <c r="R248" s="22"/>
    </row>
    <row r="249" hidden="1">
      <c r="A249" s="93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19"/>
      <c r="P249" s="22"/>
      <c r="Q249" s="22"/>
      <c r="R249" s="22"/>
    </row>
    <row r="250" hidden="1">
      <c r="A250" s="93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19"/>
      <c r="P250" s="22"/>
      <c r="Q250" s="22"/>
      <c r="R250" s="22"/>
    </row>
    <row r="251" hidden="1">
      <c r="A251" s="93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19"/>
      <c r="P251" s="22"/>
      <c r="Q251" s="22"/>
      <c r="R251" s="22"/>
    </row>
    <row r="252" hidden="1">
      <c r="A252" s="93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19"/>
      <c r="P252" s="22"/>
      <c r="Q252" s="22"/>
      <c r="R252" s="22"/>
    </row>
    <row r="253" hidden="1">
      <c r="A253" s="93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19"/>
      <c r="P253" s="22"/>
      <c r="Q253" s="22"/>
      <c r="R253" s="22"/>
    </row>
    <row r="254" hidden="1">
      <c r="A254" s="93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19"/>
      <c r="P254" s="22"/>
      <c r="Q254" s="22"/>
      <c r="R254" s="22"/>
    </row>
    <row r="255" hidden="1">
      <c r="A255" s="93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19"/>
      <c r="P255" s="22"/>
      <c r="Q255" s="22"/>
      <c r="R255" s="22"/>
    </row>
    <row r="256" hidden="1">
      <c r="A256" s="93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19"/>
      <c r="P256" s="22"/>
      <c r="Q256" s="22"/>
      <c r="R256" s="22"/>
    </row>
    <row r="257" hidden="1">
      <c r="A257" s="93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19"/>
      <c r="P257" s="22"/>
      <c r="Q257" s="22"/>
      <c r="R257" s="22"/>
    </row>
    <row r="258" hidden="1">
      <c r="A258" s="93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19"/>
      <c r="P258" s="22"/>
      <c r="Q258" s="22"/>
      <c r="R258" s="22"/>
    </row>
    <row r="259" hidden="1">
      <c r="A259" s="93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19"/>
      <c r="P259" s="22"/>
      <c r="Q259" s="22"/>
      <c r="R259" s="22"/>
    </row>
    <row r="260" hidden="1">
      <c r="A260" s="93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19"/>
      <c r="P260" s="22"/>
      <c r="Q260" s="22"/>
      <c r="R260" s="22"/>
    </row>
    <row r="261" hidden="1">
      <c r="A261" s="93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19"/>
      <c r="P261" s="22"/>
      <c r="Q261" s="22"/>
      <c r="R261" s="22"/>
    </row>
    <row r="262" hidden="1">
      <c r="A262" s="93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19"/>
      <c r="P262" s="22"/>
      <c r="Q262" s="22"/>
      <c r="R262" s="22"/>
    </row>
    <row r="263" hidden="1">
      <c r="A263" s="93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19"/>
      <c r="P263" s="22"/>
      <c r="Q263" s="22"/>
      <c r="R263" s="22"/>
    </row>
    <row r="264" hidden="1">
      <c r="A264" s="93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19"/>
      <c r="P264" s="22"/>
      <c r="Q264" s="22"/>
      <c r="R264" s="22"/>
    </row>
    <row r="265" hidden="1">
      <c r="A265" s="93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19"/>
      <c r="P265" s="22"/>
      <c r="Q265" s="22"/>
      <c r="R265" s="22"/>
    </row>
    <row r="266" hidden="1">
      <c r="A266" s="93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19"/>
      <c r="P266" s="22"/>
      <c r="Q266" s="22"/>
      <c r="R266" s="22"/>
    </row>
    <row r="267" hidden="1">
      <c r="A267" s="93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19"/>
      <c r="P267" s="22"/>
      <c r="Q267" s="22"/>
      <c r="R267" s="22"/>
    </row>
    <row r="268" hidden="1">
      <c r="A268" s="93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19"/>
      <c r="P268" s="22"/>
      <c r="Q268" s="22"/>
      <c r="R268" s="22"/>
    </row>
    <row r="269" hidden="1">
      <c r="A269" s="93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19"/>
      <c r="P269" s="22"/>
      <c r="Q269" s="22"/>
      <c r="R269" s="22"/>
    </row>
    <row r="270" hidden="1">
      <c r="A270" s="93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19"/>
      <c r="P270" s="22"/>
      <c r="Q270" s="22"/>
      <c r="R270" s="22"/>
    </row>
    <row r="271" hidden="1">
      <c r="A271" s="93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19"/>
      <c r="P271" s="22"/>
      <c r="Q271" s="22"/>
      <c r="R271" s="22"/>
    </row>
    <row r="272" hidden="1">
      <c r="A272" s="93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19"/>
      <c r="P272" s="22"/>
      <c r="Q272" s="22"/>
      <c r="R272" s="22"/>
    </row>
    <row r="273" hidden="1">
      <c r="A273" s="93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19"/>
      <c r="P273" s="22"/>
      <c r="Q273" s="22"/>
      <c r="R273" s="22"/>
    </row>
    <row r="274" hidden="1">
      <c r="A274" s="93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19"/>
      <c r="P274" s="22"/>
      <c r="Q274" s="22"/>
      <c r="R274" s="22"/>
    </row>
    <row r="275" hidden="1">
      <c r="A275" s="93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19"/>
      <c r="P275" s="22"/>
      <c r="Q275" s="22"/>
      <c r="R275" s="22"/>
    </row>
    <row r="276" hidden="1">
      <c r="A276" s="93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19"/>
      <c r="P276" s="22"/>
      <c r="Q276" s="22"/>
      <c r="R276" s="22"/>
    </row>
    <row r="277" hidden="1">
      <c r="A277" s="93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19"/>
      <c r="P277" s="22"/>
      <c r="Q277" s="22"/>
      <c r="R277" s="22"/>
    </row>
    <row r="278" hidden="1">
      <c r="A278" s="93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19"/>
      <c r="P278" s="22"/>
      <c r="Q278" s="22"/>
      <c r="R278" s="22"/>
    </row>
    <row r="279" hidden="1">
      <c r="A279" s="93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19"/>
      <c r="P279" s="22"/>
      <c r="Q279" s="22"/>
      <c r="R279" s="22"/>
    </row>
    <row r="280" hidden="1">
      <c r="A280" s="93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19"/>
      <c r="P280" s="22"/>
      <c r="Q280" s="22"/>
      <c r="R280" s="22"/>
    </row>
    <row r="281" hidden="1">
      <c r="A281" s="93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19"/>
      <c r="P281" s="22"/>
      <c r="Q281" s="22"/>
      <c r="R281" s="22"/>
    </row>
    <row r="282" hidden="1">
      <c r="A282" s="93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19"/>
      <c r="P282" s="22"/>
      <c r="Q282" s="22"/>
      <c r="R282" s="22"/>
    </row>
    <row r="283" hidden="1">
      <c r="A283" s="93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19"/>
      <c r="P283" s="22"/>
      <c r="Q283" s="22"/>
      <c r="R283" s="22"/>
    </row>
    <row r="284" hidden="1">
      <c r="A284" s="93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19"/>
      <c r="P284" s="22"/>
      <c r="Q284" s="22"/>
      <c r="R284" s="22"/>
    </row>
    <row r="285" hidden="1">
      <c r="A285" s="93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19"/>
      <c r="P285" s="22"/>
      <c r="Q285" s="22"/>
      <c r="R285" s="22"/>
    </row>
    <row r="286" hidden="1">
      <c r="A286" s="93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19"/>
      <c r="P286" s="22"/>
      <c r="Q286" s="22"/>
      <c r="R286" s="22"/>
    </row>
    <row r="287" hidden="1">
      <c r="A287" s="93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19"/>
      <c r="P287" s="22"/>
      <c r="Q287" s="22"/>
      <c r="R287" s="22"/>
    </row>
    <row r="288" hidden="1">
      <c r="A288" s="93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19"/>
      <c r="P288" s="22"/>
      <c r="Q288" s="22"/>
      <c r="R288" s="22"/>
    </row>
    <row r="289" hidden="1">
      <c r="A289" s="93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19"/>
      <c r="P289" s="22"/>
      <c r="Q289" s="22"/>
      <c r="R289" s="22"/>
    </row>
    <row r="290" hidden="1">
      <c r="A290" s="93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19"/>
      <c r="P290" s="22"/>
      <c r="Q290" s="22"/>
      <c r="R290" s="22"/>
    </row>
    <row r="291" hidden="1">
      <c r="A291" s="93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19"/>
      <c r="P291" s="22"/>
      <c r="Q291" s="22"/>
      <c r="R291" s="22"/>
    </row>
    <row r="292" hidden="1">
      <c r="A292" s="93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19"/>
      <c r="P292" s="22"/>
      <c r="Q292" s="22"/>
      <c r="R292" s="22"/>
    </row>
    <row r="293" hidden="1">
      <c r="A293" s="93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19"/>
      <c r="P293" s="22"/>
      <c r="Q293" s="22"/>
      <c r="R293" s="22"/>
    </row>
    <row r="294" hidden="1">
      <c r="A294" s="93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19"/>
      <c r="P294" s="22"/>
      <c r="Q294" s="22"/>
      <c r="R294" s="22"/>
    </row>
    <row r="295" hidden="1">
      <c r="A295" s="93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19"/>
      <c r="P295" s="22"/>
      <c r="Q295" s="22"/>
      <c r="R295" s="22"/>
    </row>
    <row r="296" hidden="1">
      <c r="A296" s="93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19"/>
      <c r="P296" s="22"/>
      <c r="Q296" s="22"/>
      <c r="R296" s="22"/>
    </row>
    <row r="297" hidden="1">
      <c r="A297" s="93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19"/>
      <c r="P297" s="22"/>
      <c r="Q297" s="22"/>
      <c r="R297" s="22"/>
    </row>
    <row r="298" hidden="1">
      <c r="A298" s="93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19"/>
      <c r="P298" s="22"/>
      <c r="Q298" s="22"/>
      <c r="R298" s="22"/>
    </row>
    <row r="299" hidden="1">
      <c r="A299" s="93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19"/>
      <c r="P299" s="22"/>
      <c r="Q299" s="22"/>
      <c r="R299" s="22"/>
    </row>
    <row r="300" hidden="1">
      <c r="A300" s="93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19"/>
      <c r="P300" s="22"/>
      <c r="Q300" s="22"/>
      <c r="R300" s="22"/>
    </row>
    <row r="301" hidden="1">
      <c r="A301" s="93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19"/>
      <c r="P301" s="22"/>
      <c r="Q301" s="22"/>
      <c r="R301" s="22"/>
    </row>
    <row r="302" hidden="1">
      <c r="A302" s="93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19"/>
      <c r="P302" s="22"/>
      <c r="Q302" s="22"/>
      <c r="R302" s="22"/>
    </row>
    <row r="303" hidden="1">
      <c r="A303" s="93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19"/>
      <c r="P303" s="22"/>
      <c r="Q303" s="22"/>
      <c r="R303" s="22"/>
    </row>
    <row r="304" hidden="1">
      <c r="A304" s="93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19"/>
      <c r="P304" s="22"/>
      <c r="Q304" s="22"/>
      <c r="R304" s="22"/>
    </row>
    <row r="305" hidden="1">
      <c r="A305" s="93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19"/>
      <c r="P305" s="22"/>
      <c r="Q305" s="22"/>
      <c r="R305" s="22"/>
    </row>
    <row r="306" hidden="1">
      <c r="A306" s="93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19"/>
      <c r="P306" s="22"/>
      <c r="Q306" s="22"/>
      <c r="R306" s="22"/>
    </row>
    <row r="307" hidden="1">
      <c r="A307" s="93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19"/>
      <c r="P307" s="22"/>
      <c r="Q307" s="22"/>
      <c r="R307" s="22"/>
    </row>
    <row r="308" hidden="1">
      <c r="A308" s="93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19"/>
      <c r="P308" s="22"/>
      <c r="Q308" s="22"/>
      <c r="R308" s="22"/>
    </row>
    <row r="309" hidden="1">
      <c r="A309" s="93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19"/>
      <c r="P309" s="22"/>
      <c r="Q309" s="22"/>
      <c r="R309" s="22"/>
    </row>
    <row r="310" hidden="1">
      <c r="A310" s="93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19"/>
      <c r="P310" s="22"/>
      <c r="Q310" s="22"/>
      <c r="R310" s="22"/>
    </row>
    <row r="311" hidden="1">
      <c r="A311" s="93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19"/>
      <c r="P311" s="22"/>
      <c r="Q311" s="22"/>
      <c r="R311" s="22"/>
    </row>
    <row r="312" hidden="1">
      <c r="A312" s="93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19"/>
      <c r="P312" s="22"/>
      <c r="Q312" s="22"/>
      <c r="R312" s="22"/>
    </row>
    <row r="313" hidden="1">
      <c r="A313" s="93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19"/>
      <c r="P313" s="22"/>
      <c r="Q313" s="22"/>
      <c r="R313" s="22"/>
    </row>
    <row r="314" hidden="1">
      <c r="A314" s="93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19"/>
      <c r="P314" s="22"/>
      <c r="Q314" s="22"/>
      <c r="R314" s="22"/>
    </row>
    <row r="315" hidden="1">
      <c r="A315" s="93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19"/>
      <c r="P315" s="22"/>
      <c r="Q315" s="22"/>
      <c r="R315" s="22"/>
    </row>
    <row r="316" hidden="1">
      <c r="A316" s="93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19"/>
      <c r="P316" s="22"/>
      <c r="Q316" s="22"/>
      <c r="R316" s="22"/>
    </row>
    <row r="317" hidden="1">
      <c r="A317" s="93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19"/>
      <c r="P317" s="22"/>
      <c r="Q317" s="22"/>
      <c r="R317" s="22"/>
    </row>
    <row r="318" hidden="1">
      <c r="A318" s="93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19"/>
      <c r="P318" s="22"/>
      <c r="Q318" s="22"/>
      <c r="R318" s="22"/>
    </row>
    <row r="319" hidden="1">
      <c r="A319" s="93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19"/>
      <c r="P319" s="22"/>
      <c r="Q319" s="22"/>
      <c r="R319" s="22"/>
    </row>
    <row r="320" hidden="1">
      <c r="A320" s="93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19"/>
      <c r="P320" s="22"/>
      <c r="Q320" s="22"/>
      <c r="R320" s="22"/>
    </row>
    <row r="321" hidden="1">
      <c r="A321" s="93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19"/>
      <c r="P321" s="22"/>
      <c r="Q321" s="22"/>
      <c r="R321" s="22"/>
    </row>
    <row r="322" hidden="1">
      <c r="A322" s="93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19"/>
      <c r="P322" s="22"/>
      <c r="Q322" s="22"/>
      <c r="R322" s="22"/>
    </row>
    <row r="323" hidden="1">
      <c r="A323" s="93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19"/>
      <c r="P323" s="22"/>
      <c r="Q323" s="22"/>
      <c r="R323" s="22"/>
    </row>
    <row r="324" hidden="1">
      <c r="A324" s="93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19"/>
      <c r="P324" s="22"/>
      <c r="Q324" s="22"/>
      <c r="R324" s="22"/>
    </row>
    <row r="325" hidden="1">
      <c r="A325" s="93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19"/>
      <c r="P325" s="22"/>
      <c r="Q325" s="22"/>
      <c r="R325" s="22"/>
    </row>
    <row r="326" hidden="1">
      <c r="A326" s="93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19"/>
      <c r="P326" s="22"/>
      <c r="Q326" s="22"/>
      <c r="R326" s="22"/>
    </row>
    <row r="327" hidden="1">
      <c r="A327" s="93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19"/>
      <c r="P327" s="22"/>
      <c r="Q327" s="22"/>
      <c r="R327" s="22"/>
    </row>
    <row r="328" hidden="1">
      <c r="A328" s="93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19"/>
      <c r="P328" s="22"/>
      <c r="Q328" s="22"/>
      <c r="R328" s="22"/>
    </row>
    <row r="329" hidden="1">
      <c r="A329" s="93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19"/>
      <c r="P329" s="22"/>
      <c r="Q329" s="22"/>
      <c r="R329" s="22"/>
    </row>
    <row r="330" hidden="1">
      <c r="A330" s="93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19"/>
      <c r="P330" s="22"/>
      <c r="Q330" s="22"/>
      <c r="R330" s="22"/>
    </row>
    <row r="331" hidden="1">
      <c r="A331" s="93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19"/>
      <c r="P331" s="22"/>
      <c r="Q331" s="22"/>
      <c r="R331" s="22"/>
    </row>
    <row r="332" hidden="1">
      <c r="A332" s="93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19"/>
      <c r="P332" s="22"/>
      <c r="Q332" s="22"/>
      <c r="R332" s="22"/>
    </row>
    <row r="333" hidden="1">
      <c r="A333" s="93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19"/>
      <c r="P333" s="22"/>
      <c r="Q333" s="22"/>
      <c r="R333" s="22"/>
    </row>
    <row r="334" hidden="1">
      <c r="A334" s="93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19"/>
      <c r="P334" s="22"/>
      <c r="Q334" s="22"/>
      <c r="R334" s="22"/>
    </row>
    <row r="335" hidden="1">
      <c r="A335" s="93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19"/>
      <c r="P335" s="22"/>
      <c r="Q335" s="22"/>
      <c r="R335" s="22"/>
    </row>
    <row r="336" hidden="1">
      <c r="A336" s="93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19"/>
      <c r="P336" s="22"/>
      <c r="Q336" s="22"/>
      <c r="R336" s="22"/>
    </row>
    <row r="337" hidden="1">
      <c r="A337" s="93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19"/>
      <c r="P337" s="22"/>
      <c r="Q337" s="22"/>
      <c r="R337" s="22"/>
    </row>
    <row r="338" hidden="1">
      <c r="A338" s="93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19"/>
      <c r="P338" s="22"/>
      <c r="Q338" s="22"/>
      <c r="R338" s="22"/>
    </row>
    <row r="339" hidden="1">
      <c r="A339" s="93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19"/>
      <c r="P339" s="22"/>
      <c r="Q339" s="22"/>
      <c r="R339" s="22"/>
    </row>
    <row r="340" hidden="1">
      <c r="A340" s="93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19"/>
      <c r="P340" s="22"/>
      <c r="Q340" s="22"/>
      <c r="R340" s="22"/>
    </row>
    <row r="341" hidden="1">
      <c r="A341" s="93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19"/>
      <c r="P341" s="22"/>
      <c r="Q341" s="22"/>
      <c r="R341" s="22"/>
    </row>
    <row r="342" hidden="1">
      <c r="A342" s="93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19"/>
      <c r="P342" s="22"/>
      <c r="Q342" s="22"/>
      <c r="R342" s="22"/>
    </row>
    <row r="343" hidden="1">
      <c r="A343" s="93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19"/>
      <c r="P343" s="22"/>
      <c r="Q343" s="22"/>
      <c r="R343" s="22"/>
    </row>
    <row r="344" hidden="1">
      <c r="A344" s="93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19"/>
      <c r="P344" s="22"/>
      <c r="Q344" s="22"/>
      <c r="R344" s="22"/>
    </row>
    <row r="345" hidden="1">
      <c r="A345" s="93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19"/>
      <c r="P345" s="22"/>
      <c r="Q345" s="22"/>
      <c r="R345" s="22"/>
    </row>
    <row r="346" hidden="1">
      <c r="A346" s="93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19"/>
      <c r="P346" s="22"/>
      <c r="Q346" s="22"/>
      <c r="R346" s="22"/>
    </row>
    <row r="347" hidden="1">
      <c r="A347" s="93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19"/>
      <c r="P347" s="22"/>
      <c r="Q347" s="22"/>
      <c r="R347" s="22"/>
    </row>
    <row r="348" hidden="1">
      <c r="A348" s="93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19"/>
      <c r="P348" s="22"/>
      <c r="Q348" s="22"/>
      <c r="R348" s="22"/>
    </row>
    <row r="349" hidden="1">
      <c r="A349" s="93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19"/>
      <c r="P349" s="22"/>
      <c r="Q349" s="22"/>
      <c r="R349" s="22"/>
    </row>
    <row r="350" hidden="1">
      <c r="A350" s="93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19"/>
      <c r="P350" s="22"/>
      <c r="Q350" s="22"/>
      <c r="R350" s="22"/>
    </row>
    <row r="351" hidden="1">
      <c r="A351" s="93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19"/>
      <c r="P351" s="22"/>
      <c r="Q351" s="22"/>
      <c r="R351" s="22"/>
    </row>
    <row r="352" hidden="1">
      <c r="A352" s="93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19"/>
      <c r="P352" s="22"/>
      <c r="Q352" s="22"/>
      <c r="R352" s="22"/>
    </row>
    <row r="353" hidden="1">
      <c r="A353" s="93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19"/>
      <c r="P353" s="22"/>
      <c r="Q353" s="22"/>
      <c r="R353" s="22"/>
    </row>
    <row r="354" hidden="1">
      <c r="A354" s="93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19"/>
      <c r="P354" s="22"/>
      <c r="Q354" s="22"/>
      <c r="R354" s="22"/>
    </row>
    <row r="355" hidden="1">
      <c r="A355" s="93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19"/>
      <c r="P355" s="22"/>
      <c r="Q355" s="22"/>
      <c r="R355" s="22"/>
    </row>
    <row r="356" hidden="1">
      <c r="A356" s="93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19"/>
      <c r="P356" s="22"/>
      <c r="Q356" s="22"/>
      <c r="R356" s="22"/>
    </row>
    <row r="357" hidden="1">
      <c r="A357" s="93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19"/>
      <c r="P357" s="22"/>
      <c r="Q357" s="22"/>
      <c r="R357" s="22"/>
    </row>
    <row r="358" hidden="1">
      <c r="A358" s="93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19"/>
      <c r="P358" s="22"/>
      <c r="Q358" s="22"/>
      <c r="R358" s="22"/>
    </row>
    <row r="359" hidden="1">
      <c r="A359" s="93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19"/>
      <c r="P359" s="22"/>
      <c r="Q359" s="22"/>
      <c r="R359" s="22"/>
    </row>
    <row r="360" hidden="1">
      <c r="A360" s="93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19"/>
      <c r="P360" s="22"/>
      <c r="Q360" s="22"/>
      <c r="R360" s="22"/>
    </row>
    <row r="361" hidden="1">
      <c r="A361" s="93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19"/>
      <c r="P361" s="22"/>
      <c r="Q361" s="22"/>
      <c r="R361" s="22"/>
    </row>
    <row r="362" hidden="1">
      <c r="A362" s="93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19"/>
      <c r="P362" s="22"/>
      <c r="Q362" s="22"/>
      <c r="R362" s="22"/>
    </row>
    <row r="363" hidden="1">
      <c r="A363" s="93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19"/>
      <c r="P363" s="22"/>
      <c r="Q363" s="22"/>
      <c r="R363" s="22"/>
    </row>
    <row r="364" hidden="1">
      <c r="A364" s="93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19"/>
      <c r="P364" s="22"/>
      <c r="Q364" s="22"/>
      <c r="R364" s="22"/>
    </row>
    <row r="365" hidden="1">
      <c r="A365" s="93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19"/>
      <c r="P365" s="22"/>
      <c r="Q365" s="22"/>
      <c r="R365" s="22"/>
    </row>
    <row r="366" hidden="1">
      <c r="A366" s="93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19"/>
      <c r="P366" s="22"/>
      <c r="Q366" s="22"/>
      <c r="R366" s="22"/>
    </row>
    <row r="367" hidden="1">
      <c r="A367" s="93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19"/>
      <c r="P367" s="22"/>
      <c r="Q367" s="22"/>
      <c r="R367" s="22"/>
    </row>
    <row r="368" hidden="1">
      <c r="A368" s="93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19"/>
      <c r="P368" s="22"/>
      <c r="Q368" s="22"/>
      <c r="R368" s="22"/>
    </row>
    <row r="369" hidden="1">
      <c r="A369" s="93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19"/>
      <c r="P369" s="22"/>
      <c r="Q369" s="22"/>
      <c r="R369" s="22"/>
    </row>
    <row r="370" hidden="1">
      <c r="A370" s="93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19"/>
      <c r="P370" s="22"/>
      <c r="Q370" s="22"/>
      <c r="R370" s="22"/>
    </row>
    <row r="371" hidden="1">
      <c r="A371" s="93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19"/>
      <c r="P371" s="22"/>
      <c r="Q371" s="22"/>
      <c r="R371" s="22"/>
    </row>
    <row r="372" hidden="1">
      <c r="A372" s="93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19"/>
      <c r="P372" s="22"/>
      <c r="Q372" s="22"/>
      <c r="R372" s="22"/>
    </row>
    <row r="373" hidden="1">
      <c r="A373" s="93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19"/>
      <c r="P373" s="22"/>
      <c r="Q373" s="22"/>
      <c r="R373" s="22"/>
    </row>
    <row r="374" hidden="1">
      <c r="A374" s="93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19"/>
      <c r="P374" s="22"/>
      <c r="Q374" s="22"/>
      <c r="R374" s="22"/>
    </row>
    <row r="375" hidden="1">
      <c r="A375" s="93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19"/>
      <c r="P375" s="22"/>
      <c r="Q375" s="22"/>
      <c r="R375" s="22"/>
    </row>
    <row r="376" hidden="1">
      <c r="A376" s="93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19"/>
      <c r="P376" s="22"/>
      <c r="Q376" s="22"/>
      <c r="R376" s="22"/>
    </row>
    <row r="377" hidden="1">
      <c r="A377" s="93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19"/>
      <c r="P377" s="22"/>
      <c r="Q377" s="22"/>
      <c r="R377" s="22"/>
    </row>
    <row r="378" hidden="1">
      <c r="A378" s="93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19"/>
      <c r="P378" s="22"/>
      <c r="Q378" s="22"/>
      <c r="R378" s="22"/>
    </row>
    <row r="379" hidden="1">
      <c r="A379" s="93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19"/>
      <c r="P379" s="22"/>
      <c r="Q379" s="22"/>
      <c r="R379" s="22"/>
    </row>
    <row r="380" hidden="1">
      <c r="A380" s="93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19"/>
      <c r="P380" s="22"/>
      <c r="Q380" s="22"/>
      <c r="R380" s="22"/>
    </row>
    <row r="381" hidden="1">
      <c r="A381" s="93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19"/>
      <c r="P381" s="22"/>
      <c r="Q381" s="22"/>
      <c r="R381" s="22"/>
    </row>
    <row r="382" hidden="1">
      <c r="A382" s="93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19"/>
      <c r="P382" s="22"/>
      <c r="Q382" s="22"/>
      <c r="R382" s="22"/>
    </row>
    <row r="383" hidden="1">
      <c r="A383" s="93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19"/>
      <c r="P383" s="22"/>
      <c r="Q383" s="22"/>
      <c r="R383" s="22"/>
    </row>
    <row r="384" hidden="1">
      <c r="A384" s="93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19"/>
      <c r="P384" s="22"/>
      <c r="Q384" s="22"/>
      <c r="R384" s="22"/>
    </row>
    <row r="385" hidden="1">
      <c r="A385" s="93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19"/>
      <c r="P385" s="22"/>
      <c r="Q385" s="22"/>
      <c r="R385" s="22"/>
    </row>
    <row r="386" hidden="1">
      <c r="A386" s="93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19"/>
      <c r="P386" s="22"/>
      <c r="Q386" s="22"/>
      <c r="R386" s="22"/>
    </row>
    <row r="387" hidden="1">
      <c r="A387" s="93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19"/>
      <c r="P387" s="22"/>
      <c r="Q387" s="22"/>
      <c r="R387" s="22"/>
    </row>
    <row r="388" hidden="1">
      <c r="A388" s="93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19"/>
      <c r="P388" s="22"/>
      <c r="Q388" s="22"/>
      <c r="R388" s="22"/>
    </row>
    <row r="389" hidden="1">
      <c r="A389" s="93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19"/>
      <c r="P389" s="22"/>
      <c r="Q389" s="22"/>
      <c r="R389" s="22"/>
    </row>
    <row r="390" hidden="1">
      <c r="A390" s="93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19"/>
      <c r="P390" s="22"/>
      <c r="Q390" s="22"/>
      <c r="R390" s="22"/>
    </row>
    <row r="391" hidden="1">
      <c r="A391" s="93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19"/>
      <c r="P391" s="22"/>
      <c r="Q391" s="22"/>
      <c r="R391" s="22"/>
    </row>
    <row r="392" hidden="1">
      <c r="A392" s="93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19"/>
      <c r="P392" s="22"/>
      <c r="Q392" s="22"/>
      <c r="R392" s="22"/>
    </row>
    <row r="393" hidden="1">
      <c r="A393" s="93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19"/>
      <c r="P393" s="22"/>
      <c r="Q393" s="22"/>
      <c r="R393" s="22"/>
    </row>
    <row r="394" hidden="1">
      <c r="A394" s="93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19"/>
      <c r="P394" s="22"/>
      <c r="Q394" s="22"/>
      <c r="R394" s="22"/>
    </row>
    <row r="395" hidden="1">
      <c r="A395" s="93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19"/>
      <c r="P395" s="22"/>
      <c r="Q395" s="22"/>
      <c r="R395" s="22"/>
    </row>
    <row r="396" hidden="1">
      <c r="A396" s="93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19"/>
      <c r="P396" s="22"/>
      <c r="Q396" s="22"/>
      <c r="R396" s="22"/>
    </row>
    <row r="397" hidden="1">
      <c r="A397" s="93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19"/>
      <c r="P397" s="22"/>
      <c r="Q397" s="22"/>
      <c r="R397" s="22"/>
    </row>
    <row r="398" hidden="1">
      <c r="A398" s="93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19"/>
      <c r="P398" s="22"/>
      <c r="Q398" s="22"/>
      <c r="R398" s="22"/>
    </row>
    <row r="399" hidden="1">
      <c r="A399" s="93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19"/>
      <c r="P399" s="22"/>
      <c r="Q399" s="22"/>
      <c r="R399" s="22"/>
    </row>
    <row r="400" hidden="1">
      <c r="A400" s="93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19"/>
      <c r="P400" s="22"/>
      <c r="Q400" s="22"/>
      <c r="R400" s="22"/>
    </row>
    <row r="401" hidden="1">
      <c r="A401" s="93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19"/>
      <c r="P401" s="22"/>
      <c r="Q401" s="22"/>
      <c r="R401" s="22"/>
    </row>
    <row r="402" hidden="1">
      <c r="A402" s="93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19"/>
      <c r="P402" s="22"/>
      <c r="Q402" s="22"/>
      <c r="R402" s="22"/>
    </row>
    <row r="403" hidden="1">
      <c r="A403" s="93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19"/>
      <c r="P403" s="22"/>
      <c r="Q403" s="22"/>
      <c r="R403" s="22"/>
    </row>
    <row r="404" hidden="1">
      <c r="A404" s="93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19"/>
      <c r="P404" s="22"/>
      <c r="Q404" s="22"/>
      <c r="R404" s="22"/>
    </row>
    <row r="405" hidden="1">
      <c r="A405" s="93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19"/>
      <c r="P405" s="22"/>
      <c r="Q405" s="22"/>
      <c r="R405" s="22"/>
    </row>
    <row r="406" hidden="1">
      <c r="A406" s="93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19"/>
      <c r="P406" s="22"/>
      <c r="Q406" s="22"/>
      <c r="R406" s="22"/>
    </row>
    <row r="407" hidden="1">
      <c r="A407" s="93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19"/>
      <c r="P407" s="22"/>
      <c r="Q407" s="22"/>
      <c r="R407" s="22"/>
    </row>
    <row r="408" hidden="1">
      <c r="A408" s="93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19"/>
      <c r="P408" s="22"/>
      <c r="Q408" s="22"/>
      <c r="R408" s="22"/>
    </row>
    <row r="409" hidden="1">
      <c r="A409" s="93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19"/>
      <c r="P409" s="22"/>
      <c r="Q409" s="22"/>
      <c r="R409" s="22"/>
    </row>
    <row r="410" hidden="1">
      <c r="A410" s="93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19"/>
      <c r="P410" s="22"/>
      <c r="Q410" s="22"/>
      <c r="R410" s="22"/>
    </row>
    <row r="411" hidden="1">
      <c r="A411" s="93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19"/>
      <c r="P411" s="22"/>
      <c r="Q411" s="22"/>
      <c r="R411" s="22"/>
    </row>
    <row r="412" hidden="1">
      <c r="A412" s="93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19"/>
      <c r="P412" s="22"/>
      <c r="Q412" s="22"/>
      <c r="R412" s="22"/>
    </row>
    <row r="413" hidden="1">
      <c r="A413" s="93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19"/>
      <c r="P413" s="22"/>
      <c r="Q413" s="22"/>
      <c r="R413" s="22"/>
    </row>
    <row r="414" hidden="1">
      <c r="A414" s="93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19"/>
      <c r="P414" s="22"/>
      <c r="Q414" s="22"/>
      <c r="R414" s="22"/>
    </row>
    <row r="415" hidden="1">
      <c r="A415" s="93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19"/>
      <c r="P415" s="22"/>
      <c r="Q415" s="22"/>
      <c r="R415" s="22"/>
    </row>
    <row r="416" hidden="1">
      <c r="A416" s="93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19"/>
      <c r="P416" s="22"/>
      <c r="Q416" s="22"/>
      <c r="R416" s="22"/>
    </row>
    <row r="417" hidden="1">
      <c r="A417" s="93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19"/>
      <c r="P417" s="22"/>
      <c r="Q417" s="22"/>
      <c r="R417" s="22"/>
    </row>
    <row r="418" hidden="1">
      <c r="A418" s="93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19"/>
      <c r="P418" s="22"/>
      <c r="Q418" s="22"/>
      <c r="R418" s="22"/>
    </row>
    <row r="419" hidden="1">
      <c r="A419" s="93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19"/>
      <c r="P419" s="22"/>
      <c r="Q419" s="22"/>
      <c r="R419" s="22"/>
    </row>
    <row r="420" hidden="1">
      <c r="A420" s="93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19"/>
      <c r="P420" s="22"/>
      <c r="Q420" s="22"/>
      <c r="R420" s="22"/>
    </row>
    <row r="421" hidden="1">
      <c r="A421" s="93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19"/>
      <c r="P421" s="22"/>
      <c r="Q421" s="22"/>
      <c r="R421" s="22"/>
    </row>
    <row r="422" hidden="1">
      <c r="A422" s="93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19"/>
      <c r="P422" s="22"/>
      <c r="Q422" s="22"/>
      <c r="R422" s="22"/>
    </row>
    <row r="423" hidden="1">
      <c r="A423" s="93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19"/>
      <c r="P423" s="22"/>
      <c r="Q423" s="22"/>
      <c r="R423" s="22"/>
    </row>
    <row r="424" hidden="1">
      <c r="A424" s="93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19"/>
      <c r="P424" s="22"/>
      <c r="Q424" s="22"/>
      <c r="R424" s="22"/>
    </row>
    <row r="425" hidden="1">
      <c r="A425" s="93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19"/>
      <c r="P425" s="22"/>
      <c r="Q425" s="22"/>
      <c r="R425" s="22"/>
    </row>
    <row r="426" hidden="1">
      <c r="A426" s="93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19"/>
      <c r="P426" s="22"/>
      <c r="Q426" s="22"/>
      <c r="R426" s="22"/>
    </row>
    <row r="427" hidden="1">
      <c r="A427" s="93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19"/>
      <c r="P427" s="22"/>
      <c r="Q427" s="22"/>
      <c r="R427" s="22"/>
    </row>
    <row r="428" hidden="1">
      <c r="A428" s="93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19"/>
      <c r="P428" s="22"/>
      <c r="Q428" s="22"/>
      <c r="R428" s="22"/>
    </row>
    <row r="429" hidden="1">
      <c r="A429" s="93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19"/>
      <c r="P429" s="22"/>
      <c r="Q429" s="22"/>
      <c r="R429" s="22"/>
    </row>
    <row r="430" hidden="1">
      <c r="A430" s="93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19"/>
      <c r="P430" s="22"/>
      <c r="Q430" s="22"/>
      <c r="R430" s="22"/>
    </row>
    <row r="431" hidden="1">
      <c r="A431" s="93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19"/>
      <c r="P431" s="22"/>
      <c r="Q431" s="22"/>
      <c r="R431" s="22"/>
    </row>
    <row r="432" hidden="1">
      <c r="A432" s="93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19"/>
      <c r="P432" s="22"/>
      <c r="Q432" s="22"/>
      <c r="R432" s="22"/>
    </row>
    <row r="433" hidden="1">
      <c r="A433" s="93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19"/>
      <c r="P433" s="22"/>
      <c r="Q433" s="22"/>
      <c r="R433" s="22"/>
    </row>
    <row r="434" hidden="1">
      <c r="A434" s="93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19"/>
      <c r="P434" s="22"/>
      <c r="Q434" s="22"/>
      <c r="R434" s="22"/>
    </row>
    <row r="435" hidden="1">
      <c r="A435" s="93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19"/>
      <c r="P435" s="22"/>
      <c r="Q435" s="22"/>
      <c r="R435" s="22"/>
    </row>
    <row r="436" hidden="1">
      <c r="A436" s="93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19"/>
      <c r="P436" s="22"/>
      <c r="Q436" s="22"/>
      <c r="R436" s="22"/>
    </row>
    <row r="437" hidden="1">
      <c r="A437" s="93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19"/>
      <c r="P437" s="22"/>
      <c r="Q437" s="22"/>
      <c r="R437" s="22"/>
    </row>
    <row r="438" hidden="1">
      <c r="A438" s="93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19"/>
      <c r="P438" s="22"/>
      <c r="Q438" s="22"/>
      <c r="R438" s="22"/>
    </row>
    <row r="439" hidden="1">
      <c r="A439" s="93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19"/>
      <c r="P439" s="22"/>
      <c r="Q439" s="22"/>
      <c r="R439" s="22"/>
    </row>
    <row r="440" hidden="1">
      <c r="A440" s="93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19"/>
      <c r="P440" s="22"/>
      <c r="Q440" s="22"/>
      <c r="R440" s="22"/>
    </row>
    <row r="441" hidden="1">
      <c r="A441" s="93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19"/>
      <c r="P441" s="22"/>
      <c r="Q441" s="22"/>
      <c r="R441" s="22"/>
    </row>
    <row r="442" hidden="1">
      <c r="A442" s="93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19"/>
      <c r="P442" s="22"/>
      <c r="Q442" s="22"/>
      <c r="R442" s="22"/>
    </row>
    <row r="443" hidden="1">
      <c r="A443" s="93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19"/>
      <c r="P443" s="22"/>
      <c r="Q443" s="22"/>
      <c r="R443" s="22"/>
    </row>
    <row r="444" hidden="1">
      <c r="A444" s="93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19"/>
      <c r="P444" s="22"/>
      <c r="Q444" s="22"/>
      <c r="R444" s="22"/>
    </row>
    <row r="445" hidden="1">
      <c r="A445" s="93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19"/>
      <c r="P445" s="22"/>
      <c r="Q445" s="22"/>
      <c r="R445" s="22"/>
    </row>
    <row r="446" hidden="1">
      <c r="A446" s="93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19"/>
      <c r="P446" s="22"/>
      <c r="Q446" s="22"/>
      <c r="R446" s="22"/>
    </row>
    <row r="447" hidden="1">
      <c r="A447" s="93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19"/>
      <c r="P447" s="22"/>
      <c r="Q447" s="22"/>
      <c r="R447" s="22"/>
    </row>
    <row r="448" hidden="1">
      <c r="A448" s="93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19"/>
      <c r="P448" s="22"/>
      <c r="Q448" s="22"/>
      <c r="R448" s="22"/>
    </row>
    <row r="449" hidden="1">
      <c r="A449" s="93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19"/>
      <c r="P449" s="22"/>
      <c r="Q449" s="22"/>
      <c r="R449" s="22"/>
    </row>
    <row r="450" hidden="1">
      <c r="A450" s="93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19"/>
      <c r="P450" s="22"/>
      <c r="Q450" s="22"/>
      <c r="R450" s="22"/>
    </row>
    <row r="451" hidden="1">
      <c r="A451" s="93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19"/>
      <c r="P451" s="22"/>
      <c r="Q451" s="22"/>
      <c r="R451" s="22"/>
    </row>
    <row r="452" hidden="1">
      <c r="A452" s="93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19"/>
      <c r="P452" s="22"/>
      <c r="Q452" s="22"/>
      <c r="R452" s="22"/>
    </row>
    <row r="453" hidden="1">
      <c r="A453" s="93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19"/>
      <c r="P453" s="22"/>
      <c r="Q453" s="22"/>
      <c r="R453" s="22"/>
    </row>
    <row r="454" hidden="1">
      <c r="A454" s="93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19"/>
      <c r="P454" s="22"/>
      <c r="Q454" s="22"/>
      <c r="R454" s="22"/>
    </row>
    <row r="455" hidden="1">
      <c r="A455" s="93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19"/>
      <c r="P455" s="22"/>
      <c r="Q455" s="22"/>
      <c r="R455" s="22"/>
    </row>
    <row r="456" hidden="1">
      <c r="A456" s="93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19"/>
      <c r="P456" s="22"/>
      <c r="Q456" s="22"/>
      <c r="R456" s="22"/>
    </row>
    <row r="457" hidden="1">
      <c r="A457" s="93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19"/>
      <c r="P457" s="22"/>
      <c r="Q457" s="22"/>
      <c r="R457" s="22"/>
    </row>
    <row r="458" hidden="1">
      <c r="A458" s="93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19"/>
      <c r="P458" s="22"/>
      <c r="Q458" s="22"/>
      <c r="R458" s="22"/>
    </row>
    <row r="459" hidden="1">
      <c r="A459" s="93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19"/>
      <c r="P459" s="22"/>
      <c r="Q459" s="22"/>
      <c r="R459" s="22"/>
    </row>
    <row r="460" hidden="1">
      <c r="A460" s="93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19"/>
      <c r="P460" s="22"/>
      <c r="Q460" s="22"/>
      <c r="R460" s="22"/>
    </row>
    <row r="461" hidden="1">
      <c r="A461" s="93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19"/>
      <c r="P461" s="22"/>
      <c r="Q461" s="22"/>
      <c r="R461" s="22"/>
    </row>
    <row r="462" hidden="1">
      <c r="A462" s="93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19"/>
      <c r="P462" s="22"/>
      <c r="Q462" s="22"/>
      <c r="R462" s="22"/>
    </row>
    <row r="463" hidden="1">
      <c r="A463" s="93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19"/>
      <c r="P463" s="22"/>
      <c r="Q463" s="22"/>
      <c r="R463" s="22"/>
    </row>
    <row r="464" hidden="1">
      <c r="A464" s="93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19"/>
      <c r="P464" s="22"/>
      <c r="Q464" s="22"/>
      <c r="R464" s="22"/>
    </row>
    <row r="465" hidden="1">
      <c r="A465" s="93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19"/>
      <c r="P465" s="22"/>
      <c r="Q465" s="22"/>
      <c r="R465" s="22"/>
    </row>
    <row r="466" hidden="1">
      <c r="A466" s="93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19"/>
      <c r="P466" s="22"/>
      <c r="Q466" s="22"/>
      <c r="R466" s="22"/>
    </row>
    <row r="467" hidden="1">
      <c r="A467" s="93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19"/>
      <c r="P467" s="22"/>
      <c r="Q467" s="22"/>
      <c r="R467" s="22"/>
    </row>
    <row r="468" hidden="1">
      <c r="A468" s="93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19"/>
      <c r="P468" s="22"/>
      <c r="Q468" s="22"/>
      <c r="R468" s="22"/>
    </row>
    <row r="469" hidden="1">
      <c r="A469" s="93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19"/>
      <c r="P469" s="22"/>
      <c r="Q469" s="22"/>
      <c r="R469" s="22"/>
    </row>
    <row r="470" hidden="1">
      <c r="A470" s="93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19"/>
      <c r="P470" s="22"/>
      <c r="Q470" s="22"/>
      <c r="R470" s="22"/>
    </row>
    <row r="471" hidden="1">
      <c r="A471" s="93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19"/>
      <c r="P471" s="22"/>
      <c r="Q471" s="22"/>
      <c r="R471" s="22"/>
    </row>
    <row r="472" hidden="1">
      <c r="A472" s="93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19"/>
      <c r="P472" s="22"/>
      <c r="Q472" s="22"/>
      <c r="R472" s="22"/>
    </row>
    <row r="473" hidden="1">
      <c r="A473" s="93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19"/>
      <c r="P473" s="22"/>
      <c r="Q473" s="22"/>
      <c r="R473" s="22"/>
    </row>
    <row r="474" hidden="1">
      <c r="A474" s="93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19"/>
      <c r="P474" s="22"/>
      <c r="Q474" s="22"/>
      <c r="R474" s="22"/>
    </row>
    <row r="475" hidden="1">
      <c r="A475" s="93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19"/>
      <c r="P475" s="22"/>
      <c r="Q475" s="22"/>
      <c r="R475" s="22"/>
    </row>
    <row r="476" hidden="1">
      <c r="A476" s="93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19"/>
      <c r="P476" s="22"/>
      <c r="Q476" s="22"/>
      <c r="R476" s="22"/>
    </row>
    <row r="477" hidden="1">
      <c r="A477" s="93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19"/>
      <c r="P477" s="22"/>
      <c r="Q477" s="22"/>
      <c r="R477" s="22"/>
    </row>
    <row r="478" hidden="1">
      <c r="A478" s="93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19"/>
      <c r="P478" s="22"/>
      <c r="Q478" s="22"/>
      <c r="R478" s="22"/>
    </row>
    <row r="479" hidden="1">
      <c r="A479" s="93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19"/>
      <c r="P479" s="22"/>
      <c r="Q479" s="22"/>
      <c r="R479" s="22"/>
    </row>
    <row r="480" hidden="1">
      <c r="A480" s="93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19"/>
      <c r="P480" s="22"/>
      <c r="Q480" s="22"/>
      <c r="R480" s="22"/>
    </row>
    <row r="481" hidden="1">
      <c r="A481" s="93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19"/>
      <c r="P481" s="22"/>
      <c r="Q481" s="22"/>
      <c r="R481" s="22"/>
    </row>
    <row r="482" hidden="1">
      <c r="A482" s="93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19"/>
      <c r="P482" s="22"/>
      <c r="Q482" s="22"/>
      <c r="R482" s="22"/>
    </row>
    <row r="483" hidden="1">
      <c r="A483" s="93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19"/>
      <c r="P483" s="22"/>
      <c r="Q483" s="22"/>
      <c r="R483" s="22"/>
    </row>
    <row r="484" hidden="1">
      <c r="A484" s="93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19"/>
      <c r="P484" s="22"/>
      <c r="Q484" s="22"/>
      <c r="R484" s="22"/>
    </row>
    <row r="485" hidden="1">
      <c r="A485" s="93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19"/>
      <c r="P485" s="22"/>
      <c r="Q485" s="22"/>
      <c r="R485" s="22"/>
    </row>
    <row r="486" hidden="1">
      <c r="A486" s="93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19"/>
      <c r="P486" s="22"/>
      <c r="Q486" s="22"/>
      <c r="R486" s="22"/>
    </row>
    <row r="487" hidden="1">
      <c r="A487" s="93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19"/>
      <c r="P487" s="22"/>
      <c r="Q487" s="22"/>
      <c r="R487" s="22"/>
    </row>
    <row r="488" hidden="1">
      <c r="A488" s="93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19"/>
      <c r="P488" s="22"/>
      <c r="Q488" s="22"/>
      <c r="R488" s="22"/>
    </row>
    <row r="489" hidden="1">
      <c r="A489" s="93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19"/>
      <c r="P489" s="22"/>
      <c r="Q489" s="22"/>
      <c r="R489" s="22"/>
    </row>
    <row r="490" hidden="1">
      <c r="A490" s="93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19"/>
      <c r="P490" s="22"/>
      <c r="Q490" s="22"/>
      <c r="R490" s="22"/>
    </row>
    <row r="491" hidden="1">
      <c r="A491" s="93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19"/>
      <c r="P491" s="22"/>
      <c r="Q491" s="22"/>
      <c r="R491" s="22"/>
    </row>
    <row r="492" hidden="1">
      <c r="A492" s="93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19"/>
      <c r="P492" s="22"/>
      <c r="Q492" s="22"/>
      <c r="R492" s="22"/>
    </row>
    <row r="493" hidden="1">
      <c r="A493" s="93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19"/>
      <c r="P493" s="22"/>
      <c r="Q493" s="22"/>
      <c r="R493" s="22"/>
    </row>
    <row r="494" hidden="1">
      <c r="A494" s="93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19"/>
      <c r="P494" s="22"/>
      <c r="Q494" s="22"/>
      <c r="R494" s="22"/>
    </row>
    <row r="495" hidden="1">
      <c r="A495" s="93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19"/>
      <c r="P495" s="22"/>
      <c r="Q495" s="22"/>
      <c r="R495" s="22"/>
    </row>
    <row r="496" hidden="1">
      <c r="A496" s="93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19"/>
      <c r="P496" s="22"/>
      <c r="Q496" s="22"/>
      <c r="R496" s="22"/>
    </row>
    <row r="497" hidden="1">
      <c r="A497" s="93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19"/>
      <c r="P497" s="22"/>
      <c r="Q497" s="22"/>
      <c r="R497" s="22"/>
    </row>
    <row r="498" hidden="1">
      <c r="A498" s="93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19"/>
      <c r="P498" s="22"/>
      <c r="Q498" s="22"/>
      <c r="R498" s="22"/>
    </row>
    <row r="499" hidden="1">
      <c r="A499" s="93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19"/>
      <c r="P499" s="22"/>
      <c r="Q499" s="22"/>
      <c r="R499" s="22"/>
    </row>
    <row r="500" hidden="1">
      <c r="A500" s="93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19"/>
      <c r="P500" s="22"/>
      <c r="Q500" s="22"/>
      <c r="R500" s="22"/>
    </row>
    <row r="501" hidden="1">
      <c r="A501" s="93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19"/>
      <c r="P501" s="22"/>
      <c r="Q501" s="22"/>
      <c r="R501" s="22"/>
    </row>
    <row r="502" hidden="1">
      <c r="A502" s="93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19"/>
      <c r="P502" s="22"/>
      <c r="Q502" s="22"/>
      <c r="R502" s="22"/>
    </row>
    <row r="503" hidden="1">
      <c r="A503" s="93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19"/>
      <c r="P503" s="22"/>
      <c r="Q503" s="22"/>
      <c r="R503" s="22"/>
    </row>
    <row r="504" hidden="1">
      <c r="A504" s="93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19"/>
      <c r="P504" s="22"/>
      <c r="Q504" s="22"/>
      <c r="R504" s="22"/>
    </row>
    <row r="505" hidden="1">
      <c r="A505" s="93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19"/>
      <c r="P505" s="22"/>
      <c r="Q505" s="22"/>
      <c r="R505" s="22"/>
    </row>
    <row r="506" hidden="1">
      <c r="A506" s="93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19"/>
      <c r="P506" s="22"/>
      <c r="Q506" s="22"/>
      <c r="R506" s="22"/>
    </row>
    <row r="507" hidden="1">
      <c r="A507" s="93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19"/>
      <c r="P507" s="22"/>
      <c r="Q507" s="22"/>
      <c r="R507" s="22"/>
    </row>
    <row r="508" hidden="1">
      <c r="A508" s="93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19"/>
      <c r="P508" s="22"/>
      <c r="Q508" s="22"/>
      <c r="R508" s="22"/>
    </row>
    <row r="509" hidden="1">
      <c r="A509" s="93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19"/>
      <c r="P509" s="22"/>
      <c r="Q509" s="22"/>
      <c r="R509" s="22"/>
    </row>
    <row r="510" hidden="1">
      <c r="A510" s="93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19"/>
      <c r="P510" s="22"/>
      <c r="Q510" s="22"/>
      <c r="R510" s="22"/>
    </row>
    <row r="511" hidden="1">
      <c r="A511" s="93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19"/>
      <c r="P511" s="22"/>
      <c r="Q511" s="22"/>
      <c r="R511" s="22"/>
    </row>
    <row r="512" hidden="1">
      <c r="A512" s="93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19"/>
      <c r="P512" s="22"/>
      <c r="Q512" s="22"/>
      <c r="R512" s="22"/>
    </row>
    <row r="513" hidden="1">
      <c r="A513" s="93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19"/>
      <c r="P513" s="22"/>
      <c r="Q513" s="22"/>
      <c r="R513" s="22"/>
    </row>
    <row r="514" hidden="1">
      <c r="A514" s="93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19"/>
      <c r="P514" s="22"/>
      <c r="Q514" s="22"/>
      <c r="R514" s="22"/>
    </row>
    <row r="515" hidden="1">
      <c r="A515" s="93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19"/>
      <c r="P515" s="22"/>
      <c r="Q515" s="22"/>
      <c r="R515" s="22"/>
    </row>
    <row r="516" hidden="1">
      <c r="A516" s="93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19"/>
      <c r="P516" s="22"/>
      <c r="Q516" s="22"/>
      <c r="R516" s="22"/>
    </row>
    <row r="517" hidden="1">
      <c r="A517" s="93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19"/>
      <c r="P517" s="22"/>
      <c r="Q517" s="22"/>
      <c r="R517" s="22"/>
    </row>
    <row r="518" hidden="1">
      <c r="A518" s="93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19"/>
      <c r="P518" s="22"/>
      <c r="Q518" s="22"/>
      <c r="R518" s="22"/>
    </row>
    <row r="519" hidden="1">
      <c r="A519" s="93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19"/>
      <c r="P519" s="22"/>
      <c r="Q519" s="22"/>
      <c r="R519" s="22"/>
    </row>
    <row r="520" hidden="1">
      <c r="A520" s="93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19"/>
      <c r="P520" s="22"/>
      <c r="Q520" s="22"/>
      <c r="R520" s="22"/>
    </row>
    <row r="521" hidden="1">
      <c r="A521" s="93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19"/>
      <c r="P521" s="22"/>
      <c r="Q521" s="22"/>
      <c r="R521" s="22"/>
    </row>
    <row r="522" hidden="1">
      <c r="A522" s="93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19"/>
      <c r="P522" s="22"/>
      <c r="Q522" s="22"/>
      <c r="R522" s="22"/>
    </row>
    <row r="523" hidden="1">
      <c r="A523" s="93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19"/>
      <c r="P523" s="22"/>
      <c r="Q523" s="22"/>
      <c r="R523" s="22"/>
    </row>
    <row r="524" hidden="1">
      <c r="A524" s="93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19"/>
      <c r="P524" s="22"/>
      <c r="Q524" s="22"/>
      <c r="R524" s="22"/>
    </row>
    <row r="525" hidden="1">
      <c r="A525" s="93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19"/>
      <c r="P525" s="22"/>
      <c r="Q525" s="22"/>
      <c r="R525" s="22"/>
    </row>
    <row r="526" hidden="1">
      <c r="A526" s="93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19"/>
      <c r="P526" s="22"/>
      <c r="Q526" s="22"/>
      <c r="R526" s="22"/>
    </row>
    <row r="527" hidden="1">
      <c r="A527" s="93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19"/>
      <c r="P527" s="22"/>
      <c r="Q527" s="22"/>
      <c r="R527" s="22"/>
    </row>
    <row r="528" hidden="1">
      <c r="A528" s="93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19"/>
      <c r="P528" s="22"/>
      <c r="Q528" s="22"/>
      <c r="R528" s="22"/>
    </row>
    <row r="529" hidden="1">
      <c r="A529" s="93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19"/>
      <c r="P529" s="22"/>
      <c r="Q529" s="22"/>
      <c r="R529" s="22"/>
    </row>
    <row r="530" hidden="1">
      <c r="A530" s="93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19"/>
      <c r="P530" s="22"/>
      <c r="Q530" s="22"/>
      <c r="R530" s="22"/>
    </row>
    <row r="531" hidden="1">
      <c r="A531" s="93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19"/>
      <c r="P531" s="22"/>
      <c r="Q531" s="22"/>
      <c r="R531" s="22"/>
    </row>
    <row r="532" hidden="1">
      <c r="A532" s="93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19"/>
      <c r="P532" s="22"/>
      <c r="Q532" s="22"/>
      <c r="R532" s="22"/>
    </row>
    <row r="533" hidden="1">
      <c r="A533" s="93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19"/>
      <c r="P533" s="22"/>
      <c r="Q533" s="22"/>
      <c r="R533" s="22"/>
    </row>
    <row r="534" hidden="1">
      <c r="A534" s="93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19"/>
      <c r="P534" s="22"/>
      <c r="Q534" s="22"/>
      <c r="R534" s="22"/>
    </row>
    <row r="535" hidden="1">
      <c r="A535" s="93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19"/>
      <c r="P535" s="22"/>
      <c r="Q535" s="22"/>
      <c r="R535" s="22"/>
    </row>
    <row r="536" hidden="1">
      <c r="A536" s="93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19"/>
      <c r="P536" s="22"/>
      <c r="Q536" s="22"/>
      <c r="R536" s="22"/>
    </row>
    <row r="537" hidden="1">
      <c r="A537" s="93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19"/>
      <c r="P537" s="22"/>
      <c r="Q537" s="22"/>
      <c r="R537" s="22"/>
    </row>
    <row r="538" hidden="1">
      <c r="A538" s="93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19"/>
      <c r="P538" s="22"/>
      <c r="Q538" s="22"/>
      <c r="R538" s="22"/>
    </row>
    <row r="539" hidden="1">
      <c r="A539" s="93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19"/>
      <c r="P539" s="22"/>
      <c r="Q539" s="22"/>
      <c r="R539" s="22"/>
    </row>
    <row r="540" hidden="1">
      <c r="A540" s="93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19"/>
      <c r="P540" s="22"/>
      <c r="Q540" s="22"/>
      <c r="R540" s="22"/>
    </row>
    <row r="541" hidden="1">
      <c r="A541" s="93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19"/>
      <c r="P541" s="22"/>
      <c r="Q541" s="22"/>
      <c r="R541" s="22"/>
    </row>
    <row r="542" hidden="1">
      <c r="A542" s="93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19"/>
      <c r="P542" s="22"/>
      <c r="Q542" s="22"/>
      <c r="R542" s="22"/>
    </row>
    <row r="543" hidden="1">
      <c r="A543" s="93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19"/>
      <c r="P543" s="22"/>
      <c r="Q543" s="22"/>
      <c r="R543" s="22"/>
    </row>
    <row r="544" hidden="1">
      <c r="A544" s="93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19"/>
      <c r="P544" s="22"/>
      <c r="Q544" s="22"/>
      <c r="R544" s="22"/>
    </row>
    <row r="545" hidden="1">
      <c r="A545" s="93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19"/>
      <c r="P545" s="22"/>
      <c r="Q545" s="22"/>
      <c r="R545" s="22"/>
    </row>
    <row r="546" hidden="1">
      <c r="A546" s="93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19"/>
      <c r="P546" s="22"/>
      <c r="Q546" s="22"/>
      <c r="R546" s="22"/>
    </row>
    <row r="547" hidden="1">
      <c r="A547" s="93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19"/>
      <c r="P547" s="22"/>
      <c r="Q547" s="22"/>
      <c r="R547" s="22"/>
    </row>
    <row r="548" hidden="1">
      <c r="A548" s="93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19"/>
      <c r="P548" s="22"/>
      <c r="Q548" s="22"/>
      <c r="R548" s="22"/>
    </row>
    <row r="549" hidden="1">
      <c r="A549" s="93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19"/>
      <c r="P549" s="22"/>
      <c r="Q549" s="22"/>
      <c r="R549" s="22"/>
    </row>
    <row r="550" hidden="1">
      <c r="A550" s="93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19"/>
      <c r="P550" s="22"/>
      <c r="Q550" s="22"/>
      <c r="R550" s="22"/>
    </row>
    <row r="551" hidden="1">
      <c r="A551" s="93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19"/>
      <c r="P551" s="22"/>
      <c r="Q551" s="22"/>
      <c r="R551" s="22"/>
    </row>
    <row r="552" hidden="1">
      <c r="A552" s="93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19"/>
      <c r="P552" s="22"/>
      <c r="Q552" s="22"/>
      <c r="R552" s="22"/>
    </row>
    <row r="553" hidden="1">
      <c r="A553" s="93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19"/>
      <c r="P553" s="22"/>
      <c r="Q553" s="22"/>
      <c r="R553" s="22"/>
    </row>
    <row r="554" hidden="1">
      <c r="A554" s="93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19"/>
      <c r="P554" s="22"/>
      <c r="Q554" s="22"/>
      <c r="R554" s="22"/>
    </row>
    <row r="555" hidden="1">
      <c r="A555" s="93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19"/>
      <c r="P555" s="22"/>
      <c r="Q555" s="22"/>
      <c r="R555" s="22"/>
    </row>
    <row r="556" hidden="1">
      <c r="A556" s="93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19"/>
      <c r="P556" s="22"/>
      <c r="Q556" s="22"/>
      <c r="R556" s="22"/>
    </row>
    <row r="557" hidden="1">
      <c r="A557" s="93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19"/>
      <c r="P557" s="22"/>
      <c r="Q557" s="22"/>
      <c r="R557" s="22"/>
    </row>
    <row r="558" hidden="1">
      <c r="A558" s="93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19"/>
      <c r="P558" s="22"/>
      <c r="Q558" s="22"/>
      <c r="R558" s="22"/>
    </row>
    <row r="559" hidden="1">
      <c r="A559" s="93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19"/>
      <c r="P559" s="22"/>
      <c r="Q559" s="22"/>
      <c r="R559" s="22"/>
    </row>
    <row r="560" hidden="1">
      <c r="A560" s="93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19"/>
      <c r="P560" s="22"/>
      <c r="Q560" s="22"/>
      <c r="R560" s="22"/>
    </row>
    <row r="561" hidden="1">
      <c r="A561" s="93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19"/>
      <c r="P561" s="22"/>
      <c r="Q561" s="22"/>
      <c r="R561" s="22"/>
    </row>
    <row r="562" hidden="1">
      <c r="A562" s="93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19"/>
      <c r="P562" s="22"/>
      <c r="Q562" s="22"/>
      <c r="R562" s="22"/>
    </row>
    <row r="563" hidden="1">
      <c r="A563" s="93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19"/>
      <c r="P563" s="22"/>
      <c r="Q563" s="22"/>
      <c r="R563" s="22"/>
    </row>
    <row r="564" hidden="1">
      <c r="A564" s="93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19"/>
      <c r="P564" s="22"/>
      <c r="Q564" s="22"/>
      <c r="R564" s="22"/>
    </row>
    <row r="565" hidden="1">
      <c r="A565" s="93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19"/>
      <c r="P565" s="22"/>
      <c r="Q565" s="22"/>
      <c r="R565" s="22"/>
    </row>
    <row r="566" hidden="1">
      <c r="A566" s="93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19"/>
      <c r="P566" s="22"/>
      <c r="Q566" s="22"/>
      <c r="R566" s="22"/>
    </row>
    <row r="567" hidden="1">
      <c r="A567" s="93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19"/>
      <c r="P567" s="22"/>
      <c r="Q567" s="22"/>
      <c r="R567" s="22"/>
    </row>
    <row r="568" hidden="1">
      <c r="A568" s="93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19"/>
      <c r="P568" s="22"/>
      <c r="Q568" s="22"/>
      <c r="R568" s="22"/>
    </row>
    <row r="569" hidden="1">
      <c r="A569" s="93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19"/>
      <c r="P569" s="22"/>
      <c r="Q569" s="22"/>
      <c r="R569" s="22"/>
    </row>
    <row r="570" hidden="1">
      <c r="A570" s="93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19"/>
      <c r="P570" s="22"/>
      <c r="Q570" s="22"/>
      <c r="R570" s="22"/>
    </row>
    <row r="571" hidden="1">
      <c r="A571" s="93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19"/>
      <c r="P571" s="22"/>
      <c r="Q571" s="22"/>
      <c r="R571" s="22"/>
    </row>
    <row r="572" hidden="1">
      <c r="A572" s="93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19"/>
      <c r="P572" s="22"/>
      <c r="Q572" s="22"/>
      <c r="R572" s="22"/>
    </row>
    <row r="573" hidden="1">
      <c r="A573" s="93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19"/>
      <c r="P573" s="22"/>
      <c r="Q573" s="22"/>
      <c r="R573" s="22"/>
    </row>
    <row r="574" hidden="1">
      <c r="A574" s="93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19"/>
      <c r="P574" s="22"/>
      <c r="Q574" s="22"/>
      <c r="R574" s="22"/>
    </row>
    <row r="575" hidden="1">
      <c r="A575" s="93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19"/>
      <c r="P575" s="22"/>
      <c r="Q575" s="22"/>
      <c r="R575" s="22"/>
    </row>
    <row r="576" hidden="1">
      <c r="A576" s="93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19"/>
      <c r="P576" s="22"/>
      <c r="Q576" s="22"/>
      <c r="R576" s="22"/>
    </row>
    <row r="577" hidden="1">
      <c r="A577" s="93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19"/>
      <c r="P577" s="22"/>
      <c r="Q577" s="22"/>
      <c r="R577" s="22"/>
    </row>
    <row r="578" hidden="1">
      <c r="A578" s="93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19"/>
      <c r="P578" s="22"/>
      <c r="Q578" s="22"/>
      <c r="R578" s="22"/>
    </row>
    <row r="579" hidden="1">
      <c r="A579" s="93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19"/>
      <c r="P579" s="22"/>
      <c r="Q579" s="22"/>
      <c r="R579" s="22"/>
    </row>
    <row r="580" hidden="1">
      <c r="A580" s="93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19"/>
      <c r="P580" s="22"/>
      <c r="Q580" s="22"/>
      <c r="R580" s="22"/>
    </row>
    <row r="581" hidden="1">
      <c r="A581" s="93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19"/>
      <c r="P581" s="22"/>
      <c r="Q581" s="22"/>
      <c r="R581" s="22"/>
    </row>
    <row r="582" hidden="1">
      <c r="A582" s="93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19"/>
      <c r="P582" s="22"/>
      <c r="Q582" s="22"/>
      <c r="R582" s="22"/>
    </row>
    <row r="583" hidden="1">
      <c r="A583" s="93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19"/>
      <c r="P583" s="22"/>
      <c r="Q583" s="22"/>
      <c r="R583" s="22"/>
    </row>
    <row r="584" hidden="1">
      <c r="A584" s="93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19"/>
      <c r="P584" s="22"/>
      <c r="Q584" s="22"/>
      <c r="R584" s="22"/>
    </row>
    <row r="585" hidden="1">
      <c r="A585" s="93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19"/>
      <c r="P585" s="22"/>
      <c r="Q585" s="22"/>
      <c r="R585" s="22"/>
    </row>
    <row r="586" hidden="1">
      <c r="A586" s="93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19"/>
      <c r="P586" s="22"/>
      <c r="Q586" s="22"/>
      <c r="R586" s="22"/>
    </row>
    <row r="587" hidden="1">
      <c r="A587" s="93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19"/>
      <c r="P587" s="22"/>
      <c r="Q587" s="22"/>
      <c r="R587" s="22"/>
    </row>
    <row r="588" hidden="1">
      <c r="A588" s="93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19"/>
      <c r="P588" s="22"/>
      <c r="Q588" s="22"/>
      <c r="R588" s="22"/>
    </row>
    <row r="589" hidden="1">
      <c r="A589" s="93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19"/>
      <c r="P589" s="22"/>
      <c r="Q589" s="22"/>
      <c r="R589" s="22"/>
    </row>
    <row r="590" hidden="1">
      <c r="A590" s="93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19"/>
      <c r="P590" s="22"/>
      <c r="Q590" s="22"/>
      <c r="R590" s="22"/>
    </row>
    <row r="591" hidden="1">
      <c r="A591" s="93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19"/>
      <c r="P591" s="22"/>
      <c r="Q591" s="22"/>
      <c r="R591" s="22"/>
    </row>
    <row r="592" hidden="1">
      <c r="A592" s="93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19"/>
      <c r="P592" s="22"/>
      <c r="Q592" s="22"/>
      <c r="R592" s="22"/>
    </row>
    <row r="593" hidden="1">
      <c r="A593" s="93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19"/>
      <c r="P593" s="22"/>
      <c r="Q593" s="22"/>
      <c r="R593" s="22"/>
    </row>
    <row r="594" hidden="1">
      <c r="A594" s="93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19"/>
      <c r="P594" s="22"/>
      <c r="Q594" s="22"/>
      <c r="R594" s="22"/>
    </row>
    <row r="595" hidden="1">
      <c r="A595" s="93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19"/>
      <c r="P595" s="22"/>
      <c r="Q595" s="22"/>
      <c r="R595" s="22"/>
    </row>
    <row r="596" hidden="1">
      <c r="A596" s="93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19"/>
      <c r="P596" s="22"/>
      <c r="Q596" s="22"/>
      <c r="R596" s="22"/>
    </row>
    <row r="597" hidden="1">
      <c r="A597" s="93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19"/>
      <c r="P597" s="22"/>
      <c r="Q597" s="22"/>
      <c r="R597" s="22"/>
    </row>
    <row r="598" hidden="1">
      <c r="A598" s="93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19"/>
      <c r="P598" s="22"/>
      <c r="Q598" s="22"/>
      <c r="R598" s="22"/>
    </row>
    <row r="599" hidden="1">
      <c r="A599" s="93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19"/>
      <c r="P599" s="22"/>
      <c r="Q599" s="22"/>
      <c r="R599" s="22"/>
    </row>
    <row r="600" hidden="1">
      <c r="A600" s="93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19"/>
      <c r="P600" s="22"/>
      <c r="Q600" s="22"/>
      <c r="R600" s="22"/>
    </row>
    <row r="601" hidden="1">
      <c r="A601" s="93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19"/>
      <c r="P601" s="22"/>
      <c r="Q601" s="22"/>
      <c r="R601" s="22"/>
    </row>
    <row r="602" hidden="1">
      <c r="A602" s="93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19"/>
      <c r="P602" s="22"/>
      <c r="Q602" s="22"/>
      <c r="R602" s="22"/>
    </row>
    <row r="603" hidden="1">
      <c r="A603" s="93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19"/>
      <c r="P603" s="22"/>
      <c r="Q603" s="22"/>
      <c r="R603" s="22"/>
    </row>
    <row r="604" hidden="1">
      <c r="A604" s="93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19"/>
      <c r="P604" s="22"/>
      <c r="Q604" s="22"/>
      <c r="R604" s="22"/>
    </row>
    <row r="605" hidden="1">
      <c r="A605" s="93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19"/>
      <c r="P605" s="22"/>
      <c r="Q605" s="22"/>
      <c r="R605" s="22"/>
    </row>
    <row r="606" hidden="1">
      <c r="A606" s="93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19"/>
      <c r="P606" s="22"/>
      <c r="Q606" s="22"/>
      <c r="R606" s="22"/>
    </row>
    <row r="607" hidden="1">
      <c r="A607" s="93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19"/>
      <c r="P607" s="22"/>
      <c r="Q607" s="22"/>
      <c r="R607" s="22"/>
    </row>
    <row r="608" hidden="1">
      <c r="A608" s="93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19"/>
      <c r="P608" s="22"/>
      <c r="Q608" s="22"/>
      <c r="R608" s="22"/>
    </row>
    <row r="609" hidden="1">
      <c r="A609" s="93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19"/>
      <c r="P609" s="22"/>
      <c r="Q609" s="22"/>
      <c r="R609" s="22"/>
    </row>
    <row r="610" hidden="1">
      <c r="A610" s="93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19"/>
      <c r="P610" s="22"/>
      <c r="Q610" s="22"/>
      <c r="R610" s="22"/>
    </row>
    <row r="611" hidden="1">
      <c r="A611" s="93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19"/>
      <c r="P611" s="22"/>
      <c r="Q611" s="22"/>
      <c r="R611" s="22"/>
    </row>
    <row r="612" hidden="1">
      <c r="A612" s="93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19"/>
      <c r="P612" s="22"/>
      <c r="Q612" s="22"/>
      <c r="R612" s="22"/>
    </row>
    <row r="613" hidden="1">
      <c r="A613" s="93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19"/>
      <c r="P613" s="22"/>
      <c r="Q613" s="22"/>
      <c r="R613" s="22"/>
    </row>
    <row r="614" hidden="1">
      <c r="A614" s="93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19"/>
      <c r="P614" s="22"/>
      <c r="Q614" s="22"/>
      <c r="R614" s="22"/>
    </row>
    <row r="615" hidden="1">
      <c r="A615" s="93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19"/>
      <c r="P615" s="22"/>
      <c r="Q615" s="22"/>
      <c r="R615" s="22"/>
    </row>
    <row r="616" hidden="1">
      <c r="A616" s="93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19"/>
      <c r="P616" s="22"/>
      <c r="Q616" s="22"/>
      <c r="R616" s="22"/>
    </row>
    <row r="617" hidden="1">
      <c r="A617" s="93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19"/>
      <c r="P617" s="22"/>
      <c r="Q617" s="22"/>
      <c r="R617" s="22"/>
    </row>
    <row r="618" hidden="1">
      <c r="A618" s="93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19"/>
      <c r="P618" s="22"/>
      <c r="Q618" s="22"/>
      <c r="R618" s="22"/>
    </row>
    <row r="619" hidden="1">
      <c r="A619" s="93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19"/>
      <c r="P619" s="22"/>
      <c r="Q619" s="22"/>
      <c r="R619" s="22"/>
    </row>
    <row r="620" hidden="1">
      <c r="A620" s="93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19"/>
      <c r="P620" s="22"/>
      <c r="Q620" s="22"/>
      <c r="R620" s="22"/>
    </row>
    <row r="621" hidden="1">
      <c r="A621" s="93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19"/>
      <c r="P621" s="22"/>
      <c r="Q621" s="22"/>
      <c r="R621" s="22"/>
    </row>
    <row r="622" hidden="1">
      <c r="A622" s="93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19"/>
      <c r="P622" s="22"/>
      <c r="Q622" s="22"/>
      <c r="R622" s="22"/>
    </row>
    <row r="623" hidden="1">
      <c r="A623" s="93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19"/>
      <c r="P623" s="22"/>
      <c r="Q623" s="22"/>
      <c r="R623" s="22"/>
    </row>
    <row r="624" hidden="1">
      <c r="A624" s="93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19"/>
      <c r="P624" s="22"/>
      <c r="Q624" s="22"/>
      <c r="R624" s="22"/>
    </row>
    <row r="625" hidden="1">
      <c r="A625" s="93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19"/>
      <c r="P625" s="22"/>
      <c r="Q625" s="22"/>
      <c r="R625" s="22"/>
    </row>
    <row r="626" hidden="1">
      <c r="A626" s="93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19"/>
      <c r="P626" s="22"/>
      <c r="Q626" s="22"/>
      <c r="R626" s="22"/>
    </row>
    <row r="627" hidden="1">
      <c r="A627" s="93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19"/>
      <c r="P627" s="22"/>
      <c r="Q627" s="22"/>
      <c r="R627" s="22"/>
    </row>
    <row r="628" hidden="1">
      <c r="A628" s="93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19"/>
      <c r="P628" s="22"/>
      <c r="Q628" s="22"/>
      <c r="R628" s="22"/>
    </row>
    <row r="629" hidden="1">
      <c r="A629" s="93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19"/>
      <c r="P629" s="22"/>
      <c r="Q629" s="22"/>
      <c r="R629" s="22"/>
    </row>
    <row r="630" hidden="1">
      <c r="A630" s="93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19"/>
      <c r="P630" s="22"/>
      <c r="Q630" s="22"/>
      <c r="R630" s="22"/>
    </row>
    <row r="631" hidden="1">
      <c r="A631" s="93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19"/>
      <c r="P631" s="22"/>
      <c r="Q631" s="22"/>
      <c r="R631" s="22"/>
    </row>
    <row r="632" hidden="1">
      <c r="A632" s="93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19"/>
      <c r="P632" s="22"/>
      <c r="Q632" s="22"/>
      <c r="R632" s="22"/>
    </row>
    <row r="633" hidden="1">
      <c r="A633" s="93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19"/>
      <c r="P633" s="22"/>
      <c r="Q633" s="22"/>
      <c r="R633" s="22"/>
    </row>
    <row r="634" hidden="1">
      <c r="A634" s="93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19"/>
      <c r="P634" s="22"/>
      <c r="Q634" s="22"/>
      <c r="R634" s="22"/>
    </row>
    <row r="635" hidden="1">
      <c r="A635" s="93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19"/>
      <c r="P635" s="22"/>
      <c r="Q635" s="22"/>
      <c r="R635" s="22"/>
    </row>
    <row r="636" hidden="1">
      <c r="A636" s="93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19"/>
      <c r="P636" s="22"/>
      <c r="Q636" s="22"/>
      <c r="R636" s="22"/>
    </row>
    <row r="637" hidden="1">
      <c r="A637" s="93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19"/>
      <c r="P637" s="22"/>
      <c r="Q637" s="22"/>
      <c r="R637" s="22"/>
    </row>
    <row r="638" hidden="1">
      <c r="A638" s="93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19"/>
      <c r="P638" s="22"/>
      <c r="Q638" s="22"/>
      <c r="R638" s="22"/>
    </row>
    <row r="639" hidden="1">
      <c r="A639" s="93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19"/>
      <c r="P639" s="22"/>
      <c r="Q639" s="22"/>
      <c r="R639" s="22"/>
    </row>
    <row r="640" hidden="1">
      <c r="A640" s="93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19"/>
      <c r="P640" s="22"/>
      <c r="Q640" s="22"/>
      <c r="R640" s="22"/>
    </row>
    <row r="641" hidden="1">
      <c r="A641" s="93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19"/>
      <c r="P641" s="22"/>
      <c r="Q641" s="22"/>
      <c r="R641" s="22"/>
    </row>
    <row r="642" hidden="1">
      <c r="A642" s="93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19"/>
      <c r="P642" s="22"/>
      <c r="Q642" s="22"/>
      <c r="R642" s="22"/>
    </row>
    <row r="643" hidden="1">
      <c r="A643" s="93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19"/>
      <c r="P643" s="22"/>
      <c r="Q643" s="22"/>
      <c r="R643" s="22"/>
    </row>
    <row r="644" hidden="1">
      <c r="A644" s="93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19"/>
      <c r="P644" s="22"/>
      <c r="Q644" s="22"/>
      <c r="R644" s="22"/>
    </row>
    <row r="645" hidden="1">
      <c r="A645" s="93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19"/>
      <c r="P645" s="22"/>
      <c r="Q645" s="22"/>
      <c r="R645" s="22"/>
    </row>
    <row r="646" hidden="1">
      <c r="A646" s="93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19"/>
      <c r="P646" s="22"/>
      <c r="Q646" s="22"/>
      <c r="R646" s="22"/>
    </row>
    <row r="647" hidden="1">
      <c r="A647" s="93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19"/>
      <c r="P647" s="22"/>
      <c r="Q647" s="22"/>
      <c r="R647" s="22"/>
    </row>
    <row r="648" hidden="1">
      <c r="A648" s="93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19"/>
      <c r="P648" s="22"/>
      <c r="Q648" s="22"/>
      <c r="R648" s="22"/>
    </row>
    <row r="649" hidden="1">
      <c r="A649" s="93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19"/>
      <c r="P649" s="22"/>
      <c r="Q649" s="22"/>
      <c r="R649" s="22"/>
    </row>
    <row r="650" hidden="1">
      <c r="A650" s="93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19"/>
      <c r="P650" s="22"/>
      <c r="Q650" s="22"/>
      <c r="R650" s="22"/>
    </row>
    <row r="651" hidden="1">
      <c r="A651" s="93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19"/>
      <c r="P651" s="22"/>
      <c r="Q651" s="22"/>
      <c r="R651" s="22"/>
    </row>
    <row r="652" hidden="1">
      <c r="A652" s="93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19"/>
      <c r="P652" s="22"/>
      <c r="Q652" s="22"/>
      <c r="R652" s="22"/>
    </row>
    <row r="653" hidden="1">
      <c r="A653" s="93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19"/>
      <c r="P653" s="22"/>
      <c r="Q653" s="22"/>
      <c r="R653" s="22"/>
    </row>
    <row r="654" hidden="1">
      <c r="A654" s="93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19"/>
      <c r="P654" s="22"/>
      <c r="Q654" s="22"/>
      <c r="R654" s="22"/>
    </row>
    <row r="655" hidden="1">
      <c r="A655" s="93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19"/>
      <c r="P655" s="22"/>
      <c r="Q655" s="22"/>
      <c r="R655" s="22"/>
    </row>
    <row r="656" hidden="1">
      <c r="A656" s="93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19"/>
      <c r="P656" s="22"/>
      <c r="Q656" s="22"/>
      <c r="R656" s="22"/>
    </row>
    <row r="657" hidden="1">
      <c r="A657" s="93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19"/>
      <c r="P657" s="22"/>
      <c r="Q657" s="22"/>
      <c r="R657" s="22"/>
    </row>
    <row r="658" hidden="1">
      <c r="A658" s="93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19"/>
      <c r="P658" s="22"/>
      <c r="Q658" s="22"/>
      <c r="R658" s="22"/>
    </row>
    <row r="659" hidden="1">
      <c r="A659" s="93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19"/>
      <c r="P659" s="22"/>
      <c r="Q659" s="22"/>
      <c r="R659" s="22"/>
    </row>
    <row r="660" hidden="1">
      <c r="A660" s="93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19"/>
      <c r="P660" s="22"/>
      <c r="Q660" s="22"/>
      <c r="R660" s="22"/>
    </row>
    <row r="661" hidden="1">
      <c r="A661" s="93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19"/>
      <c r="P661" s="22"/>
      <c r="Q661" s="22"/>
      <c r="R661" s="22"/>
    </row>
    <row r="662" hidden="1">
      <c r="A662" s="93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19"/>
      <c r="P662" s="22"/>
      <c r="Q662" s="22"/>
      <c r="R662" s="22"/>
    </row>
    <row r="663" hidden="1">
      <c r="A663" s="93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19"/>
      <c r="P663" s="22"/>
      <c r="Q663" s="22"/>
      <c r="R663" s="22"/>
    </row>
    <row r="664" hidden="1">
      <c r="A664" s="93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19"/>
      <c r="P664" s="22"/>
      <c r="Q664" s="22"/>
      <c r="R664" s="22"/>
    </row>
    <row r="665" hidden="1">
      <c r="A665" s="93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19"/>
      <c r="P665" s="22"/>
      <c r="Q665" s="22"/>
      <c r="R665" s="22"/>
    </row>
    <row r="666" hidden="1">
      <c r="A666" s="93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19"/>
      <c r="P666" s="22"/>
      <c r="Q666" s="22"/>
      <c r="R666" s="22"/>
    </row>
    <row r="667" hidden="1">
      <c r="A667" s="93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19"/>
      <c r="P667" s="22"/>
      <c r="Q667" s="22"/>
      <c r="R667" s="22"/>
    </row>
    <row r="668" hidden="1">
      <c r="A668" s="93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19"/>
      <c r="P668" s="22"/>
      <c r="Q668" s="22"/>
      <c r="R668" s="22"/>
    </row>
    <row r="669" hidden="1">
      <c r="A669" s="93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19"/>
      <c r="P669" s="22"/>
      <c r="Q669" s="22"/>
      <c r="R669" s="22"/>
    </row>
    <row r="670" hidden="1">
      <c r="A670" s="93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19"/>
      <c r="P670" s="22"/>
      <c r="Q670" s="22"/>
      <c r="R670" s="22"/>
    </row>
    <row r="671" hidden="1">
      <c r="A671" s="93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19"/>
      <c r="P671" s="22"/>
      <c r="Q671" s="22"/>
      <c r="R671" s="22"/>
    </row>
    <row r="672" hidden="1">
      <c r="A672" s="93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19"/>
      <c r="P672" s="22"/>
      <c r="Q672" s="22"/>
      <c r="R672" s="22"/>
    </row>
    <row r="673" hidden="1">
      <c r="A673" s="93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19"/>
      <c r="P673" s="22"/>
      <c r="Q673" s="22"/>
      <c r="R673" s="22"/>
    </row>
    <row r="674" hidden="1">
      <c r="A674" s="93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19"/>
      <c r="P674" s="22"/>
      <c r="Q674" s="22"/>
      <c r="R674" s="22"/>
    </row>
    <row r="675" hidden="1">
      <c r="A675" s="93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19"/>
      <c r="P675" s="22"/>
      <c r="Q675" s="22"/>
      <c r="R675" s="22"/>
    </row>
    <row r="676" hidden="1">
      <c r="A676" s="93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19"/>
      <c r="P676" s="22"/>
      <c r="Q676" s="22"/>
      <c r="R676" s="22"/>
    </row>
    <row r="677" hidden="1">
      <c r="A677" s="93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19"/>
      <c r="P677" s="22"/>
      <c r="Q677" s="22"/>
      <c r="R677" s="22"/>
    </row>
    <row r="678" hidden="1">
      <c r="A678" s="93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19"/>
      <c r="P678" s="22"/>
      <c r="Q678" s="22"/>
      <c r="R678" s="22"/>
    </row>
    <row r="679" hidden="1">
      <c r="A679" s="93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19"/>
      <c r="P679" s="22"/>
      <c r="Q679" s="22"/>
      <c r="R679" s="22"/>
    </row>
    <row r="680" hidden="1">
      <c r="A680" s="93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19"/>
      <c r="P680" s="22"/>
      <c r="Q680" s="22"/>
      <c r="R680" s="22"/>
    </row>
    <row r="681" hidden="1">
      <c r="A681" s="93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19"/>
      <c r="P681" s="22"/>
      <c r="Q681" s="22"/>
      <c r="R681" s="22"/>
    </row>
    <row r="682" hidden="1">
      <c r="A682" s="93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19"/>
      <c r="P682" s="22"/>
      <c r="Q682" s="22"/>
      <c r="R682" s="22"/>
    </row>
    <row r="683" hidden="1">
      <c r="A683" s="93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19"/>
      <c r="P683" s="22"/>
      <c r="Q683" s="22"/>
      <c r="R683" s="22"/>
    </row>
    <row r="684" hidden="1">
      <c r="A684" s="93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19"/>
      <c r="P684" s="22"/>
      <c r="Q684" s="22"/>
      <c r="R684" s="22"/>
    </row>
    <row r="685" hidden="1">
      <c r="A685" s="93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19"/>
      <c r="P685" s="22"/>
      <c r="Q685" s="22"/>
      <c r="R685" s="22"/>
    </row>
    <row r="686" hidden="1">
      <c r="A686" s="93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19"/>
      <c r="P686" s="22"/>
      <c r="Q686" s="22"/>
      <c r="R686" s="22"/>
    </row>
    <row r="687" hidden="1">
      <c r="A687" s="93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19"/>
      <c r="P687" s="22"/>
      <c r="Q687" s="22"/>
      <c r="R687" s="22"/>
    </row>
    <row r="688" hidden="1">
      <c r="A688" s="93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19"/>
      <c r="P688" s="22"/>
      <c r="Q688" s="22"/>
      <c r="R688" s="22"/>
    </row>
    <row r="689" hidden="1">
      <c r="A689" s="93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19"/>
      <c r="P689" s="22"/>
      <c r="Q689" s="22"/>
      <c r="R689" s="22"/>
    </row>
    <row r="690" hidden="1">
      <c r="A690" s="93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19"/>
      <c r="P690" s="22"/>
      <c r="Q690" s="22"/>
      <c r="R690" s="22"/>
    </row>
    <row r="691" hidden="1">
      <c r="A691" s="93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19"/>
      <c r="P691" s="22"/>
      <c r="Q691" s="22"/>
      <c r="R691" s="22"/>
    </row>
    <row r="692" hidden="1">
      <c r="A692" s="93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19"/>
      <c r="P692" s="22"/>
      <c r="Q692" s="22"/>
      <c r="R692" s="22"/>
    </row>
    <row r="693" hidden="1">
      <c r="A693" s="93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19"/>
      <c r="P693" s="22"/>
      <c r="Q693" s="22"/>
      <c r="R693" s="22"/>
    </row>
    <row r="694" hidden="1">
      <c r="A694" s="93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19"/>
      <c r="P694" s="22"/>
      <c r="Q694" s="22"/>
      <c r="R694" s="22"/>
    </row>
    <row r="695" hidden="1">
      <c r="A695" s="93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19"/>
      <c r="P695" s="22"/>
      <c r="Q695" s="22"/>
      <c r="R695" s="22"/>
    </row>
    <row r="696" hidden="1">
      <c r="A696" s="93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19"/>
      <c r="P696" s="22"/>
      <c r="Q696" s="22"/>
      <c r="R696" s="22"/>
    </row>
    <row r="697" hidden="1">
      <c r="A697" s="93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19"/>
      <c r="P697" s="22"/>
      <c r="Q697" s="22"/>
      <c r="R697" s="22"/>
    </row>
    <row r="698" hidden="1">
      <c r="A698" s="93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19"/>
      <c r="P698" s="22"/>
      <c r="Q698" s="22"/>
      <c r="R698" s="22"/>
    </row>
    <row r="699" hidden="1">
      <c r="A699" s="93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19"/>
      <c r="P699" s="22"/>
      <c r="Q699" s="22"/>
      <c r="R699" s="22"/>
    </row>
    <row r="700" hidden="1">
      <c r="A700" s="93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19"/>
      <c r="P700" s="22"/>
      <c r="Q700" s="22"/>
      <c r="R700" s="22"/>
    </row>
    <row r="701" hidden="1">
      <c r="A701" s="93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19"/>
      <c r="P701" s="22"/>
      <c r="Q701" s="22"/>
      <c r="R701" s="22"/>
    </row>
    <row r="702" hidden="1">
      <c r="A702" s="93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19"/>
      <c r="P702" s="22"/>
      <c r="Q702" s="22"/>
      <c r="R702" s="22"/>
    </row>
    <row r="703" hidden="1">
      <c r="A703" s="93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19"/>
      <c r="P703" s="22"/>
      <c r="Q703" s="22"/>
      <c r="R703" s="22"/>
    </row>
    <row r="704" hidden="1">
      <c r="A704" s="93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19"/>
      <c r="P704" s="22"/>
      <c r="Q704" s="22"/>
      <c r="R704" s="22"/>
    </row>
    <row r="705" hidden="1">
      <c r="A705" s="93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19"/>
      <c r="P705" s="22"/>
      <c r="Q705" s="22"/>
      <c r="R705" s="22"/>
    </row>
    <row r="706" hidden="1">
      <c r="A706" s="93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19"/>
      <c r="P706" s="22"/>
      <c r="Q706" s="22"/>
      <c r="R706" s="22"/>
    </row>
    <row r="707" hidden="1">
      <c r="A707" s="93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19"/>
      <c r="P707" s="22"/>
      <c r="Q707" s="22"/>
      <c r="R707" s="22"/>
    </row>
    <row r="708" hidden="1">
      <c r="A708" s="93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19"/>
      <c r="P708" s="22"/>
      <c r="Q708" s="22"/>
      <c r="R708" s="22"/>
    </row>
    <row r="709" hidden="1">
      <c r="A709" s="93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19"/>
      <c r="P709" s="22"/>
      <c r="Q709" s="22"/>
      <c r="R709" s="22"/>
    </row>
    <row r="710" hidden="1">
      <c r="A710" s="93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19"/>
      <c r="P710" s="22"/>
      <c r="Q710" s="22"/>
      <c r="R710" s="22"/>
    </row>
    <row r="711" hidden="1">
      <c r="A711" s="93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19"/>
      <c r="P711" s="22"/>
      <c r="Q711" s="22"/>
      <c r="R711" s="22"/>
    </row>
    <row r="712" hidden="1">
      <c r="A712" s="93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19"/>
      <c r="P712" s="22"/>
      <c r="Q712" s="22"/>
      <c r="R712" s="22"/>
    </row>
    <row r="713" hidden="1">
      <c r="A713" s="93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19"/>
      <c r="P713" s="22"/>
      <c r="Q713" s="22"/>
      <c r="R713" s="22"/>
    </row>
    <row r="714" hidden="1">
      <c r="A714" s="93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19"/>
      <c r="P714" s="22"/>
      <c r="Q714" s="22"/>
      <c r="R714" s="22"/>
    </row>
    <row r="715" hidden="1">
      <c r="A715" s="93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19"/>
      <c r="P715" s="22"/>
      <c r="Q715" s="22"/>
      <c r="R715" s="22"/>
    </row>
    <row r="716" hidden="1">
      <c r="A716" s="93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19"/>
      <c r="P716" s="22"/>
      <c r="Q716" s="22"/>
      <c r="R716" s="22"/>
    </row>
    <row r="717" hidden="1">
      <c r="A717" s="93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19"/>
      <c r="P717" s="22"/>
      <c r="Q717" s="22"/>
      <c r="R717" s="22"/>
    </row>
    <row r="718" hidden="1">
      <c r="A718" s="93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19"/>
      <c r="P718" s="22"/>
      <c r="Q718" s="22"/>
      <c r="R718" s="22"/>
    </row>
    <row r="719" hidden="1">
      <c r="A719" s="93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19"/>
      <c r="P719" s="22"/>
      <c r="Q719" s="22"/>
      <c r="R719" s="22"/>
    </row>
    <row r="720" hidden="1">
      <c r="A720" s="93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19"/>
      <c r="P720" s="22"/>
      <c r="Q720" s="22"/>
      <c r="R720" s="22"/>
    </row>
    <row r="721" hidden="1">
      <c r="A721" s="93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19"/>
      <c r="P721" s="22"/>
      <c r="Q721" s="22"/>
      <c r="R721" s="22"/>
    </row>
    <row r="722" hidden="1">
      <c r="A722" s="93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19"/>
      <c r="P722" s="22"/>
      <c r="Q722" s="22"/>
      <c r="R722" s="22"/>
    </row>
    <row r="723" hidden="1">
      <c r="A723" s="93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19"/>
      <c r="P723" s="22"/>
      <c r="Q723" s="22"/>
      <c r="R723" s="22"/>
    </row>
    <row r="724" hidden="1">
      <c r="A724" s="93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19"/>
      <c r="P724" s="22"/>
      <c r="Q724" s="22"/>
      <c r="R724" s="22"/>
    </row>
    <row r="725" hidden="1">
      <c r="A725" s="93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19"/>
      <c r="P725" s="22"/>
      <c r="Q725" s="22"/>
      <c r="R725" s="22"/>
    </row>
    <row r="726" hidden="1">
      <c r="A726" s="93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19"/>
      <c r="P726" s="22"/>
      <c r="Q726" s="22"/>
      <c r="R726" s="22"/>
    </row>
    <row r="727" hidden="1">
      <c r="A727" s="93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19"/>
      <c r="P727" s="22"/>
      <c r="Q727" s="22"/>
      <c r="R727" s="22"/>
    </row>
    <row r="728" hidden="1">
      <c r="A728" s="93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19"/>
      <c r="P728" s="22"/>
      <c r="Q728" s="22"/>
      <c r="R728" s="22"/>
    </row>
    <row r="729" hidden="1">
      <c r="A729" s="93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19"/>
      <c r="P729" s="22"/>
      <c r="Q729" s="22"/>
      <c r="R729" s="22"/>
    </row>
    <row r="730" hidden="1">
      <c r="A730" s="93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19"/>
      <c r="P730" s="22"/>
      <c r="Q730" s="22"/>
      <c r="R730" s="22"/>
    </row>
    <row r="731" hidden="1">
      <c r="A731" s="93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19"/>
      <c r="P731" s="22"/>
      <c r="Q731" s="22"/>
      <c r="R731" s="22"/>
    </row>
    <row r="732" hidden="1">
      <c r="A732" s="93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19"/>
      <c r="P732" s="22"/>
      <c r="Q732" s="22"/>
      <c r="R732" s="22"/>
    </row>
    <row r="733" hidden="1">
      <c r="A733" s="93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19"/>
      <c r="P733" s="22"/>
      <c r="Q733" s="22"/>
      <c r="R733" s="22"/>
    </row>
    <row r="734" hidden="1">
      <c r="A734" s="93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19"/>
      <c r="P734" s="22"/>
      <c r="Q734" s="22"/>
      <c r="R734" s="22"/>
    </row>
    <row r="735" hidden="1">
      <c r="A735" s="93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19"/>
      <c r="P735" s="22"/>
      <c r="Q735" s="22"/>
      <c r="R735" s="22"/>
    </row>
    <row r="736" hidden="1">
      <c r="A736" s="93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19"/>
      <c r="P736" s="22"/>
      <c r="Q736" s="22"/>
      <c r="R736" s="22"/>
    </row>
    <row r="737" hidden="1">
      <c r="A737" s="93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19"/>
      <c r="P737" s="22"/>
      <c r="Q737" s="22"/>
      <c r="R737" s="22"/>
    </row>
    <row r="738" hidden="1">
      <c r="A738" s="93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19"/>
      <c r="P738" s="22"/>
      <c r="Q738" s="22"/>
      <c r="R738" s="22"/>
    </row>
    <row r="739" hidden="1">
      <c r="A739" s="93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19"/>
      <c r="P739" s="22"/>
      <c r="Q739" s="22"/>
      <c r="R739" s="22"/>
    </row>
    <row r="740" hidden="1">
      <c r="A740" s="93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19"/>
      <c r="P740" s="22"/>
      <c r="Q740" s="22"/>
      <c r="R740" s="22"/>
    </row>
    <row r="741" hidden="1">
      <c r="A741" s="93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19"/>
      <c r="P741" s="22"/>
      <c r="Q741" s="22"/>
      <c r="R741" s="22"/>
    </row>
    <row r="742" hidden="1">
      <c r="A742" s="93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19"/>
      <c r="P742" s="22"/>
      <c r="Q742" s="22"/>
      <c r="R742" s="22"/>
    </row>
    <row r="743" hidden="1">
      <c r="A743" s="93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19"/>
      <c r="P743" s="22"/>
      <c r="Q743" s="22"/>
      <c r="R743" s="22"/>
    </row>
    <row r="744" hidden="1">
      <c r="A744" s="93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19"/>
      <c r="P744" s="22"/>
      <c r="Q744" s="22"/>
      <c r="R744" s="22"/>
    </row>
    <row r="745" hidden="1">
      <c r="A745" s="93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19"/>
      <c r="P745" s="22"/>
      <c r="Q745" s="22"/>
      <c r="R745" s="22"/>
    </row>
    <row r="746" hidden="1">
      <c r="A746" s="93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19"/>
      <c r="P746" s="22"/>
      <c r="Q746" s="22"/>
      <c r="R746" s="22"/>
    </row>
    <row r="747" hidden="1">
      <c r="A747" s="93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19"/>
      <c r="P747" s="22"/>
      <c r="Q747" s="22"/>
      <c r="R747" s="22"/>
    </row>
    <row r="748" hidden="1">
      <c r="A748" s="93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19"/>
      <c r="P748" s="22"/>
      <c r="Q748" s="22"/>
      <c r="R748" s="22"/>
    </row>
    <row r="749" hidden="1">
      <c r="A749" s="93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19"/>
      <c r="P749" s="22"/>
      <c r="Q749" s="22"/>
      <c r="R749" s="22"/>
    </row>
    <row r="750" hidden="1">
      <c r="A750" s="93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19"/>
      <c r="P750" s="22"/>
      <c r="Q750" s="22"/>
      <c r="R750" s="22"/>
    </row>
    <row r="751" hidden="1">
      <c r="A751" s="93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19"/>
      <c r="P751" s="22"/>
      <c r="Q751" s="22"/>
      <c r="R751" s="22"/>
    </row>
    <row r="752" hidden="1">
      <c r="A752" s="93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19"/>
      <c r="P752" s="22"/>
      <c r="Q752" s="22"/>
      <c r="R752" s="22"/>
    </row>
    <row r="753" hidden="1">
      <c r="A753" s="93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19"/>
      <c r="P753" s="22"/>
      <c r="Q753" s="22"/>
      <c r="R753" s="22"/>
    </row>
    <row r="754" hidden="1">
      <c r="A754" s="93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19"/>
      <c r="P754" s="22"/>
      <c r="Q754" s="22"/>
      <c r="R754" s="22"/>
    </row>
    <row r="755" hidden="1">
      <c r="A755" s="93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19"/>
      <c r="P755" s="22"/>
      <c r="Q755" s="22"/>
      <c r="R755" s="22"/>
    </row>
    <row r="756" hidden="1">
      <c r="A756" s="93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19"/>
      <c r="P756" s="22"/>
      <c r="Q756" s="22"/>
      <c r="R756" s="22"/>
    </row>
    <row r="757" hidden="1">
      <c r="A757" s="93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19"/>
      <c r="P757" s="22"/>
      <c r="Q757" s="22"/>
      <c r="R757" s="22"/>
    </row>
    <row r="758" hidden="1">
      <c r="A758" s="93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19"/>
      <c r="P758" s="22"/>
      <c r="Q758" s="22"/>
      <c r="R758" s="22"/>
    </row>
    <row r="759" hidden="1">
      <c r="A759" s="93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19"/>
      <c r="P759" s="22"/>
      <c r="Q759" s="22"/>
      <c r="R759" s="22"/>
    </row>
    <row r="760" hidden="1">
      <c r="A760" s="93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19"/>
      <c r="P760" s="22"/>
      <c r="Q760" s="22"/>
      <c r="R760" s="22"/>
    </row>
    <row r="761" hidden="1">
      <c r="A761" s="93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19"/>
      <c r="P761" s="22"/>
      <c r="Q761" s="22"/>
      <c r="R761" s="22"/>
    </row>
    <row r="762" hidden="1">
      <c r="A762" s="93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19"/>
      <c r="P762" s="22"/>
      <c r="Q762" s="22"/>
      <c r="R762" s="22"/>
    </row>
    <row r="763" hidden="1">
      <c r="A763" s="93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19"/>
      <c r="P763" s="22"/>
      <c r="Q763" s="22"/>
      <c r="R763" s="22"/>
    </row>
    <row r="764" hidden="1">
      <c r="A764" s="93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19"/>
      <c r="P764" s="22"/>
      <c r="Q764" s="22"/>
      <c r="R764" s="22"/>
    </row>
    <row r="765" hidden="1">
      <c r="A765" s="93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19"/>
      <c r="P765" s="22"/>
      <c r="Q765" s="22"/>
      <c r="R765" s="22"/>
    </row>
    <row r="766" hidden="1">
      <c r="A766" s="93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19"/>
      <c r="P766" s="22"/>
      <c r="Q766" s="22"/>
      <c r="R766" s="22"/>
    </row>
    <row r="767" hidden="1">
      <c r="A767" s="93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19"/>
      <c r="P767" s="22"/>
      <c r="Q767" s="22"/>
      <c r="R767" s="22"/>
    </row>
    <row r="768" hidden="1">
      <c r="A768" s="93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19"/>
      <c r="P768" s="22"/>
      <c r="Q768" s="22"/>
      <c r="R768" s="22"/>
    </row>
    <row r="769" hidden="1">
      <c r="A769" s="93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19"/>
      <c r="P769" s="22"/>
      <c r="Q769" s="22"/>
      <c r="R769" s="22"/>
    </row>
    <row r="770" hidden="1">
      <c r="A770" s="93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19"/>
      <c r="P770" s="22"/>
      <c r="Q770" s="22"/>
      <c r="R770" s="22"/>
    </row>
    <row r="771" hidden="1">
      <c r="A771" s="93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19"/>
      <c r="P771" s="22"/>
      <c r="Q771" s="22"/>
      <c r="R771" s="22"/>
    </row>
    <row r="772" hidden="1">
      <c r="A772" s="93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19"/>
      <c r="P772" s="22"/>
      <c r="Q772" s="22"/>
      <c r="R772" s="22"/>
    </row>
    <row r="773" hidden="1">
      <c r="A773" s="93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19"/>
      <c r="P773" s="22"/>
      <c r="Q773" s="22"/>
      <c r="R773" s="22"/>
    </row>
    <row r="774" hidden="1">
      <c r="A774" s="93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19"/>
      <c r="P774" s="22"/>
      <c r="Q774" s="22"/>
      <c r="R774" s="22"/>
    </row>
    <row r="775" hidden="1">
      <c r="A775" s="93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19"/>
      <c r="P775" s="22"/>
      <c r="Q775" s="22"/>
      <c r="R775" s="22"/>
    </row>
    <row r="776" hidden="1">
      <c r="A776" s="93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19"/>
      <c r="P776" s="22"/>
      <c r="Q776" s="22"/>
      <c r="R776" s="22"/>
    </row>
    <row r="777" hidden="1">
      <c r="A777" s="93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19"/>
      <c r="P777" s="22"/>
      <c r="Q777" s="22"/>
      <c r="R777" s="22"/>
    </row>
    <row r="778" hidden="1">
      <c r="A778" s="93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19"/>
      <c r="P778" s="22"/>
      <c r="Q778" s="22"/>
      <c r="R778" s="22"/>
    </row>
    <row r="779" hidden="1">
      <c r="A779" s="93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19"/>
      <c r="P779" s="22"/>
      <c r="Q779" s="22"/>
      <c r="R779" s="22"/>
    </row>
    <row r="780" hidden="1">
      <c r="A780" s="93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19"/>
      <c r="P780" s="22"/>
      <c r="Q780" s="22"/>
      <c r="R780" s="22"/>
    </row>
    <row r="781" hidden="1">
      <c r="A781" s="93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19"/>
      <c r="P781" s="22"/>
      <c r="Q781" s="22"/>
      <c r="R781" s="22"/>
    </row>
    <row r="782" hidden="1">
      <c r="A782" s="93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19"/>
      <c r="P782" s="22"/>
      <c r="Q782" s="22"/>
      <c r="R782" s="22"/>
    </row>
    <row r="783" hidden="1">
      <c r="A783" s="93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19"/>
      <c r="P783" s="22"/>
      <c r="Q783" s="22"/>
      <c r="R783" s="22"/>
    </row>
    <row r="784" hidden="1">
      <c r="A784" s="93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19"/>
      <c r="P784" s="22"/>
      <c r="Q784" s="22"/>
      <c r="R784" s="22"/>
    </row>
    <row r="785" hidden="1">
      <c r="A785" s="93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19"/>
      <c r="P785" s="22"/>
      <c r="Q785" s="22"/>
      <c r="R785" s="22"/>
    </row>
    <row r="786" hidden="1">
      <c r="A786" s="93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19"/>
      <c r="P786" s="22"/>
      <c r="Q786" s="22"/>
      <c r="R786" s="22"/>
    </row>
    <row r="787" hidden="1">
      <c r="A787" s="93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19"/>
      <c r="P787" s="22"/>
      <c r="Q787" s="22"/>
      <c r="R787" s="22"/>
    </row>
    <row r="788" hidden="1">
      <c r="A788" s="93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19"/>
      <c r="P788" s="22"/>
      <c r="Q788" s="22"/>
      <c r="R788" s="22"/>
    </row>
    <row r="789" hidden="1">
      <c r="A789" s="93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19"/>
      <c r="P789" s="22"/>
      <c r="Q789" s="22"/>
      <c r="R789" s="22"/>
    </row>
    <row r="790" hidden="1">
      <c r="A790" s="93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19"/>
      <c r="P790" s="22"/>
      <c r="Q790" s="22"/>
      <c r="R790" s="22"/>
    </row>
    <row r="791" hidden="1">
      <c r="A791" s="93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19"/>
      <c r="P791" s="22"/>
      <c r="Q791" s="22"/>
      <c r="R791" s="22"/>
    </row>
    <row r="792" hidden="1">
      <c r="A792" s="93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19"/>
      <c r="P792" s="22"/>
      <c r="Q792" s="22"/>
      <c r="R792" s="22"/>
    </row>
    <row r="793" hidden="1">
      <c r="A793" s="93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19"/>
      <c r="P793" s="22"/>
      <c r="Q793" s="22"/>
      <c r="R793" s="22"/>
    </row>
    <row r="794" hidden="1">
      <c r="A794" s="93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19"/>
      <c r="P794" s="22"/>
      <c r="Q794" s="22"/>
      <c r="R794" s="22"/>
    </row>
    <row r="795" hidden="1">
      <c r="A795" s="93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19"/>
      <c r="P795" s="22"/>
      <c r="Q795" s="22"/>
      <c r="R795" s="22"/>
    </row>
    <row r="796" hidden="1">
      <c r="A796" s="93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19"/>
      <c r="P796" s="22"/>
      <c r="Q796" s="22"/>
      <c r="R796" s="22"/>
    </row>
    <row r="797" hidden="1">
      <c r="A797" s="93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19"/>
      <c r="P797" s="22"/>
      <c r="Q797" s="22"/>
      <c r="R797" s="22"/>
    </row>
    <row r="798" hidden="1">
      <c r="A798" s="93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19"/>
      <c r="P798" s="22"/>
      <c r="Q798" s="22"/>
      <c r="R798" s="22"/>
    </row>
    <row r="799" hidden="1">
      <c r="A799" s="93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19"/>
      <c r="P799" s="22"/>
      <c r="Q799" s="22"/>
      <c r="R799" s="22"/>
    </row>
    <row r="800" hidden="1">
      <c r="A800" s="93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19"/>
      <c r="P800" s="22"/>
      <c r="Q800" s="22"/>
      <c r="R800" s="22"/>
    </row>
    <row r="801" hidden="1">
      <c r="A801" s="93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19"/>
      <c r="P801" s="22"/>
      <c r="Q801" s="22"/>
      <c r="R801" s="22"/>
    </row>
    <row r="802" hidden="1">
      <c r="A802" s="93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19"/>
      <c r="P802" s="22"/>
      <c r="Q802" s="22"/>
      <c r="R802" s="22"/>
    </row>
    <row r="803" hidden="1">
      <c r="A803" s="93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19"/>
      <c r="P803" s="22"/>
      <c r="Q803" s="22"/>
      <c r="R803" s="22"/>
    </row>
    <row r="804" hidden="1">
      <c r="A804" s="93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19"/>
      <c r="P804" s="22"/>
      <c r="Q804" s="22"/>
      <c r="R804" s="22"/>
    </row>
    <row r="805" hidden="1">
      <c r="A805" s="93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19"/>
      <c r="P805" s="22"/>
      <c r="Q805" s="22"/>
      <c r="R805" s="22"/>
    </row>
    <row r="806" hidden="1">
      <c r="A806" s="93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19"/>
      <c r="P806" s="22"/>
      <c r="Q806" s="22"/>
      <c r="R806" s="22"/>
    </row>
    <row r="807" hidden="1">
      <c r="A807" s="93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19"/>
      <c r="P807" s="22"/>
      <c r="Q807" s="22"/>
      <c r="R807" s="22"/>
    </row>
    <row r="808" hidden="1">
      <c r="A808" s="93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19"/>
      <c r="P808" s="22"/>
      <c r="Q808" s="22"/>
      <c r="R808" s="22"/>
    </row>
    <row r="809" hidden="1">
      <c r="A809" s="93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19"/>
      <c r="P809" s="22"/>
      <c r="Q809" s="22"/>
      <c r="R809" s="22"/>
    </row>
    <row r="810" hidden="1">
      <c r="A810" s="93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19"/>
      <c r="P810" s="22"/>
      <c r="Q810" s="22"/>
      <c r="R810" s="22"/>
    </row>
    <row r="811" hidden="1">
      <c r="A811" s="93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19"/>
      <c r="P811" s="22"/>
      <c r="Q811" s="22"/>
      <c r="R811" s="22"/>
    </row>
    <row r="812" hidden="1">
      <c r="A812" s="93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19"/>
      <c r="P812" s="22"/>
      <c r="Q812" s="22"/>
      <c r="R812" s="22"/>
    </row>
    <row r="813" hidden="1">
      <c r="A813" s="93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19"/>
      <c r="P813" s="22"/>
      <c r="Q813" s="22"/>
      <c r="R813" s="22"/>
    </row>
    <row r="814" hidden="1">
      <c r="A814" s="93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19"/>
      <c r="P814" s="22"/>
      <c r="Q814" s="22"/>
      <c r="R814" s="22"/>
    </row>
    <row r="815" hidden="1">
      <c r="A815" s="93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19"/>
      <c r="P815" s="22"/>
      <c r="Q815" s="22"/>
      <c r="R815" s="22"/>
    </row>
    <row r="816" hidden="1">
      <c r="A816" s="93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19"/>
      <c r="P816" s="22"/>
      <c r="Q816" s="22"/>
      <c r="R816" s="22"/>
    </row>
    <row r="817" hidden="1">
      <c r="A817" s="93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19"/>
      <c r="P817" s="22"/>
      <c r="Q817" s="22"/>
      <c r="R817" s="22"/>
    </row>
    <row r="818" hidden="1">
      <c r="A818" s="93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19"/>
      <c r="P818" s="22"/>
      <c r="Q818" s="22"/>
      <c r="R818" s="22"/>
    </row>
    <row r="819" hidden="1">
      <c r="A819" s="93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19"/>
      <c r="P819" s="22"/>
      <c r="Q819" s="22"/>
      <c r="R819" s="22"/>
    </row>
    <row r="820" hidden="1">
      <c r="A820" s="93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19"/>
      <c r="P820" s="22"/>
      <c r="Q820" s="22"/>
      <c r="R820" s="22"/>
    </row>
    <row r="821" hidden="1">
      <c r="A821" s="93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19"/>
      <c r="P821" s="22"/>
      <c r="Q821" s="22"/>
      <c r="R821" s="22"/>
    </row>
    <row r="822" hidden="1">
      <c r="A822" s="93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19"/>
      <c r="P822" s="22"/>
      <c r="Q822" s="22"/>
      <c r="R822" s="22"/>
    </row>
    <row r="823" hidden="1">
      <c r="A823" s="93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19"/>
      <c r="P823" s="22"/>
      <c r="Q823" s="22"/>
      <c r="R823" s="22"/>
    </row>
    <row r="824" hidden="1">
      <c r="A824" s="93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19"/>
      <c r="P824" s="22"/>
      <c r="Q824" s="22"/>
      <c r="R824" s="22"/>
    </row>
    <row r="825" hidden="1">
      <c r="A825" s="93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19"/>
      <c r="P825" s="22"/>
      <c r="Q825" s="22"/>
      <c r="R825" s="22"/>
    </row>
    <row r="826" hidden="1">
      <c r="A826" s="93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19"/>
      <c r="P826" s="22"/>
      <c r="Q826" s="22"/>
      <c r="R826" s="22"/>
    </row>
    <row r="827" hidden="1">
      <c r="A827" s="93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19"/>
      <c r="P827" s="22"/>
      <c r="Q827" s="22"/>
      <c r="R827" s="22"/>
    </row>
    <row r="828" hidden="1">
      <c r="A828" s="93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19"/>
      <c r="P828" s="22"/>
      <c r="Q828" s="22"/>
      <c r="R828" s="22"/>
    </row>
    <row r="829" hidden="1">
      <c r="A829" s="93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19"/>
      <c r="P829" s="22"/>
      <c r="Q829" s="22"/>
      <c r="R829" s="22"/>
    </row>
    <row r="830" hidden="1">
      <c r="A830" s="93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19"/>
      <c r="P830" s="22"/>
      <c r="Q830" s="22"/>
      <c r="R830" s="22"/>
    </row>
    <row r="831" hidden="1">
      <c r="A831" s="93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19"/>
      <c r="P831" s="22"/>
      <c r="Q831" s="22"/>
      <c r="R831" s="22"/>
    </row>
    <row r="832" hidden="1">
      <c r="A832" s="93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19"/>
      <c r="P832" s="22"/>
      <c r="Q832" s="22"/>
      <c r="R832" s="22"/>
    </row>
    <row r="833" hidden="1">
      <c r="A833" s="93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19"/>
      <c r="P833" s="22"/>
      <c r="Q833" s="22"/>
      <c r="R833" s="22"/>
    </row>
    <row r="834" hidden="1">
      <c r="A834" s="93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19"/>
      <c r="P834" s="22"/>
      <c r="Q834" s="22"/>
      <c r="R834" s="22"/>
    </row>
    <row r="835" hidden="1">
      <c r="A835" s="93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19"/>
      <c r="P835" s="22"/>
      <c r="Q835" s="22"/>
      <c r="R835" s="22"/>
    </row>
    <row r="836" hidden="1">
      <c r="A836" s="93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19"/>
      <c r="P836" s="22"/>
      <c r="Q836" s="22"/>
      <c r="R836" s="22"/>
    </row>
    <row r="837" hidden="1">
      <c r="A837" s="93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19"/>
      <c r="P837" s="22"/>
      <c r="Q837" s="22"/>
      <c r="R837" s="22"/>
    </row>
    <row r="838" hidden="1">
      <c r="A838" s="93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19"/>
      <c r="P838" s="22"/>
      <c r="Q838" s="22"/>
      <c r="R838" s="22"/>
    </row>
    <row r="839" hidden="1">
      <c r="A839" s="93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19"/>
      <c r="P839" s="22"/>
      <c r="Q839" s="22"/>
      <c r="R839" s="22"/>
    </row>
    <row r="840" hidden="1">
      <c r="A840" s="93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19"/>
      <c r="P840" s="22"/>
      <c r="Q840" s="22"/>
      <c r="R840" s="22"/>
    </row>
    <row r="841" hidden="1">
      <c r="A841" s="93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19"/>
      <c r="P841" s="22"/>
      <c r="Q841" s="22"/>
      <c r="R841" s="22"/>
    </row>
    <row r="842" hidden="1">
      <c r="A842" s="93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19"/>
      <c r="P842" s="22"/>
      <c r="Q842" s="22"/>
      <c r="R842" s="22"/>
    </row>
    <row r="843" hidden="1">
      <c r="A843" s="93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19"/>
      <c r="P843" s="22"/>
      <c r="Q843" s="22"/>
      <c r="R843" s="22"/>
    </row>
    <row r="844" hidden="1">
      <c r="A844" s="93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19"/>
      <c r="P844" s="22"/>
      <c r="Q844" s="22"/>
      <c r="R844" s="22"/>
    </row>
    <row r="845" hidden="1">
      <c r="A845" s="93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19"/>
      <c r="P845" s="22"/>
      <c r="Q845" s="22"/>
      <c r="R845" s="22"/>
    </row>
    <row r="846" hidden="1">
      <c r="A846" s="93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19"/>
      <c r="P846" s="22"/>
      <c r="Q846" s="22"/>
      <c r="R846" s="22"/>
    </row>
    <row r="847" hidden="1">
      <c r="A847" s="93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19"/>
      <c r="P847" s="22"/>
      <c r="Q847" s="22"/>
      <c r="R847" s="22"/>
    </row>
    <row r="848" hidden="1">
      <c r="A848" s="93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19"/>
      <c r="P848" s="22"/>
      <c r="Q848" s="22"/>
      <c r="R848" s="22"/>
    </row>
    <row r="849" hidden="1">
      <c r="A849" s="93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19"/>
      <c r="P849" s="22"/>
      <c r="Q849" s="22"/>
      <c r="R849" s="22"/>
    </row>
    <row r="850" hidden="1">
      <c r="A850" s="93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19"/>
      <c r="P850" s="22"/>
      <c r="Q850" s="22"/>
      <c r="R850" s="22"/>
    </row>
    <row r="851" hidden="1">
      <c r="A851" s="93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19"/>
      <c r="P851" s="22"/>
      <c r="Q851" s="22"/>
      <c r="R851" s="22"/>
    </row>
    <row r="852" hidden="1">
      <c r="A852" s="93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19"/>
      <c r="P852" s="22"/>
      <c r="Q852" s="22"/>
      <c r="R852" s="22"/>
    </row>
    <row r="853" hidden="1">
      <c r="A853" s="93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19"/>
      <c r="P853" s="22"/>
      <c r="Q853" s="22"/>
      <c r="R853" s="22"/>
    </row>
    <row r="854" hidden="1">
      <c r="A854" s="93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19"/>
      <c r="P854" s="22"/>
      <c r="Q854" s="22"/>
      <c r="R854" s="22"/>
    </row>
    <row r="855" hidden="1">
      <c r="A855" s="93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19"/>
      <c r="P855" s="22"/>
      <c r="Q855" s="22"/>
      <c r="R855" s="22"/>
    </row>
    <row r="856" hidden="1">
      <c r="A856" s="93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19"/>
      <c r="P856" s="22"/>
      <c r="Q856" s="22"/>
      <c r="R856" s="22"/>
    </row>
    <row r="857" hidden="1">
      <c r="A857" s="93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19"/>
      <c r="P857" s="22"/>
      <c r="Q857" s="22"/>
      <c r="R857" s="22"/>
    </row>
    <row r="858" hidden="1">
      <c r="A858" s="93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19"/>
      <c r="P858" s="22"/>
      <c r="Q858" s="22"/>
      <c r="R858" s="22"/>
    </row>
    <row r="859" hidden="1">
      <c r="A859" s="93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19"/>
      <c r="P859" s="22"/>
      <c r="Q859" s="22"/>
      <c r="R859" s="22"/>
    </row>
    <row r="860" hidden="1">
      <c r="A860" s="93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19"/>
      <c r="P860" s="22"/>
      <c r="Q860" s="22"/>
      <c r="R860" s="22"/>
    </row>
    <row r="861" hidden="1">
      <c r="A861" s="93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19"/>
      <c r="P861" s="22"/>
      <c r="Q861" s="22"/>
      <c r="R861" s="22"/>
    </row>
    <row r="862" hidden="1">
      <c r="A862" s="93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19"/>
      <c r="P862" s="22"/>
      <c r="Q862" s="22"/>
      <c r="R862" s="22"/>
    </row>
    <row r="863" hidden="1">
      <c r="A863" s="93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19"/>
      <c r="P863" s="22"/>
      <c r="Q863" s="22"/>
      <c r="R863" s="22"/>
    </row>
    <row r="864" hidden="1">
      <c r="A864" s="93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19"/>
      <c r="P864" s="22"/>
      <c r="Q864" s="22"/>
      <c r="R864" s="22"/>
    </row>
    <row r="865" hidden="1">
      <c r="A865" s="93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19"/>
      <c r="P865" s="22"/>
      <c r="Q865" s="22"/>
      <c r="R865" s="22"/>
    </row>
    <row r="866" hidden="1">
      <c r="A866" s="93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19"/>
      <c r="P866" s="22"/>
      <c r="Q866" s="22"/>
      <c r="R866" s="22"/>
    </row>
    <row r="867" hidden="1">
      <c r="A867" s="93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19"/>
      <c r="P867" s="22"/>
      <c r="Q867" s="22"/>
      <c r="R867" s="22"/>
    </row>
    <row r="868" hidden="1">
      <c r="A868" s="93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19"/>
      <c r="P868" s="22"/>
      <c r="Q868" s="22"/>
      <c r="R868" s="22"/>
    </row>
    <row r="869" hidden="1">
      <c r="A869" s="93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19"/>
      <c r="P869" s="22"/>
      <c r="Q869" s="22"/>
      <c r="R869" s="22"/>
    </row>
    <row r="870" hidden="1">
      <c r="A870" s="93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19"/>
      <c r="P870" s="22"/>
      <c r="Q870" s="22"/>
      <c r="R870" s="22"/>
    </row>
    <row r="871" hidden="1">
      <c r="A871" s="93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19"/>
      <c r="P871" s="22"/>
      <c r="Q871" s="22"/>
      <c r="R871" s="22"/>
    </row>
    <row r="872" hidden="1">
      <c r="A872" s="93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19"/>
      <c r="P872" s="22"/>
      <c r="Q872" s="22"/>
      <c r="R872" s="22"/>
    </row>
    <row r="873" hidden="1">
      <c r="A873" s="93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19"/>
      <c r="P873" s="22"/>
      <c r="Q873" s="22"/>
      <c r="R873" s="22"/>
    </row>
    <row r="874" hidden="1">
      <c r="A874" s="93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19"/>
      <c r="P874" s="22"/>
      <c r="Q874" s="22"/>
      <c r="R874" s="22"/>
    </row>
    <row r="875" hidden="1">
      <c r="A875" s="93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19"/>
      <c r="P875" s="22"/>
      <c r="Q875" s="22"/>
      <c r="R875" s="22"/>
    </row>
    <row r="876" hidden="1">
      <c r="A876" s="93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19"/>
      <c r="P876" s="22"/>
      <c r="Q876" s="22"/>
      <c r="R876" s="22"/>
    </row>
    <row r="877" hidden="1">
      <c r="A877" s="93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19"/>
      <c r="P877" s="22"/>
      <c r="Q877" s="22"/>
      <c r="R877" s="22"/>
    </row>
    <row r="878" hidden="1">
      <c r="A878" s="93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19"/>
      <c r="P878" s="22"/>
      <c r="Q878" s="22"/>
      <c r="R878" s="22"/>
    </row>
    <row r="879" hidden="1">
      <c r="A879" s="93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19"/>
      <c r="P879" s="22"/>
      <c r="Q879" s="22"/>
      <c r="R879" s="22"/>
    </row>
    <row r="880" hidden="1">
      <c r="A880" s="93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19"/>
      <c r="P880" s="22"/>
      <c r="Q880" s="22"/>
      <c r="R880" s="22"/>
    </row>
    <row r="881" hidden="1">
      <c r="A881" s="93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19"/>
      <c r="P881" s="22"/>
      <c r="Q881" s="22"/>
      <c r="R881" s="22"/>
    </row>
    <row r="882" hidden="1">
      <c r="A882" s="93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19"/>
      <c r="P882" s="22"/>
      <c r="Q882" s="22"/>
      <c r="R882" s="22"/>
    </row>
    <row r="883" hidden="1">
      <c r="A883" s="93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19"/>
      <c r="P883" s="22"/>
      <c r="Q883" s="22"/>
      <c r="R883" s="22"/>
    </row>
    <row r="884" hidden="1">
      <c r="A884" s="93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19"/>
      <c r="P884" s="22"/>
      <c r="Q884" s="22"/>
      <c r="R884" s="22"/>
    </row>
    <row r="885" hidden="1">
      <c r="A885" s="93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19"/>
      <c r="P885" s="22"/>
      <c r="Q885" s="22"/>
      <c r="R885" s="22"/>
    </row>
    <row r="886" hidden="1">
      <c r="A886" s="93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19"/>
      <c r="P886" s="22"/>
      <c r="Q886" s="22"/>
      <c r="R886" s="22"/>
    </row>
    <row r="887" hidden="1">
      <c r="A887" s="93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19"/>
      <c r="P887" s="22"/>
      <c r="Q887" s="22"/>
      <c r="R887" s="22"/>
    </row>
    <row r="888" hidden="1">
      <c r="A888" s="93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19"/>
      <c r="P888" s="22"/>
      <c r="Q888" s="22"/>
      <c r="R888" s="22"/>
    </row>
    <row r="889" hidden="1">
      <c r="A889" s="93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19"/>
      <c r="P889" s="22"/>
      <c r="Q889" s="22"/>
      <c r="R889" s="22"/>
    </row>
    <row r="890" hidden="1">
      <c r="A890" s="93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19"/>
      <c r="P890" s="22"/>
      <c r="Q890" s="22"/>
      <c r="R890" s="22"/>
    </row>
    <row r="891" hidden="1">
      <c r="A891" s="93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19"/>
      <c r="P891" s="22"/>
      <c r="Q891" s="22"/>
      <c r="R891" s="22"/>
    </row>
    <row r="892" hidden="1">
      <c r="A892" s="93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19"/>
      <c r="P892" s="22"/>
      <c r="Q892" s="22"/>
      <c r="R892" s="22"/>
    </row>
    <row r="893" hidden="1">
      <c r="A893" s="93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19"/>
      <c r="P893" s="22"/>
      <c r="Q893" s="22"/>
      <c r="R893" s="22"/>
    </row>
    <row r="894" hidden="1">
      <c r="A894" s="93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19"/>
      <c r="P894" s="22"/>
      <c r="Q894" s="22"/>
      <c r="R894" s="22"/>
    </row>
    <row r="895" hidden="1">
      <c r="A895" s="93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19"/>
      <c r="P895" s="22"/>
      <c r="Q895" s="22"/>
      <c r="R895" s="22"/>
    </row>
    <row r="896" hidden="1">
      <c r="A896" s="93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19"/>
      <c r="P896" s="22"/>
      <c r="Q896" s="22"/>
      <c r="R896" s="22"/>
    </row>
    <row r="897" hidden="1">
      <c r="A897" s="93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19"/>
      <c r="P897" s="22"/>
      <c r="Q897" s="22"/>
      <c r="R897" s="22"/>
    </row>
    <row r="898" hidden="1">
      <c r="A898" s="93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19"/>
      <c r="P898" s="22"/>
      <c r="Q898" s="22"/>
      <c r="R898" s="22"/>
    </row>
    <row r="899" hidden="1">
      <c r="A899" s="93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19"/>
      <c r="P899" s="22"/>
      <c r="Q899" s="22"/>
      <c r="R899" s="22"/>
    </row>
    <row r="900" hidden="1">
      <c r="A900" s="93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19"/>
      <c r="P900" s="22"/>
      <c r="Q900" s="22"/>
      <c r="R900" s="22"/>
    </row>
    <row r="901" hidden="1">
      <c r="A901" s="93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19"/>
      <c r="P901" s="22"/>
      <c r="Q901" s="22"/>
      <c r="R901" s="22"/>
    </row>
    <row r="902" hidden="1">
      <c r="A902" s="93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19"/>
      <c r="P902" s="22"/>
      <c r="Q902" s="22"/>
      <c r="R902" s="22"/>
    </row>
    <row r="903" hidden="1">
      <c r="A903" s="93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19"/>
      <c r="P903" s="22"/>
      <c r="Q903" s="22"/>
      <c r="R903" s="22"/>
    </row>
    <row r="904" hidden="1">
      <c r="A904" s="93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19"/>
      <c r="P904" s="22"/>
      <c r="Q904" s="22"/>
      <c r="R904" s="22"/>
    </row>
    <row r="905" hidden="1">
      <c r="A905" s="93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19"/>
      <c r="P905" s="22"/>
      <c r="Q905" s="22"/>
      <c r="R905" s="22"/>
    </row>
    <row r="906" hidden="1">
      <c r="A906" s="93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19"/>
      <c r="P906" s="22"/>
      <c r="Q906" s="22"/>
      <c r="R906" s="22"/>
    </row>
    <row r="907" hidden="1">
      <c r="A907" s="93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19"/>
      <c r="P907" s="22"/>
      <c r="Q907" s="22"/>
      <c r="R907" s="22"/>
    </row>
    <row r="908" hidden="1">
      <c r="A908" s="93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19"/>
      <c r="P908" s="22"/>
      <c r="Q908" s="22"/>
      <c r="R908" s="22"/>
    </row>
    <row r="909" hidden="1">
      <c r="A909" s="93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19"/>
      <c r="P909" s="22"/>
      <c r="Q909" s="22"/>
      <c r="R909" s="22"/>
    </row>
    <row r="910" hidden="1">
      <c r="A910" s="93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19"/>
      <c r="P910" s="22"/>
      <c r="Q910" s="22"/>
      <c r="R910" s="22"/>
    </row>
    <row r="911" hidden="1">
      <c r="A911" s="93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19"/>
      <c r="P911" s="22"/>
      <c r="Q911" s="22"/>
      <c r="R911" s="22"/>
    </row>
    <row r="912" hidden="1">
      <c r="A912" s="93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19"/>
      <c r="P912" s="22"/>
      <c r="Q912" s="22"/>
      <c r="R912" s="22"/>
    </row>
    <row r="913" hidden="1">
      <c r="A913" s="93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19"/>
      <c r="P913" s="22"/>
      <c r="Q913" s="22"/>
      <c r="R913" s="22"/>
    </row>
    <row r="914" hidden="1">
      <c r="A914" s="93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19"/>
      <c r="P914" s="22"/>
      <c r="Q914" s="22"/>
      <c r="R914" s="22"/>
    </row>
    <row r="915" hidden="1">
      <c r="A915" s="93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19"/>
      <c r="P915" s="22"/>
      <c r="Q915" s="22"/>
      <c r="R915" s="22"/>
    </row>
    <row r="916" hidden="1">
      <c r="A916" s="93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19"/>
      <c r="P916" s="22"/>
      <c r="Q916" s="22"/>
      <c r="R916" s="22"/>
    </row>
    <row r="917" hidden="1">
      <c r="A917" s="93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19"/>
      <c r="P917" s="22"/>
      <c r="Q917" s="22"/>
      <c r="R917" s="22"/>
    </row>
    <row r="918" hidden="1">
      <c r="A918" s="93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19"/>
      <c r="P918" s="22"/>
      <c r="Q918" s="22"/>
      <c r="R918" s="22"/>
    </row>
    <row r="919" hidden="1">
      <c r="A919" s="93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19"/>
      <c r="P919" s="22"/>
      <c r="Q919" s="22"/>
      <c r="R919" s="22"/>
    </row>
    <row r="920" hidden="1">
      <c r="A920" s="93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19"/>
      <c r="P920" s="22"/>
      <c r="Q920" s="22"/>
      <c r="R920" s="22"/>
    </row>
    <row r="921" hidden="1">
      <c r="A921" s="93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19"/>
      <c r="P921" s="22"/>
      <c r="Q921" s="22"/>
      <c r="R921" s="22"/>
    </row>
    <row r="922" hidden="1">
      <c r="A922" s="93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19"/>
      <c r="P922" s="22"/>
      <c r="Q922" s="22"/>
      <c r="R922" s="22"/>
    </row>
    <row r="923" hidden="1">
      <c r="A923" s="93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19"/>
      <c r="P923" s="22"/>
      <c r="Q923" s="22"/>
      <c r="R923" s="22"/>
    </row>
    <row r="924" hidden="1">
      <c r="A924" s="93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19"/>
      <c r="P924" s="22"/>
      <c r="Q924" s="22"/>
      <c r="R924" s="22"/>
    </row>
    <row r="925" hidden="1">
      <c r="A925" s="93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19"/>
      <c r="P925" s="22"/>
      <c r="Q925" s="22"/>
      <c r="R925" s="22"/>
    </row>
    <row r="926" hidden="1">
      <c r="A926" s="93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19"/>
      <c r="P926" s="22"/>
      <c r="Q926" s="22"/>
      <c r="R926" s="22"/>
    </row>
    <row r="927" hidden="1">
      <c r="A927" s="93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19"/>
      <c r="P927" s="22"/>
      <c r="Q927" s="22"/>
      <c r="R927" s="22"/>
    </row>
    <row r="928" hidden="1">
      <c r="A928" s="93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19"/>
      <c r="P928" s="22"/>
      <c r="Q928" s="22"/>
      <c r="R928" s="22"/>
    </row>
    <row r="929" hidden="1">
      <c r="A929" s="93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19"/>
      <c r="P929" s="22"/>
      <c r="Q929" s="22"/>
      <c r="R929" s="22"/>
    </row>
    <row r="930" hidden="1">
      <c r="A930" s="93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19"/>
      <c r="P930" s="22"/>
      <c r="Q930" s="22"/>
      <c r="R930" s="22"/>
    </row>
    <row r="931" hidden="1">
      <c r="A931" s="93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19"/>
      <c r="P931" s="22"/>
      <c r="Q931" s="22"/>
      <c r="R931" s="22"/>
    </row>
    <row r="932" hidden="1">
      <c r="A932" s="93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19"/>
      <c r="P932" s="22"/>
      <c r="Q932" s="22"/>
      <c r="R932" s="22"/>
    </row>
    <row r="933" hidden="1">
      <c r="A933" s="93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19"/>
      <c r="P933" s="22"/>
      <c r="Q933" s="22"/>
      <c r="R933" s="22"/>
    </row>
    <row r="934" hidden="1">
      <c r="A934" s="93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19"/>
      <c r="P934" s="22"/>
      <c r="Q934" s="22"/>
      <c r="R934" s="22"/>
    </row>
    <row r="935" hidden="1">
      <c r="A935" s="93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19"/>
      <c r="P935" s="22"/>
      <c r="Q935" s="22"/>
      <c r="R935" s="22"/>
    </row>
    <row r="936" hidden="1">
      <c r="A936" s="93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19"/>
      <c r="P936" s="22"/>
      <c r="Q936" s="22"/>
      <c r="R936" s="22"/>
    </row>
    <row r="937" hidden="1">
      <c r="A937" s="93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19"/>
      <c r="P937" s="22"/>
      <c r="Q937" s="22"/>
      <c r="R937" s="22"/>
    </row>
    <row r="938" hidden="1">
      <c r="A938" s="93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19"/>
      <c r="P938" s="22"/>
      <c r="Q938" s="22"/>
      <c r="R938" s="22"/>
    </row>
    <row r="939" hidden="1">
      <c r="A939" s="93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19"/>
      <c r="P939" s="22"/>
      <c r="Q939" s="22"/>
      <c r="R939" s="22"/>
    </row>
    <row r="940" hidden="1">
      <c r="A940" s="93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19"/>
      <c r="P940" s="22"/>
      <c r="Q940" s="22"/>
      <c r="R940" s="22"/>
    </row>
    <row r="941" hidden="1">
      <c r="A941" s="93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19"/>
      <c r="P941" s="22"/>
      <c r="Q941" s="22"/>
      <c r="R941" s="22"/>
    </row>
    <row r="942" hidden="1">
      <c r="A942" s="93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19"/>
      <c r="P942" s="22"/>
      <c r="Q942" s="22"/>
      <c r="R942" s="22"/>
    </row>
    <row r="943" hidden="1">
      <c r="A943" s="93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19"/>
      <c r="P943" s="22"/>
      <c r="Q943" s="22"/>
      <c r="R943" s="22"/>
    </row>
    <row r="944" hidden="1">
      <c r="A944" s="93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19"/>
      <c r="P944" s="22"/>
      <c r="Q944" s="22"/>
      <c r="R944" s="22"/>
    </row>
    <row r="945" hidden="1">
      <c r="A945" s="93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19"/>
      <c r="P945" s="22"/>
      <c r="Q945" s="22"/>
      <c r="R945" s="22"/>
    </row>
    <row r="946" hidden="1">
      <c r="A946" s="93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19"/>
      <c r="P946" s="22"/>
      <c r="Q946" s="22"/>
      <c r="R946" s="22"/>
    </row>
    <row r="947" hidden="1">
      <c r="A947" s="93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19"/>
      <c r="P947" s="22"/>
      <c r="Q947" s="22"/>
      <c r="R947" s="22"/>
    </row>
    <row r="948" hidden="1">
      <c r="A948" s="93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19"/>
      <c r="P948" s="22"/>
      <c r="Q948" s="22"/>
      <c r="R948" s="22"/>
    </row>
    <row r="949" hidden="1">
      <c r="A949" s="93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19"/>
      <c r="P949" s="22"/>
      <c r="Q949" s="22"/>
      <c r="R949" s="22"/>
    </row>
    <row r="950" hidden="1">
      <c r="A950" s="93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19"/>
      <c r="P950" s="22"/>
      <c r="Q950" s="22"/>
      <c r="R950" s="22"/>
    </row>
    <row r="951" hidden="1">
      <c r="A951" s="93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19"/>
      <c r="P951" s="22"/>
      <c r="Q951" s="22"/>
      <c r="R951" s="22"/>
    </row>
    <row r="952" hidden="1">
      <c r="A952" s="93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19"/>
      <c r="P952" s="22"/>
      <c r="Q952" s="22"/>
      <c r="R952" s="22"/>
    </row>
    <row r="953" hidden="1">
      <c r="A953" s="93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19"/>
      <c r="P953" s="22"/>
      <c r="Q953" s="22"/>
      <c r="R953" s="22"/>
    </row>
    <row r="954" hidden="1">
      <c r="A954" s="93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19"/>
      <c r="P954" s="22"/>
      <c r="Q954" s="22"/>
      <c r="R954" s="22"/>
    </row>
    <row r="955" hidden="1">
      <c r="A955" s="93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19"/>
      <c r="P955" s="22"/>
      <c r="Q955" s="22"/>
      <c r="R955" s="22"/>
    </row>
    <row r="956" hidden="1">
      <c r="A956" s="93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19"/>
      <c r="P956" s="22"/>
      <c r="Q956" s="22"/>
      <c r="R956" s="22"/>
    </row>
    <row r="957" hidden="1">
      <c r="A957" s="93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19"/>
      <c r="P957" s="22"/>
      <c r="Q957" s="22"/>
      <c r="R957" s="22"/>
    </row>
    <row r="958" hidden="1">
      <c r="A958" s="93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19"/>
      <c r="P958" s="22"/>
      <c r="Q958" s="22"/>
      <c r="R958" s="22"/>
    </row>
    <row r="959" hidden="1">
      <c r="A959" s="93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19"/>
      <c r="P959" s="22"/>
      <c r="Q959" s="22"/>
      <c r="R959" s="22"/>
    </row>
    <row r="960" hidden="1">
      <c r="A960" s="93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19"/>
      <c r="P960" s="22"/>
      <c r="Q960" s="22"/>
      <c r="R960" s="22"/>
    </row>
    <row r="961" hidden="1">
      <c r="A961" s="93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19"/>
      <c r="P961" s="22"/>
      <c r="Q961" s="22"/>
      <c r="R961" s="22"/>
    </row>
    <row r="962" hidden="1">
      <c r="A962" s="93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19"/>
      <c r="P962" s="22"/>
      <c r="Q962" s="22"/>
      <c r="R962" s="22"/>
    </row>
    <row r="963" hidden="1">
      <c r="A963" s="93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19"/>
      <c r="P963" s="22"/>
      <c r="Q963" s="22"/>
      <c r="R963" s="22"/>
    </row>
    <row r="964" hidden="1">
      <c r="A964" s="93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19"/>
      <c r="P964" s="22"/>
      <c r="Q964" s="22"/>
      <c r="R964" s="22"/>
    </row>
    <row r="965" hidden="1">
      <c r="A965" s="93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19"/>
      <c r="P965" s="22"/>
      <c r="Q965" s="22"/>
      <c r="R965" s="22"/>
    </row>
    <row r="966" hidden="1">
      <c r="A966" s="93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19"/>
      <c r="P966" s="22"/>
      <c r="Q966" s="22"/>
      <c r="R966" s="22"/>
    </row>
    <row r="967" hidden="1">
      <c r="A967" s="93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19"/>
      <c r="P967" s="22"/>
      <c r="Q967" s="22"/>
      <c r="R967" s="22"/>
    </row>
    <row r="968" hidden="1">
      <c r="A968" s="93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19"/>
      <c r="P968" s="22"/>
      <c r="Q968" s="22"/>
      <c r="R968" s="22"/>
    </row>
    <row r="969" hidden="1">
      <c r="A969" s="93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19"/>
      <c r="P969" s="22"/>
      <c r="Q969" s="22"/>
      <c r="R969" s="22"/>
    </row>
    <row r="970" hidden="1">
      <c r="A970" s="93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19"/>
      <c r="P970" s="22"/>
      <c r="Q970" s="22"/>
      <c r="R970" s="22"/>
    </row>
    <row r="971" hidden="1">
      <c r="A971" s="93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19"/>
      <c r="P971" s="22"/>
      <c r="Q971" s="22"/>
      <c r="R971" s="22"/>
    </row>
    <row r="972" hidden="1">
      <c r="A972" s="93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19"/>
      <c r="P972" s="22"/>
      <c r="Q972" s="22"/>
      <c r="R972" s="22"/>
    </row>
    <row r="973" hidden="1">
      <c r="A973" s="93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19"/>
      <c r="P973" s="22"/>
      <c r="Q973" s="22"/>
      <c r="R973" s="22"/>
    </row>
    <row r="974" hidden="1">
      <c r="A974" s="93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19"/>
      <c r="P974" s="22"/>
      <c r="Q974" s="22"/>
      <c r="R974" s="22"/>
    </row>
    <row r="975" hidden="1">
      <c r="A975" s="93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19"/>
      <c r="P975" s="22"/>
      <c r="Q975" s="22"/>
      <c r="R975" s="22"/>
    </row>
    <row r="976" hidden="1">
      <c r="A976" s="93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19"/>
      <c r="P976" s="22"/>
      <c r="Q976" s="22"/>
      <c r="R976" s="22"/>
    </row>
    <row r="977" hidden="1">
      <c r="A977" s="93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19"/>
      <c r="P977" s="22"/>
      <c r="Q977" s="22"/>
      <c r="R977" s="22"/>
    </row>
    <row r="978" hidden="1">
      <c r="A978" s="93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19"/>
      <c r="P978" s="22"/>
      <c r="Q978" s="22"/>
      <c r="R978" s="22"/>
    </row>
    <row r="979" hidden="1">
      <c r="A979" s="93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19"/>
      <c r="P979" s="22"/>
      <c r="Q979" s="22"/>
      <c r="R979" s="22"/>
    </row>
    <row r="980" hidden="1">
      <c r="A980" s="93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19"/>
      <c r="P980" s="22"/>
      <c r="Q980" s="22"/>
      <c r="R980" s="22"/>
    </row>
    <row r="981" hidden="1">
      <c r="A981" s="93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19"/>
      <c r="P981" s="22"/>
      <c r="Q981" s="22"/>
      <c r="R981" s="22"/>
    </row>
    <row r="982" hidden="1">
      <c r="A982" s="93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19"/>
      <c r="P982" s="22"/>
      <c r="Q982" s="22"/>
      <c r="R982" s="22"/>
    </row>
    <row r="983" hidden="1">
      <c r="A983" s="93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19"/>
      <c r="P983" s="22"/>
      <c r="Q983" s="22"/>
      <c r="R983" s="22"/>
    </row>
    <row r="984" hidden="1">
      <c r="A984" s="93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19"/>
      <c r="P984" s="22"/>
      <c r="Q984" s="22"/>
      <c r="R984" s="22"/>
    </row>
    <row r="985" hidden="1">
      <c r="A985" s="93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19"/>
      <c r="P985" s="22"/>
      <c r="Q985" s="22"/>
      <c r="R985" s="22"/>
    </row>
    <row r="986" hidden="1">
      <c r="A986" s="93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19"/>
      <c r="P986" s="22"/>
      <c r="Q986" s="22"/>
      <c r="R986" s="22"/>
    </row>
    <row r="987" hidden="1">
      <c r="A987" s="93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19"/>
      <c r="P987" s="22"/>
      <c r="Q987" s="22"/>
      <c r="R987" s="22"/>
    </row>
    <row r="988" hidden="1">
      <c r="A988" s="93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19"/>
      <c r="P988" s="22"/>
      <c r="Q988" s="22"/>
      <c r="R988" s="22"/>
    </row>
    <row r="989" hidden="1">
      <c r="A989" s="93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19"/>
      <c r="P989" s="22"/>
      <c r="Q989" s="22"/>
      <c r="R989" s="22"/>
    </row>
    <row r="990" hidden="1">
      <c r="A990" s="93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19"/>
      <c r="P990" s="22"/>
      <c r="Q990" s="22"/>
      <c r="R990" s="22"/>
    </row>
    <row r="991" hidden="1">
      <c r="A991" s="93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19"/>
      <c r="P991" s="22"/>
      <c r="Q991" s="22"/>
      <c r="R991" s="22"/>
    </row>
    <row r="992" hidden="1">
      <c r="A992" s="93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19"/>
      <c r="P992" s="22"/>
      <c r="Q992" s="22"/>
      <c r="R992" s="22"/>
    </row>
    <row r="993" hidden="1">
      <c r="A993" s="93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19"/>
      <c r="P993" s="22"/>
      <c r="Q993" s="22"/>
      <c r="R993" s="22"/>
    </row>
    <row r="994" hidden="1">
      <c r="A994" s="93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19"/>
      <c r="P994" s="22"/>
      <c r="Q994" s="22"/>
      <c r="R994" s="22"/>
    </row>
    <row r="995" hidden="1">
      <c r="A995" s="93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19"/>
      <c r="P995" s="22"/>
      <c r="Q995" s="22"/>
      <c r="R995" s="22"/>
    </row>
    <row r="996" hidden="1">
      <c r="A996" s="93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19"/>
      <c r="P996" s="22"/>
      <c r="Q996" s="22"/>
      <c r="R996" s="22"/>
    </row>
    <row r="997" hidden="1">
      <c r="A997" s="93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19"/>
      <c r="P997" s="22"/>
      <c r="Q997" s="22"/>
      <c r="R997" s="22"/>
    </row>
    <row r="998" hidden="1">
      <c r="A998" s="93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19"/>
      <c r="P998" s="22"/>
      <c r="Q998" s="22"/>
      <c r="R998" s="22"/>
    </row>
    <row r="999" hidden="1">
      <c r="A999" s="93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19"/>
      <c r="P999" s="22"/>
      <c r="Q999" s="22"/>
      <c r="R999" s="22"/>
    </row>
    <row r="1000" hidden="1">
      <c r="A1000" s="93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19"/>
      <c r="P1000" s="22"/>
      <c r="Q1000" s="22"/>
      <c r="R1000" s="22"/>
    </row>
    <row r="1001" hidden="1">
      <c r="A1001" s="93"/>
      <c r="B1001" s="66"/>
      <c r="C1001" s="66"/>
      <c r="D1001" s="66"/>
      <c r="E1001" s="66"/>
      <c r="F1001" s="66"/>
      <c r="G1001" s="66"/>
      <c r="H1001" s="66"/>
      <c r="I1001" s="66"/>
      <c r="J1001" s="66"/>
      <c r="K1001" s="66"/>
      <c r="L1001" s="66"/>
      <c r="M1001" s="66"/>
      <c r="N1001" s="66"/>
      <c r="O1001" s="19"/>
      <c r="P1001" s="22"/>
      <c r="Q1001" s="22"/>
      <c r="R1001" s="22"/>
    </row>
    <row r="1002" hidden="1">
      <c r="A1002" s="93"/>
      <c r="B1002" s="66"/>
      <c r="C1002" s="66"/>
      <c r="D1002" s="66"/>
      <c r="E1002" s="66"/>
      <c r="F1002" s="66"/>
      <c r="G1002" s="66"/>
      <c r="H1002" s="66"/>
      <c r="I1002" s="66"/>
      <c r="J1002" s="66"/>
      <c r="K1002" s="66"/>
      <c r="L1002" s="66"/>
      <c r="M1002" s="66"/>
      <c r="N1002" s="66"/>
      <c r="O1002" s="19"/>
      <c r="P1002" s="22"/>
      <c r="Q1002" s="22"/>
      <c r="R1002" s="22"/>
    </row>
    <row r="1003" hidden="1">
      <c r="A1003" s="93"/>
      <c r="B1003" s="66"/>
      <c r="C1003" s="66"/>
      <c r="D1003" s="66"/>
      <c r="E1003" s="66"/>
      <c r="F1003" s="66"/>
      <c r="G1003" s="66"/>
      <c r="H1003" s="66"/>
      <c r="I1003" s="66"/>
      <c r="J1003" s="66"/>
      <c r="K1003" s="66"/>
      <c r="L1003" s="66"/>
      <c r="M1003" s="66"/>
      <c r="N1003" s="66"/>
      <c r="O1003" s="19"/>
      <c r="P1003" s="22"/>
      <c r="Q1003" s="22"/>
      <c r="R1003" s="22"/>
    </row>
    <row r="1004" hidden="1">
      <c r="A1004" s="93"/>
      <c r="B1004" s="66"/>
      <c r="C1004" s="66"/>
      <c r="D1004" s="66"/>
      <c r="E1004" s="66"/>
      <c r="F1004" s="66"/>
      <c r="G1004" s="66"/>
      <c r="H1004" s="66"/>
      <c r="I1004" s="66"/>
      <c r="J1004" s="66"/>
      <c r="K1004" s="66"/>
      <c r="L1004" s="66"/>
      <c r="M1004" s="66"/>
      <c r="N1004" s="66"/>
      <c r="O1004" s="19"/>
      <c r="P1004" s="22"/>
      <c r="Q1004" s="22"/>
      <c r="R1004" s="22"/>
    </row>
    <row r="1005" hidden="1">
      <c r="A1005" s="93"/>
      <c r="B1005" s="66"/>
      <c r="C1005" s="66"/>
      <c r="D1005" s="66"/>
      <c r="E1005" s="66"/>
      <c r="F1005" s="66"/>
      <c r="G1005" s="66"/>
      <c r="H1005" s="66"/>
      <c r="I1005" s="66"/>
      <c r="J1005" s="66"/>
      <c r="K1005" s="66"/>
      <c r="L1005" s="66"/>
      <c r="M1005" s="66"/>
      <c r="N1005" s="66"/>
      <c r="O1005" s="19"/>
      <c r="P1005" s="22"/>
      <c r="Q1005" s="22"/>
      <c r="R1005" s="22"/>
    </row>
    <row r="1006" hidden="1">
      <c r="A1006" s="93"/>
      <c r="B1006" s="66"/>
      <c r="C1006" s="66"/>
      <c r="D1006" s="66"/>
      <c r="E1006" s="66"/>
      <c r="F1006" s="66"/>
      <c r="G1006" s="66"/>
      <c r="H1006" s="66"/>
      <c r="I1006" s="66"/>
      <c r="J1006" s="66"/>
      <c r="K1006" s="66"/>
      <c r="L1006" s="66"/>
      <c r="M1006" s="66"/>
      <c r="N1006" s="66"/>
      <c r="O1006" s="19"/>
      <c r="P1006" s="22"/>
      <c r="Q1006" s="22"/>
      <c r="R1006" s="22"/>
    </row>
    <row r="1007" hidden="1">
      <c r="A1007" s="93"/>
      <c r="B1007" s="66"/>
      <c r="C1007" s="66"/>
      <c r="D1007" s="66"/>
      <c r="E1007" s="66"/>
      <c r="F1007" s="66"/>
      <c r="G1007" s="66"/>
      <c r="H1007" s="66"/>
      <c r="I1007" s="66"/>
      <c r="J1007" s="66"/>
      <c r="K1007" s="66"/>
      <c r="L1007" s="66"/>
      <c r="M1007" s="66"/>
      <c r="N1007" s="66"/>
      <c r="O1007" s="19"/>
      <c r="P1007" s="22"/>
      <c r="Q1007" s="22"/>
      <c r="R1007" s="22"/>
    </row>
    <row r="1008" hidden="1">
      <c r="A1008" s="93"/>
      <c r="B1008" s="66"/>
      <c r="C1008" s="66"/>
      <c r="D1008" s="66"/>
      <c r="E1008" s="66"/>
      <c r="F1008" s="66"/>
      <c r="G1008" s="66"/>
      <c r="H1008" s="66"/>
      <c r="I1008" s="66"/>
      <c r="J1008" s="66"/>
      <c r="K1008" s="66"/>
      <c r="L1008" s="66"/>
      <c r="M1008" s="66"/>
      <c r="N1008" s="66"/>
      <c r="O1008" s="19"/>
      <c r="P1008" s="22"/>
      <c r="Q1008" s="22"/>
      <c r="R1008" s="22"/>
    </row>
    <row r="1009" hidden="1">
      <c r="A1009" s="93"/>
      <c r="B1009" s="66"/>
      <c r="C1009" s="66"/>
      <c r="D1009" s="66"/>
      <c r="E1009" s="66"/>
      <c r="F1009" s="66"/>
      <c r="G1009" s="66"/>
      <c r="H1009" s="66"/>
      <c r="I1009" s="66"/>
      <c r="J1009" s="66"/>
      <c r="K1009" s="66"/>
      <c r="L1009" s="66"/>
      <c r="M1009" s="66"/>
      <c r="N1009" s="66"/>
      <c r="O1009" s="19"/>
      <c r="P1009" s="22"/>
      <c r="Q1009" s="22"/>
      <c r="R1009" s="22"/>
    </row>
    <row r="1010" hidden="1">
      <c r="A1010" s="93"/>
      <c r="B1010" s="66"/>
      <c r="C1010" s="66"/>
      <c r="D1010" s="66"/>
      <c r="E1010" s="66"/>
      <c r="F1010" s="66"/>
      <c r="G1010" s="66"/>
      <c r="H1010" s="66"/>
      <c r="I1010" s="66"/>
      <c r="J1010" s="66"/>
      <c r="K1010" s="66"/>
      <c r="L1010" s="66"/>
      <c r="M1010" s="66"/>
      <c r="N1010" s="66"/>
      <c r="O1010" s="19"/>
      <c r="P1010" s="22"/>
      <c r="Q1010" s="22"/>
      <c r="R1010" s="22"/>
    </row>
    <row r="1011" hidden="1">
      <c r="A1011" s="93"/>
      <c r="B1011" s="66"/>
      <c r="C1011" s="66"/>
      <c r="D1011" s="66"/>
      <c r="E1011" s="66"/>
      <c r="F1011" s="66"/>
      <c r="G1011" s="66"/>
      <c r="H1011" s="66"/>
      <c r="I1011" s="66"/>
      <c r="J1011" s="66"/>
      <c r="K1011" s="66"/>
      <c r="L1011" s="66"/>
      <c r="M1011" s="66"/>
      <c r="N1011" s="66"/>
      <c r="O1011" s="19"/>
      <c r="P1011" s="22"/>
      <c r="Q1011" s="22"/>
      <c r="R1011" s="22"/>
    </row>
    <row r="1012" hidden="1">
      <c r="A1012" s="93"/>
      <c r="B1012" s="66"/>
      <c r="C1012" s="66"/>
      <c r="D1012" s="66"/>
      <c r="E1012" s="66"/>
      <c r="F1012" s="66"/>
      <c r="G1012" s="66"/>
      <c r="H1012" s="66"/>
      <c r="I1012" s="66"/>
      <c r="J1012" s="66"/>
      <c r="K1012" s="66"/>
      <c r="L1012" s="66"/>
      <c r="M1012" s="66"/>
      <c r="N1012" s="66"/>
      <c r="O1012" s="19"/>
      <c r="P1012" s="22"/>
      <c r="Q1012" s="22"/>
      <c r="R1012" s="22"/>
    </row>
    <row r="1013" hidden="1">
      <c r="A1013" s="93"/>
      <c r="B1013" s="66"/>
      <c r="C1013" s="66"/>
      <c r="D1013" s="66"/>
      <c r="E1013" s="66"/>
      <c r="F1013" s="66"/>
      <c r="G1013" s="66"/>
      <c r="H1013" s="66"/>
      <c r="I1013" s="66"/>
      <c r="J1013" s="66"/>
      <c r="K1013" s="66"/>
      <c r="L1013" s="66"/>
      <c r="M1013" s="66"/>
      <c r="N1013" s="66"/>
      <c r="O1013" s="19"/>
      <c r="P1013" s="22"/>
      <c r="Q1013" s="22"/>
      <c r="R1013" s="22"/>
    </row>
    <row r="1014" hidden="1">
      <c r="A1014" s="93"/>
      <c r="B1014" s="66"/>
      <c r="C1014" s="66"/>
      <c r="D1014" s="66"/>
      <c r="E1014" s="66"/>
      <c r="F1014" s="66"/>
      <c r="G1014" s="66"/>
      <c r="H1014" s="66"/>
      <c r="I1014" s="66"/>
      <c r="J1014" s="66"/>
      <c r="K1014" s="66"/>
      <c r="L1014" s="66"/>
      <c r="M1014" s="66"/>
      <c r="N1014" s="66"/>
      <c r="O1014" s="19"/>
      <c r="P1014" s="22"/>
      <c r="Q1014" s="22"/>
      <c r="R1014" s="22"/>
    </row>
    <row r="1015" hidden="1">
      <c r="A1015" s="93"/>
      <c r="B1015" s="66"/>
      <c r="C1015" s="66"/>
      <c r="D1015" s="66"/>
      <c r="E1015" s="66"/>
      <c r="F1015" s="66"/>
      <c r="G1015" s="66"/>
      <c r="H1015" s="66"/>
      <c r="I1015" s="66"/>
      <c r="J1015" s="66"/>
      <c r="K1015" s="66"/>
      <c r="L1015" s="66"/>
      <c r="M1015" s="66"/>
      <c r="N1015" s="66"/>
      <c r="O1015" s="19"/>
      <c r="P1015" s="22"/>
      <c r="Q1015" s="22"/>
      <c r="R1015" s="22"/>
    </row>
    <row r="1016" hidden="1">
      <c r="A1016" s="93"/>
      <c r="B1016" s="66"/>
      <c r="C1016" s="66"/>
      <c r="D1016" s="66"/>
      <c r="E1016" s="66"/>
      <c r="F1016" s="66"/>
      <c r="G1016" s="66"/>
      <c r="H1016" s="66"/>
      <c r="I1016" s="66"/>
      <c r="J1016" s="66"/>
      <c r="K1016" s="66"/>
      <c r="L1016" s="66"/>
      <c r="M1016" s="66"/>
      <c r="N1016" s="66"/>
      <c r="O1016" s="19"/>
      <c r="P1016" s="22"/>
      <c r="Q1016" s="22"/>
      <c r="R1016" s="22"/>
    </row>
    <row r="1017" hidden="1">
      <c r="A1017" s="93"/>
      <c r="B1017" s="66"/>
      <c r="C1017" s="66"/>
      <c r="D1017" s="66"/>
      <c r="E1017" s="66"/>
      <c r="F1017" s="66"/>
      <c r="G1017" s="66"/>
      <c r="H1017" s="66"/>
      <c r="I1017" s="66"/>
      <c r="J1017" s="66"/>
      <c r="K1017" s="66"/>
      <c r="L1017" s="66"/>
      <c r="M1017" s="66"/>
      <c r="N1017" s="66"/>
      <c r="O1017" s="19"/>
      <c r="P1017" s="22"/>
      <c r="Q1017" s="22"/>
      <c r="R1017" s="22"/>
    </row>
    <row r="1018" hidden="1">
      <c r="A1018" s="93"/>
      <c r="B1018" s="66"/>
      <c r="C1018" s="66"/>
      <c r="D1018" s="66"/>
      <c r="E1018" s="66"/>
      <c r="F1018" s="66"/>
      <c r="G1018" s="66"/>
      <c r="H1018" s="66"/>
      <c r="I1018" s="66"/>
      <c r="J1018" s="66"/>
      <c r="K1018" s="66"/>
      <c r="L1018" s="66"/>
      <c r="M1018" s="66"/>
      <c r="N1018" s="66"/>
      <c r="O1018" s="19"/>
      <c r="P1018" s="22"/>
      <c r="Q1018" s="22"/>
      <c r="R1018" s="22"/>
    </row>
    <row r="1019" hidden="1">
      <c r="A1019" s="93"/>
      <c r="B1019" s="66"/>
      <c r="C1019" s="66"/>
      <c r="D1019" s="66"/>
      <c r="E1019" s="66"/>
      <c r="F1019" s="66"/>
      <c r="G1019" s="66"/>
      <c r="H1019" s="66"/>
      <c r="I1019" s="66"/>
      <c r="J1019" s="66"/>
      <c r="K1019" s="66"/>
      <c r="L1019" s="66"/>
      <c r="M1019" s="66"/>
      <c r="N1019" s="66"/>
      <c r="O1019" s="19"/>
      <c r="P1019" s="22"/>
      <c r="Q1019" s="22"/>
      <c r="R1019" s="22"/>
    </row>
    <row r="1020" hidden="1">
      <c r="A1020" s="93"/>
      <c r="B1020" s="66"/>
      <c r="C1020" s="66"/>
      <c r="D1020" s="66"/>
      <c r="E1020" s="66"/>
      <c r="F1020" s="66"/>
      <c r="G1020" s="66"/>
      <c r="H1020" s="66"/>
      <c r="I1020" s="66"/>
      <c r="J1020" s="66"/>
      <c r="K1020" s="66"/>
      <c r="L1020" s="66"/>
      <c r="M1020" s="66"/>
      <c r="N1020" s="66"/>
      <c r="O1020" s="19"/>
      <c r="P1020" s="22"/>
      <c r="Q1020" s="22"/>
      <c r="R1020" s="22"/>
    </row>
    <row r="1021" hidden="1">
      <c r="A1021" s="93"/>
      <c r="B1021" s="66"/>
      <c r="C1021" s="66"/>
      <c r="D1021" s="66"/>
      <c r="E1021" s="66"/>
      <c r="F1021" s="66"/>
      <c r="G1021" s="66"/>
      <c r="H1021" s="66"/>
      <c r="I1021" s="66"/>
      <c r="J1021" s="66"/>
      <c r="K1021" s="66"/>
      <c r="L1021" s="66"/>
      <c r="M1021" s="66"/>
      <c r="N1021" s="66"/>
      <c r="O1021" s="19"/>
      <c r="P1021" s="22"/>
      <c r="Q1021" s="22"/>
      <c r="R1021" s="22"/>
    </row>
    <row r="1022" hidden="1">
      <c r="A1022" s="93"/>
      <c r="B1022" s="66"/>
      <c r="C1022" s="66"/>
      <c r="D1022" s="66"/>
      <c r="E1022" s="66"/>
      <c r="F1022" s="66"/>
      <c r="G1022" s="66"/>
      <c r="H1022" s="66"/>
      <c r="I1022" s="66"/>
      <c r="J1022" s="66"/>
      <c r="K1022" s="66"/>
      <c r="L1022" s="66"/>
      <c r="M1022" s="66"/>
      <c r="N1022" s="66"/>
      <c r="O1022" s="19"/>
      <c r="P1022" s="22"/>
      <c r="Q1022" s="22"/>
      <c r="R1022" s="22"/>
    </row>
    <row r="1023" hidden="1">
      <c r="A1023" s="93"/>
      <c r="B1023" s="66"/>
      <c r="C1023" s="66"/>
      <c r="D1023" s="66"/>
      <c r="E1023" s="66"/>
      <c r="F1023" s="66"/>
      <c r="G1023" s="66"/>
      <c r="H1023" s="66"/>
      <c r="I1023" s="66"/>
      <c r="J1023" s="66"/>
      <c r="K1023" s="66"/>
      <c r="L1023" s="66"/>
      <c r="M1023" s="66"/>
      <c r="N1023" s="66"/>
      <c r="O1023" s="19"/>
      <c r="P1023" s="22"/>
      <c r="Q1023" s="22"/>
      <c r="R1023" s="22"/>
    </row>
    <row r="1024" hidden="1">
      <c r="A1024" s="93"/>
      <c r="B1024" s="66"/>
      <c r="C1024" s="66"/>
      <c r="D1024" s="66"/>
      <c r="E1024" s="66"/>
      <c r="F1024" s="66"/>
      <c r="G1024" s="66"/>
      <c r="H1024" s="66"/>
      <c r="I1024" s="66"/>
      <c r="J1024" s="66"/>
      <c r="K1024" s="66"/>
      <c r="L1024" s="66"/>
      <c r="M1024" s="66"/>
      <c r="N1024" s="66"/>
      <c r="O1024" s="19"/>
      <c r="P1024" s="22"/>
      <c r="Q1024" s="22"/>
      <c r="R1024" s="22"/>
    </row>
    <row r="1025" hidden="1">
      <c r="A1025" s="93"/>
      <c r="B1025" s="66"/>
      <c r="C1025" s="66"/>
      <c r="D1025" s="66"/>
      <c r="E1025" s="66"/>
      <c r="F1025" s="66"/>
      <c r="G1025" s="66"/>
      <c r="H1025" s="66"/>
      <c r="I1025" s="66"/>
      <c r="J1025" s="66"/>
      <c r="K1025" s="66"/>
      <c r="L1025" s="66"/>
      <c r="M1025" s="66"/>
      <c r="N1025" s="66"/>
      <c r="O1025" s="19"/>
      <c r="P1025" s="22"/>
      <c r="Q1025" s="22"/>
      <c r="R1025" s="22"/>
    </row>
    <row r="1026" hidden="1">
      <c r="A1026" s="93"/>
      <c r="B1026" s="66"/>
      <c r="C1026" s="66"/>
      <c r="D1026" s="66"/>
      <c r="E1026" s="66"/>
      <c r="F1026" s="66"/>
      <c r="G1026" s="66"/>
      <c r="H1026" s="66"/>
      <c r="I1026" s="66"/>
      <c r="J1026" s="66"/>
      <c r="K1026" s="66"/>
      <c r="L1026" s="66"/>
      <c r="M1026" s="66"/>
      <c r="N1026" s="66"/>
      <c r="O1026" s="19"/>
      <c r="P1026" s="22"/>
      <c r="Q1026" s="22"/>
      <c r="R1026" s="22"/>
    </row>
    <row r="1027" hidden="1">
      <c r="A1027" s="93"/>
      <c r="B1027" s="66"/>
      <c r="C1027" s="66"/>
      <c r="D1027" s="66"/>
      <c r="E1027" s="66"/>
      <c r="F1027" s="66"/>
      <c r="G1027" s="66"/>
      <c r="H1027" s="66"/>
      <c r="I1027" s="66"/>
      <c r="J1027" s="66"/>
      <c r="K1027" s="66"/>
      <c r="L1027" s="66"/>
      <c r="M1027" s="66"/>
      <c r="N1027" s="66"/>
      <c r="O1027" s="19"/>
      <c r="P1027" s="22"/>
      <c r="Q1027" s="22"/>
      <c r="R1027" s="22"/>
    </row>
    <row r="1028" hidden="1">
      <c r="A1028" s="93"/>
      <c r="B1028" s="66"/>
      <c r="C1028" s="66"/>
      <c r="D1028" s="66"/>
      <c r="E1028" s="66"/>
      <c r="F1028" s="66"/>
      <c r="G1028" s="66"/>
      <c r="H1028" s="66"/>
      <c r="I1028" s="66"/>
      <c r="J1028" s="66"/>
      <c r="K1028" s="66"/>
      <c r="L1028" s="66"/>
      <c r="M1028" s="66"/>
      <c r="N1028" s="66"/>
      <c r="O1028" s="19"/>
      <c r="P1028" s="22"/>
      <c r="Q1028" s="22"/>
      <c r="R1028" s="22"/>
    </row>
    <row r="1029" hidden="1">
      <c r="A1029" s="93"/>
      <c r="B1029" s="66"/>
      <c r="C1029" s="66"/>
      <c r="D1029" s="66"/>
      <c r="E1029" s="66"/>
      <c r="F1029" s="66"/>
      <c r="G1029" s="66"/>
      <c r="H1029" s="66"/>
      <c r="I1029" s="66"/>
      <c r="J1029" s="66"/>
      <c r="K1029" s="66"/>
      <c r="L1029" s="66"/>
      <c r="M1029" s="66"/>
      <c r="N1029" s="66"/>
      <c r="O1029" s="19"/>
      <c r="P1029" s="22"/>
      <c r="Q1029" s="22"/>
      <c r="R1029" s="22"/>
    </row>
    <row r="1030" hidden="1">
      <c r="A1030" s="93"/>
      <c r="B1030" s="66"/>
      <c r="C1030" s="66"/>
      <c r="D1030" s="66"/>
      <c r="E1030" s="66"/>
      <c r="F1030" s="66"/>
      <c r="G1030" s="66"/>
      <c r="H1030" s="66"/>
      <c r="I1030" s="66"/>
      <c r="J1030" s="66"/>
      <c r="K1030" s="66"/>
      <c r="L1030" s="66"/>
      <c r="M1030" s="66"/>
      <c r="N1030" s="66"/>
      <c r="O1030" s="19"/>
      <c r="P1030" s="22"/>
      <c r="Q1030" s="22"/>
      <c r="R1030" s="22"/>
    </row>
    <row r="1031" hidden="1">
      <c r="A1031" s="93"/>
      <c r="B1031" s="66"/>
      <c r="C1031" s="66"/>
      <c r="D1031" s="66"/>
      <c r="E1031" s="66"/>
      <c r="F1031" s="66"/>
      <c r="G1031" s="66"/>
      <c r="H1031" s="66"/>
      <c r="I1031" s="66"/>
      <c r="J1031" s="66"/>
      <c r="K1031" s="66"/>
      <c r="L1031" s="66"/>
      <c r="M1031" s="66"/>
      <c r="N1031" s="66"/>
      <c r="O1031" s="19"/>
      <c r="P1031" s="22"/>
      <c r="Q1031" s="22"/>
      <c r="R1031" s="22"/>
    </row>
    <row r="1032" hidden="1">
      <c r="A1032" s="93"/>
      <c r="B1032" s="66"/>
      <c r="C1032" s="66"/>
      <c r="D1032" s="66"/>
      <c r="E1032" s="66"/>
      <c r="F1032" s="66"/>
      <c r="G1032" s="66"/>
      <c r="H1032" s="66"/>
      <c r="I1032" s="66"/>
      <c r="J1032" s="66"/>
      <c r="K1032" s="66"/>
      <c r="L1032" s="66"/>
      <c r="M1032" s="66"/>
      <c r="N1032" s="66"/>
      <c r="O1032" s="19"/>
      <c r="P1032" s="22"/>
      <c r="Q1032" s="22"/>
      <c r="R1032" s="22"/>
    </row>
    <row r="1033" hidden="1">
      <c r="A1033" s="93"/>
      <c r="B1033" s="66"/>
      <c r="C1033" s="66"/>
      <c r="D1033" s="66"/>
      <c r="E1033" s="66"/>
      <c r="F1033" s="66"/>
      <c r="G1033" s="66"/>
      <c r="H1033" s="66"/>
      <c r="I1033" s="66"/>
      <c r="J1033" s="66"/>
      <c r="K1033" s="66"/>
      <c r="L1033" s="66"/>
      <c r="M1033" s="66"/>
      <c r="N1033" s="66"/>
      <c r="O1033" s="19"/>
      <c r="P1033" s="22"/>
      <c r="Q1033" s="22"/>
      <c r="R1033" s="22"/>
    </row>
    <row r="1034" hidden="1">
      <c r="A1034" s="93"/>
      <c r="B1034" s="66"/>
      <c r="C1034" s="66"/>
      <c r="D1034" s="66"/>
      <c r="E1034" s="66"/>
      <c r="F1034" s="66"/>
      <c r="G1034" s="66"/>
      <c r="H1034" s="66"/>
      <c r="I1034" s="66"/>
      <c r="J1034" s="66"/>
      <c r="K1034" s="66"/>
      <c r="L1034" s="66"/>
      <c r="M1034" s="66"/>
      <c r="N1034" s="66"/>
      <c r="O1034" s="19"/>
      <c r="P1034" s="22"/>
      <c r="Q1034" s="22"/>
      <c r="R1034" s="22"/>
    </row>
    <row r="1035" hidden="1">
      <c r="A1035" s="93"/>
      <c r="B1035" s="66"/>
      <c r="C1035" s="66"/>
      <c r="D1035" s="66"/>
      <c r="E1035" s="66"/>
      <c r="F1035" s="66"/>
      <c r="G1035" s="66"/>
      <c r="H1035" s="66"/>
      <c r="I1035" s="66"/>
      <c r="J1035" s="66"/>
      <c r="K1035" s="66"/>
      <c r="L1035" s="66"/>
      <c r="M1035" s="66"/>
      <c r="N1035" s="66"/>
      <c r="O1035" s="19"/>
      <c r="P1035" s="22"/>
      <c r="Q1035" s="22"/>
      <c r="R1035" s="22"/>
    </row>
    <row r="1036" hidden="1">
      <c r="A1036" s="93"/>
      <c r="B1036" s="66"/>
      <c r="C1036" s="66"/>
      <c r="D1036" s="66"/>
      <c r="E1036" s="66"/>
      <c r="F1036" s="66"/>
      <c r="G1036" s="66"/>
      <c r="H1036" s="66"/>
      <c r="I1036" s="66"/>
      <c r="J1036" s="66"/>
      <c r="K1036" s="66"/>
      <c r="L1036" s="66"/>
      <c r="M1036" s="66"/>
      <c r="N1036" s="66"/>
      <c r="O1036" s="19"/>
      <c r="P1036" s="22"/>
      <c r="Q1036" s="22"/>
      <c r="R1036" s="22"/>
    </row>
    <row r="1037" hidden="1">
      <c r="A1037" s="93"/>
      <c r="B1037" s="66"/>
      <c r="C1037" s="66"/>
      <c r="D1037" s="66"/>
      <c r="E1037" s="66"/>
      <c r="F1037" s="66"/>
      <c r="G1037" s="66"/>
      <c r="H1037" s="66"/>
      <c r="I1037" s="66"/>
      <c r="J1037" s="66"/>
      <c r="K1037" s="66"/>
      <c r="L1037" s="66"/>
      <c r="M1037" s="66"/>
      <c r="N1037" s="66"/>
      <c r="O1037" s="19"/>
      <c r="P1037" s="22"/>
      <c r="Q1037" s="22"/>
      <c r="R1037" s="22"/>
    </row>
    <row r="1038" hidden="1">
      <c r="A1038" s="93"/>
      <c r="B1038" s="66"/>
      <c r="C1038" s="66"/>
      <c r="D1038" s="66"/>
      <c r="E1038" s="66"/>
      <c r="F1038" s="66"/>
      <c r="G1038" s="66"/>
      <c r="H1038" s="66"/>
      <c r="I1038" s="66"/>
      <c r="J1038" s="66"/>
      <c r="K1038" s="66"/>
      <c r="L1038" s="66"/>
      <c r="M1038" s="66"/>
      <c r="N1038" s="66"/>
      <c r="O1038" s="19"/>
      <c r="P1038" s="22"/>
      <c r="Q1038" s="22"/>
      <c r="R1038" s="22"/>
    </row>
    <row r="1039" hidden="1">
      <c r="A1039" s="93"/>
      <c r="B1039" s="66"/>
      <c r="C1039" s="66"/>
      <c r="D1039" s="66"/>
      <c r="E1039" s="66"/>
      <c r="F1039" s="66"/>
      <c r="G1039" s="66"/>
      <c r="H1039" s="66"/>
      <c r="I1039" s="66"/>
      <c r="J1039" s="66"/>
      <c r="K1039" s="66"/>
      <c r="L1039" s="66"/>
      <c r="M1039" s="66"/>
      <c r="N1039" s="66"/>
      <c r="O1039" s="19"/>
      <c r="P1039" s="22"/>
      <c r="Q1039" s="22"/>
      <c r="R1039" s="22"/>
    </row>
    <row r="1040" hidden="1">
      <c r="A1040" s="93"/>
      <c r="B1040" s="66"/>
      <c r="C1040" s="66"/>
      <c r="D1040" s="66"/>
      <c r="E1040" s="66"/>
      <c r="F1040" s="66"/>
      <c r="G1040" s="66"/>
      <c r="H1040" s="66"/>
      <c r="I1040" s="66"/>
      <c r="J1040" s="66"/>
      <c r="K1040" s="66"/>
      <c r="L1040" s="66"/>
      <c r="M1040" s="66"/>
      <c r="N1040" s="66"/>
      <c r="O1040" s="19"/>
      <c r="P1040" s="22"/>
      <c r="Q1040" s="22"/>
      <c r="R1040" s="22"/>
    </row>
    <row r="1041" hidden="1">
      <c r="A1041" s="93"/>
      <c r="B1041" s="66"/>
      <c r="C1041" s="66"/>
      <c r="D1041" s="66"/>
      <c r="E1041" s="66"/>
      <c r="F1041" s="66"/>
      <c r="G1041" s="66"/>
      <c r="H1041" s="66"/>
      <c r="I1041" s="66"/>
      <c r="J1041" s="66"/>
      <c r="K1041" s="66"/>
      <c r="L1041" s="66"/>
      <c r="M1041" s="66"/>
      <c r="N1041" s="66"/>
      <c r="O1041" s="19"/>
      <c r="P1041" s="22"/>
      <c r="Q1041" s="22"/>
      <c r="R1041" s="22"/>
    </row>
    <row r="1042" hidden="1">
      <c r="A1042" s="93"/>
      <c r="B1042" s="66"/>
      <c r="C1042" s="66"/>
      <c r="D1042" s="66"/>
      <c r="E1042" s="66"/>
      <c r="F1042" s="66"/>
      <c r="G1042" s="66"/>
      <c r="H1042" s="66"/>
      <c r="I1042" s="66"/>
      <c r="J1042" s="66"/>
      <c r="K1042" s="66"/>
      <c r="L1042" s="66"/>
      <c r="M1042" s="66"/>
      <c r="N1042" s="66"/>
      <c r="O1042" s="19"/>
      <c r="P1042" s="22"/>
      <c r="Q1042" s="22"/>
      <c r="R1042" s="22"/>
    </row>
    <row r="1043" hidden="1">
      <c r="A1043" s="93"/>
      <c r="B1043" s="66"/>
      <c r="C1043" s="66"/>
      <c r="D1043" s="66"/>
      <c r="E1043" s="66"/>
      <c r="F1043" s="66"/>
      <c r="G1043" s="66"/>
      <c r="H1043" s="66"/>
      <c r="I1043" s="66"/>
      <c r="J1043" s="66"/>
      <c r="K1043" s="66"/>
      <c r="L1043" s="66"/>
      <c r="M1043" s="66"/>
      <c r="N1043" s="66"/>
      <c r="O1043" s="19"/>
      <c r="P1043" s="22"/>
      <c r="Q1043" s="22"/>
      <c r="R1043" s="22"/>
    </row>
    <row r="1044" hidden="1">
      <c r="A1044" s="93"/>
      <c r="B1044" s="66"/>
      <c r="C1044" s="66"/>
      <c r="D1044" s="66"/>
      <c r="E1044" s="66"/>
      <c r="F1044" s="66"/>
      <c r="G1044" s="66"/>
      <c r="H1044" s="66"/>
      <c r="I1044" s="66"/>
      <c r="J1044" s="66"/>
      <c r="K1044" s="66"/>
      <c r="L1044" s="66"/>
      <c r="M1044" s="66"/>
      <c r="N1044" s="66"/>
      <c r="O1044" s="19"/>
      <c r="P1044" s="22"/>
      <c r="Q1044" s="22"/>
      <c r="R1044" s="22"/>
    </row>
    <row r="1045" hidden="1">
      <c r="A1045" s="93"/>
      <c r="B1045" s="66"/>
      <c r="C1045" s="66"/>
      <c r="D1045" s="66"/>
      <c r="E1045" s="66"/>
      <c r="F1045" s="66"/>
      <c r="G1045" s="66"/>
      <c r="H1045" s="66"/>
      <c r="I1045" s="66"/>
      <c r="J1045" s="66"/>
      <c r="K1045" s="66"/>
      <c r="L1045" s="66"/>
      <c r="M1045" s="66"/>
      <c r="N1045" s="66"/>
      <c r="O1045" s="19"/>
      <c r="P1045" s="22"/>
      <c r="Q1045" s="22"/>
      <c r="R1045" s="22"/>
    </row>
    <row r="1046" hidden="1">
      <c r="A1046" s="93"/>
      <c r="B1046" s="66"/>
      <c r="C1046" s="66"/>
      <c r="D1046" s="66"/>
      <c r="E1046" s="66"/>
      <c r="F1046" s="66"/>
      <c r="G1046" s="66"/>
      <c r="H1046" s="66"/>
      <c r="I1046" s="66"/>
      <c r="J1046" s="66"/>
      <c r="K1046" s="66"/>
      <c r="L1046" s="66"/>
      <c r="M1046" s="66"/>
      <c r="N1046" s="66"/>
      <c r="O1046" s="19"/>
      <c r="P1046" s="22"/>
      <c r="Q1046" s="22"/>
      <c r="R1046" s="22"/>
    </row>
    <row r="1047" hidden="1">
      <c r="A1047" s="93"/>
      <c r="B1047" s="66"/>
      <c r="C1047" s="66"/>
      <c r="D1047" s="66"/>
      <c r="E1047" s="66"/>
      <c r="F1047" s="66"/>
      <c r="G1047" s="66"/>
      <c r="H1047" s="66"/>
      <c r="I1047" s="66"/>
      <c r="J1047" s="66"/>
      <c r="K1047" s="66"/>
      <c r="L1047" s="66"/>
      <c r="M1047" s="66"/>
      <c r="N1047" s="66"/>
      <c r="O1047" s="19"/>
      <c r="P1047" s="22"/>
      <c r="Q1047" s="22"/>
      <c r="R1047" s="22"/>
    </row>
    <row r="1048" hidden="1">
      <c r="A1048" s="93"/>
      <c r="B1048" s="66"/>
      <c r="C1048" s="66"/>
      <c r="D1048" s="66"/>
      <c r="E1048" s="66"/>
      <c r="F1048" s="66"/>
      <c r="G1048" s="66"/>
      <c r="H1048" s="66"/>
      <c r="I1048" s="66"/>
      <c r="J1048" s="66"/>
      <c r="K1048" s="66"/>
      <c r="L1048" s="66"/>
      <c r="M1048" s="66"/>
      <c r="N1048" s="66"/>
      <c r="O1048" s="19"/>
      <c r="P1048" s="22"/>
      <c r="Q1048" s="22"/>
      <c r="R1048" s="22"/>
    </row>
    <row r="1049" hidden="1">
      <c r="A1049" s="93"/>
      <c r="B1049" s="66"/>
      <c r="C1049" s="66"/>
      <c r="D1049" s="66"/>
      <c r="E1049" s="66"/>
      <c r="F1049" s="66"/>
      <c r="G1049" s="66"/>
      <c r="H1049" s="66"/>
      <c r="I1049" s="66"/>
      <c r="J1049" s="66"/>
      <c r="K1049" s="66"/>
      <c r="L1049" s="66"/>
      <c r="M1049" s="66"/>
      <c r="N1049" s="66"/>
      <c r="O1049" s="19"/>
      <c r="P1049" s="22"/>
      <c r="Q1049" s="22"/>
      <c r="R1049" s="22"/>
    </row>
    <row r="1050" hidden="1">
      <c r="A1050" s="93"/>
      <c r="B1050" s="66"/>
      <c r="C1050" s="66"/>
      <c r="D1050" s="66"/>
      <c r="E1050" s="66"/>
      <c r="F1050" s="66"/>
      <c r="G1050" s="66"/>
      <c r="H1050" s="66"/>
      <c r="I1050" s="66"/>
      <c r="J1050" s="66"/>
      <c r="K1050" s="66"/>
      <c r="L1050" s="66"/>
      <c r="M1050" s="66"/>
      <c r="N1050" s="66"/>
      <c r="O1050" s="19"/>
      <c r="P1050" s="22"/>
      <c r="Q1050" s="22"/>
      <c r="R1050" s="22"/>
    </row>
    <row r="1051" hidden="1">
      <c r="A1051" s="93"/>
      <c r="B1051" s="66"/>
      <c r="C1051" s="66"/>
      <c r="D1051" s="66"/>
      <c r="E1051" s="66"/>
      <c r="F1051" s="66"/>
      <c r="G1051" s="66"/>
      <c r="H1051" s="66"/>
      <c r="I1051" s="66"/>
      <c r="J1051" s="66"/>
      <c r="K1051" s="66"/>
      <c r="L1051" s="66"/>
      <c r="M1051" s="66"/>
      <c r="N1051" s="66"/>
      <c r="O1051" s="19"/>
      <c r="P1051" s="22"/>
      <c r="Q1051" s="22"/>
      <c r="R1051" s="22"/>
    </row>
    <row r="1052" hidden="1">
      <c r="A1052" s="93"/>
      <c r="B1052" s="66"/>
      <c r="C1052" s="66"/>
      <c r="D1052" s="66"/>
      <c r="E1052" s="66"/>
      <c r="F1052" s="66"/>
      <c r="G1052" s="66"/>
      <c r="H1052" s="66"/>
      <c r="I1052" s="66"/>
      <c r="J1052" s="66"/>
      <c r="K1052" s="66"/>
      <c r="L1052" s="66"/>
      <c r="M1052" s="66"/>
      <c r="N1052" s="66"/>
      <c r="O1052" s="19"/>
      <c r="P1052" s="22"/>
      <c r="Q1052" s="22"/>
      <c r="R1052" s="22"/>
    </row>
    <row r="1053" hidden="1">
      <c r="A1053" s="93"/>
      <c r="B1053" s="66"/>
      <c r="C1053" s="66"/>
      <c r="D1053" s="66"/>
      <c r="E1053" s="66"/>
      <c r="F1053" s="66"/>
      <c r="G1053" s="66"/>
      <c r="H1053" s="66"/>
      <c r="I1053" s="66"/>
      <c r="J1053" s="66"/>
      <c r="K1053" s="66"/>
      <c r="L1053" s="66"/>
      <c r="M1053" s="66"/>
      <c r="N1053" s="66"/>
      <c r="O1053" s="19"/>
      <c r="P1053" s="22"/>
      <c r="Q1053" s="22"/>
      <c r="R1053" s="22"/>
    </row>
    <row r="1054" hidden="1">
      <c r="A1054" s="93"/>
      <c r="B1054" s="66"/>
      <c r="C1054" s="66"/>
      <c r="D1054" s="66"/>
      <c r="E1054" s="66"/>
      <c r="F1054" s="66"/>
      <c r="G1054" s="66"/>
      <c r="H1054" s="66"/>
      <c r="I1054" s="66"/>
      <c r="J1054" s="66"/>
      <c r="K1054" s="66"/>
      <c r="L1054" s="66"/>
      <c r="M1054" s="66"/>
      <c r="N1054" s="66"/>
      <c r="O1054" s="19"/>
      <c r="P1054" s="22"/>
      <c r="Q1054" s="22"/>
      <c r="R1054" s="22"/>
    </row>
    <row r="1055" hidden="1">
      <c r="A1055" s="93"/>
      <c r="B1055" s="66"/>
      <c r="C1055" s="66"/>
      <c r="D1055" s="66"/>
      <c r="E1055" s="66"/>
      <c r="F1055" s="66"/>
      <c r="G1055" s="66"/>
      <c r="H1055" s="66"/>
      <c r="I1055" s="66"/>
      <c r="J1055" s="66"/>
      <c r="K1055" s="66"/>
      <c r="L1055" s="66"/>
      <c r="M1055" s="66"/>
      <c r="N1055" s="66"/>
      <c r="O1055" s="19"/>
      <c r="P1055" s="22"/>
      <c r="Q1055" s="22"/>
      <c r="R1055" s="22"/>
    </row>
    <row r="1056" hidden="1">
      <c r="A1056" s="93"/>
      <c r="B1056" s="66"/>
      <c r="C1056" s="66"/>
      <c r="D1056" s="66"/>
      <c r="E1056" s="66"/>
      <c r="F1056" s="66"/>
      <c r="G1056" s="66"/>
      <c r="H1056" s="66"/>
      <c r="I1056" s="66"/>
      <c r="J1056" s="66"/>
      <c r="K1056" s="66"/>
      <c r="L1056" s="66"/>
      <c r="M1056" s="66"/>
      <c r="N1056" s="66"/>
      <c r="O1056" s="19"/>
      <c r="P1056" s="22"/>
      <c r="Q1056" s="22"/>
      <c r="R1056" s="22"/>
    </row>
    <row r="1057" hidden="1">
      <c r="A1057" s="93"/>
      <c r="B1057" s="66"/>
      <c r="C1057" s="66"/>
      <c r="D1057" s="66"/>
      <c r="E1057" s="66"/>
      <c r="F1057" s="66"/>
      <c r="G1057" s="66"/>
      <c r="H1057" s="66"/>
      <c r="I1057" s="66"/>
      <c r="J1057" s="66"/>
      <c r="K1057" s="66"/>
      <c r="L1057" s="66"/>
      <c r="M1057" s="66"/>
      <c r="N1057" s="66"/>
      <c r="O1057" s="19"/>
      <c r="P1057" s="22"/>
      <c r="Q1057" s="22"/>
      <c r="R1057" s="22"/>
    </row>
    <row r="1058" hidden="1">
      <c r="A1058" s="93"/>
      <c r="B1058" s="66"/>
      <c r="C1058" s="66"/>
      <c r="D1058" s="66"/>
      <c r="E1058" s="66"/>
      <c r="F1058" s="66"/>
      <c r="G1058" s="66"/>
      <c r="H1058" s="66"/>
      <c r="I1058" s="66"/>
      <c r="J1058" s="66"/>
      <c r="K1058" s="66"/>
      <c r="L1058" s="66"/>
      <c r="M1058" s="66"/>
      <c r="N1058" s="66"/>
      <c r="O1058" s="19"/>
      <c r="P1058" s="22"/>
      <c r="Q1058" s="22"/>
      <c r="R1058" s="22"/>
    </row>
    <row r="1059" hidden="1">
      <c r="A1059" s="93"/>
      <c r="B1059" s="66"/>
      <c r="C1059" s="66"/>
      <c r="D1059" s="66"/>
      <c r="E1059" s="66"/>
      <c r="F1059" s="66"/>
      <c r="G1059" s="66"/>
      <c r="H1059" s="66"/>
      <c r="I1059" s="66"/>
      <c r="J1059" s="66"/>
      <c r="K1059" s="66"/>
      <c r="L1059" s="66"/>
      <c r="M1059" s="66"/>
      <c r="N1059" s="66"/>
      <c r="O1059" s="19"/>
      <c r="P1059" s="22"/>
      <c r="Q1059" s="22"/>
      <c r="R1059" s="22"/>
    </row>
    <row r="1060" hidden="1">
      <c r="A1060" s="93"/>
      <c r="B1060" s="66"/>
      <c r="C1060" s="66"/>
      <c r="D1060" s="66"/>
      <c r="E1060" s="66"/>
      <c r="F1060" s="66"/>
      <c r="G1060" s="66"/>
      <c r="H1060" s="66"/>
      <c r="I1060" s="66"/>
      <c r="J1060" s="66"/>
      <c r="K1060" s="66"/>
      <c r="L1060" s="66"/>
      <c r="M1060" s="66"/>
      <c r="N1060" s="66"/>
      <c r="O1060" s="19"/>
      <c r="P1060" s="22"/>
      <c r="Q1060" s="22"/>
      <c r="R1060" s="22"/>
    </row>
    <row r="1061" hidden="1">
      <c r="A1061" s="93"/>
      <c r="B1061" s="66"/>
      <c r="C1061" s="66"/>
      <c r="D1061" s="66"/>
      <c r="E1061" s="66"/>
      <c r="F1061" s="66"/>
      <c r="G1061" s="66"/>
      <c r="H1061" s="66"/>
      <c r="I1061" s="66"/>
      <c r="J1061" s="66"/>
      <c r="K1061" s="66"/>
      <c r="L1061" s="66"/>
      <c r="M1061" s="66"/>
      <c r="N1061" s="66"/>
      <c r="O1061" s="19"/>
      <c r="P1061" s="22"/>
      <c r="Q1061" s="22"/>
      <c r="R1061" s="22"/>
    </row>
    <row r="1062" hidden="1">
      <c r="A1062" s="93"/>
      <c r="B1062" s="66"/>
      <c r="C1062" s="66"/>
      <c r="D1062" s="66"/>
      <c r="E1062" s="66"/>
      <c r="F1062" s="66"/>
      <c r="G1062" s="66"/>
      <c r="H1062" s="66"/>
      <c r="I1062" s="66"/>
      <c r="J1062" s="66"/>
      <c r="K1062" s="66"/>
      <c r="L1062" s="66"/>
      <c r="M1062" s="66"/>
      <c r="N1062" s="66"/>
      <c r="O1062" s="19"/>
      <c r="P1062" s="22"/>
      <c r="Q1062" s="22"/>
      <c r="R1062" s="22"/>
    </row>
    <row r="1063" hidden="1">
      <c r="A1063" s="93"/>
      <c r="B1063" s="66"/>
      <c r="C1063" s="66"/>
      <c r="D1063" s="66"/>
      <c r="E1063" s="66"/>
      <c r="F1063" s="66"/>
      <c r="G1063" s="66"/>
      <c r="H1063" s="66"/>
      <c r="I1063" s="66"/>
      <c r="J1063" s="66"/>
      <c r="K1063" s="66"/>
      <c r="L1063" s="66"/>
      <c r="M1063" s="66"/>
      <c r="N1063" s="66"/>
      <c r="O1063" s="19"/>
      <c r="P1063" s="22"/>
      <c r="Q1063" s="22"/>
      <c r="R1063" s="22"/>
    </row>
    <row r="1064" hidden="1">
      <c r="A1064" s="93"/>
      <c r="B1064" s="66"/>
      <c r="C1064" s="66"/>
      <c r="D1064" s="66"/>
      <c r="E1064" s="66"/>
      <c r="F1064" s="66"/>
      <c r="G1064" s="66"/>
      <c r="H1064" s="66"/>
      <c r="I1064" s="66"/>
      <c r="J1064" s="66"/>
      <c r="K1064" s="66"/>
      <c r="L1064" s="66"/>
      <c r="M1064" s="66"/>
      <c r="N1064" s="66"/>
      <c r="O1064" s="19"/>
      <c r="P1064" s="22"/>
      <c r="Q1064" s="22"/>
      <c r="R1064" s="22"/>
    </row>
    <row r="1065" hidden="1">
      <c r="A1065" s="93"/>
      <c r="B1065" s="66"/>
      <c r="C1065" s="66"/>
      <c r="D1065" s="66"/>
      <c r="E1065" s="66"/>
      <c r="F1065" s="66"/>
      <c r="G1065" s="66"/>
      <c r="H1065" s="66"/>
      <c r="I1065" s="66"/>
      <c r="J1065" s="66"/>
      <c r="K1065" s="66"/>
      <c r="L1065" s="66"/>
      <c r="M1065" s="66"/>
      <c r="N1065" s="66"/>
      <c r="O1065" s="19"/>
      <c r="P1065" s="22"/>
      <c r="Q1065" s="22"/>
      <c r="R1065" s="22"/>
    </row>
    <row r="1066" hidden="1">
      <c r="A1066" s="93"/>
      <c r="B1066" s="66"/>
      <c r="C1066" s="66"/>
      <c r="D1066" s="66"/>
      <c r="E1066" s="66"/>
      <c r="F1066" s="66"/>
      <c r="G1066" s="66"/>
      <c r="H1066" s="66"/>
      <c r="I1066" s="66"/>
      <c r="J1066" s="66"/>
      <c r="K1066" s="66"/>
      <c r="L1066" s="66"/>
      <c r="M1066" s="66"/>
      <c r="N1066" s="66"/>
      <c r="O1066" s="19"/>
      <c r="P1066" s="22"/>
      <c r="Q1066" s="22"/>
      <c r="R1066" s="22"/>
    </row>
    <row r="1067" hidden="1">
      <c r="A1067" s="93"/>
      <c r="B1067" s="66"/>
      <c r="C1067" s="66"/>
      <c r="D1067" s="66"/>
      <c r="E1067" s="66"/>
      <c r="F1067" s="66"/>
      <c r="G1067" s="66"/>
      <c r="H1067" s="66"/>
      <c r="I1067" s="66"/>
      <c r="J1067" s="66"/>
      <c r="K1067" s="66"/>
      <c r="L1067" s="66"/>
      <c r="M1067" s="66"/>
      <c r="N1067" s="66"/>
      <c r="O1067" s="19"/>
      <c r="P1067" s="22"/>
      <c r="Q1067" s="22"/>
      <c r="R1067" s="22"/>
    </row>
    <row r="1068" hidden="1">
      <c r="A1068" s="93"/>
      <c r="B1068" s="66"/>
      <c r="C1068" s="66"/>
      <c r="D1068" s="66"/>
      <c r="E1068" s="66"/>
      <c r="F1068" s="66"/>
      <c r="G1068" s="66"/>
      <c r="H1068" s="66"/>
      <c r="I1068" s="66"/>
      <c r="J1068" s="66"/>
      <c r="K1068" s="66"/>
      <c r="L1068" s="66"/>
      <c r="M1068" s="66"/>
      <c r="N1068" s="66"/>
      <c r="O1068" s="19"/>
      <c r="P1068" s="22"/>
      <c r="Q1068" s="22"/>
      <c r="R1068" s="22"/>
    </row>
    <row r="1069" hidden="1">
      <c r="A1069" s="93"/>
      <c r="B1069" s="66"/>
      <c r="C1069" s="66"/>
      <c r="D1069" s="66"/>
      <c r="E1069" s="66"/>
      <c r="F1069" s="66"/>
      <c r="G1069" s="66"/>
      <c r="H1069" s="66"/>
      <c r="I1069" s="66"/>
      <c r="J1069" s="66"/>
      <c r="K1069" s="66"/>
      <c r="L1069" s="66"/>
      <c r="M1069" s="66"/>
      <c r="N1069" s="66"/>
      <c r="O1069" s="19"/>
      <c r="P1069" s="22"/>
      <c r="Q1069" s="22"/>
      <c r="R1069" s="22"/>
    </row>
    <row r="1070" hidden="1">
      <c r="A1070" s="93"/>
      <c r="B1070" s="66"/>
      <c r="C1070" s="66"/>
      <c r="D1070" s="66"/>
      <c r="E1070" s="66"/>
      <c r="F1070" s="66"/>
      <c r="G1070" s="66"/>
      <c r="H1070" s="66"/>
      <c r="I1070" s="66"/>
      <c r="J1070" s="66"/>
      <c r="K1070" s="66"/>
      <c r="L1070" s="66"/>
      <c r="M1070" s="66"/>
      <c r="N1070" s="66"/>
      <c r="O1070" s="19"/>
      <c r="P1070" s="22"/>
      <c r="Q1070" s="22"/>
      <c r="R1070" s="22"/>
    </row>
    <row r="1071" hidden="1">
      <c r="A1071" s="93"/>
      <c r="B1071" s="66"/>
      <c r="C1071" s="66"/>
      <c r="D1071" s="66"/>
      <c r="E1071" s="66"/>
      <c r="F1071" s="66"/>
      <c r="G1071" s="66"/>
      <c r="H1071" s="66"/>
      <c r="I1071" s="66"/>
      <c r="J1071" s="66"/>
      <c r="K1071" s="66"/>
      <c r="L1071" s="66"/>
      <c r="M1071" s="66"/>
      <c r="N1071" s="66"/>
      <c r="O1071" s="19"/>
      <c r="P1071" s="22"/>
      <c r="Q1071" s="22"/>
      <c r="R1071" s="22"/>
    </row>
    <row r="1072" hidden="1">
      <c r="A1072" s="93"/>
      <c r="B1072" s="48"/>
      <c r="C1072" s="48"/>
      <c r="D1072" s="48"/>
      <c r="E1072" s="48"/>
      <c r="F1072" s="48"/>
      <c r="G1072" s="48"/>
      <c r="H1072" s="48"/>
      <c r="I1072" s="48"/>
      <c r="J1072" s="48"/>
      <c r="K1072" s="66"/>
      <c r="L1072" s="66"/>
      <c r="M1072" s="66"/>
      <c r="N1072" s="66"/>
      <c r="O1072" s="19"/>
      <c r="P1072" s="22"/>
      <c r="Q1072" s="22"/>
      <c r="R1072" s="22"/>
    </row>
    <row r="1073" hidden="1">
      <c r="A1073" s="93"/>
      <c r="B1073" s="48"/>
      <c r="C1073" s="48"/>
      <c r="D1073" s="48"/>
      <c r="E1073" s="48"/>
      <c r="F1073" s="48"/>
      <c r="G1073" s="48"/>
      <c r="H1073" s="48"/>
      <c r="I1073" s="48"/>
      <c r="J1073" s="48"/>
      <c r="K1073" s="66"/>
      <c r="L1073" s="66"/>
      <c r="M1073" s="66"/>
      <c r="N1073" s="66"/>
      <c r="O1073" s="19"/>
      <c r="P1073" s="22"/>
      <c r="Q1073" s="22"/>
      <c r="R1073" s="22"/>
    </row>
    <row r="1074" hidden="1">
      <c r="A1074" s="93"/>
      <c r="B1074" s="48"/>
      <c r="C1074" s="48"/>
      <c r="D1074" s="48"/>
      <c r="E1074" s="48"/>
      <c r="F1074" s="48"/>
      <c r="G1074" s="48"/>
      <c r="H1074" s="48"/>
      <c r="I1074" s="48"/>
      <c r="J1074" s="48"/>
      <c r="K1074" s="66"/>
      <c r="L1074" s="66"/>
      <c r="M1074" s="66"/>
      <c r="N1074" s="66"/>
      <c r="O1074" s="19"/>
      <c r="P1074" s="22"/>
      <c r="Q1074" s="22"/>
      <c r="R1074" s="22"/>
    </row>
  </sheetData>
  <mergeCells count="175">
    <mergeCell ref="K8:K10"/>
    <mergeCell ref="L8:L10"/>
    <mergeCell ref="M8:M10"/>
    <mergeCell ref="N8:N10"/>
    <mergeCell ref="K11:K13"/>
    <mergeCell ref="L11:L13"/>
    <mergeCell ref="M11:M13"/>
    <mergeCell ref="F8:F10"/>
    <mergeCell ref="I8:I10"/>
    <mergeCell ref="F11:F13"/>
    <mergeCell ref="I11:I13"/>
    <mergeCell ref="H14:H16"/>
    <mergeCell ref="J14:J16"/>
    <mergeCell ref="K14:K16"/>
    <mergeCell ref="L5:L7"/>
    <mergeCell ref="M5:M7"/>
    <mergeCell ref="N5:N7"/>
    <mergeCell ref="B5:B7"/>
    <mergeCell ref="F5:F7"/>
    <mergeCell ref="G5:G7"/>
    <mergeCell ref="H5:H7"/>
    <mergeCell ref="J5:J7"/>
    <mergeCell ref="K5:K7"/>
    <mergeCell ref="B8:B10"/>
    <mergeCell ref="N11:N13"/>
    <mergeCell ref="P11:Q11"/>
    <mergeCell ref="L14:L16"/>
    <mergeCell ref="M14:M16"/>
    <mergeCell ref="N14:N16"/>
    <mergeCell ref="D14:D16"/>
    <mergeCell ref="D17:D19"/>
    <mergeCell ref="F17:F19"/>
    <mergeCell ref="J17:J19"/>
    <mergeCell ref="K17:K19"/>
    <mergeCell ref="L17:L19"/>
    <mergeCell ref="M17:M19"/>
    <mergeCell ref="N17:N19"/>
    <mergeCell ref="D5:D7"/>
    <mergeCell ref="D8:D10"/>
    <mergeCell ref="B11:B13"/>
    <mergeCell ref="D11:D13"/>
    <mergeCell ref="B14:B16"/>
    <mergeCell ref="E14:E16"/>
    <mergeCell ref="B17:B19"/>
    <mergeCell ref="M20:M22"/>
    <mergeCell ref="N20:N22"/>
    <mergeCell ref="J20:J22"/>
    <mergeCell ref="J23:J25"/>
    <mergeCell ref="J26:J28"/>
    <mergeCell ref="B20:B22"/>
    <mergeCell ref="E20:E22"/>
    <mergeCell ref="F20:F22"/>
    <mergeCell ref="K20:K22"/>
    <mergeCell ref="L20:L22"/>
    <mergeCell ref="B23:B25"/>
    <mergeCell ref="H23:H25"/>
    <mergeCell ref="F26:F28"/>
    <mergeCell ref="F29:F31"/>
    <mergeCell ref="L29:L31"/>
    <mergeCell ref="M29:M31"/>
    <mergeCell ref="N29:N31"/>
    <mergeCell ref="K23:K25"/>
    <mergeCell ref="L23:L25"/>
    <mergeCell ref="M23:M25"/>
    <mergeCell ref="N23:N25"/>
    <mergeCell ref="L26:L28"/>
    <mergeCell ref="M26:M28"/>
    <mergeCell ref="N26:N28"/>
    <mergeCell ref="K32:K34"/>
    <mergeCell ref="L32:L34"/>
    <mergeCell ref="M32:M34"/>
    <mergeCell ref="N32:N34"/>
    <mergeCell ref="D32:D34"/>
    <mergeCell ref="D35:D37"/>
    <mergeCell ref="B38:B40"/>
    <mergeCell ref="D38:D40"/>
    <mergeCell ref="D41:D43"/>
    <mergeCell ref="F41:F43"/>
    <mergeCell ref="G41:G43"/>
    <mergeCell ref="G44:G46"/>
    <mergeCell ref="D47:D49"/>
    <mergeCell ref="D50:D52"/>
    <mergeCell ref="F50:F52"/>
    <mergeCell ref="G50:G52"/>
    <mergeCell ref="H50:H52"/>
    <mergeCell ref="B41:B43"/>
    <mergeCell ref="B44:B46"/>
    <mergeCell ref="D44:D46"/>
    <mergeCell ref="B47:B49"/>
    <mergeCell ref="E47:E49"/>
    <mergeCell ref="F47:F49"/>
    <mergeCell ref="B50:B52"/>
    <mergeCell ref="D56:D58"/>
    <mergeCell ref="D59:D61"/>
    <mergeCell ref="G59:G61"/>
    <mergeCell ref="H59:H61"/>
    <mergeCell ref="B62:B64"/>
    <mergeCell ref="D62:D64"/>
    <mergeCell ref="F62:F64"/>
    <mergeCell ref="H62:H64"/>
    <mergeCell ref="B53:B55"/>
    <mergeCell ref="D53:D55"/>
    <mergeCell ref="F53:F55"/>
    <mergeCell ref="G53:G55"/>
    <mergeCell ref="B56:B58"/>
    <mergeCell ref="F56:F58"/>
    <mergeCell ref="B59:B61"/>
    <mergeCell ref="M50:M52"/>
    <mergeCell ref="N50:N52"/>
    <mergeCell ref="H47:H49"/>
    <mergeCell ref="I47:I49"/>
    <mergeCell ref="K47:K49"/>
    <mergeCell ref="L47:L49"/>
    <mergeCell ref="M47:M49"/>
    <mergeCell ref="N47:N49"/>
    <mergeCell ref="J50:J52"/>
    <mergeCell ref="K56:K58"/>
    <mergeCell ref="L56:L58"/>
    <mergeCell ref="J59:J61"/>
    <mergeCell ref="K59:K61"/>
    <mergeCell ref="L59:L61"/>
    <mergeCell ref="K62:K64"/>
    <mergeCell ref="L62:L64"/>
    <mergeCell ref="M56:M58"/>
    <mergeCell ref="N56:N58"/>
    <mergeCell ref="M59:M61"/>
    <mergeCell ref="N59:N61"/>
    <mergeCell ref="M62:M64"/>
    <mergeCell ref="N62:N64"/>
    <mergeCell ref="J53:J55"/>
    <mergeCell ref="K53:K55"/>
    <mergeCell ref="L53:L55"/>
    <mergeCell ref="M53:M55"/>
    <mergeCell ref="N53:N55"/>
    <mergeCell ref="I56:I58"/>
    <mergeCell ref="J56:J58"/>
    <mergeCell ref="D20:D22"/>
    <mergeCell ref="D23:D25"/>
    <mergeCell ref="B26:B28"/>
    <mergeCell ref="D26:D28"/>
    <mergeCell ref="H26:H28"/>
    <mergeCell ref="D29:D31"/>
    <mergeCell ref="I29:I31"/>
    <mergeCell ref="J32:J34"/>
    <mergeCell ref="J35:J37"/>
    <mergeCell ref="K35:K37"/>
    <mergeCell ref="L35:L37"/>
    <mergeCell ref="M35:M37"/>
    <mergeCell ref="N35:N37"/>
    <mergeCell ref="B29:B31"/>
    <mergeCell ref="B32:B34"/>
    <mergeCell ref="E32:E34"/>
    <mergeCell ref="G32:G34"/>
    <mergeCell ref="I32:I34"/>
    <mergeCell ref="B35:B37"/>
    <mergeCell ref="G35:G37"/>
    <mergeCell ref="K41:K43"/>
    <mergeCell ref="L41:L43"/>
    <mergeCell ref="I44:I46"/>
    <mergeCell ref="J44:J46"/>
    <mergeCell ref="K44:K46"/>
    <mergeCell ref="L44:L46"/>
    <mergeCell ref="M41:M43"/>
    <mergeCell ref="N41:N43"/>
    <mergeCell ref="M44:M46"/>
    <mergeCell ref="N44:N46"/>
    <mergeCell ref="G38:G40"/>
    <mergeCell ref="J38:J40"/>
    <mergeCell ref="K38:K40"/>
    <mergeCell ref="L38:L40"/>
    <mergeCell ref="M38:M40"/>
    <mergeCell ref="N38:N40"/>
    <mergeCell ref="I41:I43"/>
    <mergeCell ref="K50:K52"/>
    <mergeCell ref="L50:L52"/>
  </mergeCells>
  <conditionalFormatting sqref="A3:R1074">
    <cfRule type="expression" dxfId="0" priority="1">
      <formula>($B3&lt;&gt;"")*($D3="")</formula>
    </cfRule>
  </conditionalFormatting>
  <conditionalFormatting sqref="N1:N64 E5:K64 O17:O22 N66:N71 L69:L71 I72:J72 N74:N1074 J76:J1074">
    <cfRule type="cellIs" dxfId="1" priority="2" operator="lessThan">
      <formula>0</formula>
    </cfRule>
  </conditionalFormatting>
  <conditionalFormatting sqref="N5:N64">
    <cfRule type="cellIs" dxfId="2" priority="3" operator="greaterThanOrEqual">
      <formula>0</formula>
    </cfRule>
  </conditionalFormatting>
  <hyperlinks>
    <hyperlink r:id="rId1" location="gid=1619821413" ref="B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.13"/>
    <col customWidth="1" min="2" max="2" width="28.0"/>
    <col customWidth="1" min="3" max="3" width="5.75"/>
    <col customWidth="1" min="5" max="5" width="24.5"/>
    <col customWidth="1" min="6" max="6" width="25.0"/>
    <col customWidth="1" min="7" max="7" width="30.63"/>
    <col customWidth="1" min="8" max="8" width="27.63"/>
    <col customWidth="1" min="9" max="9" width="28.0"/>
    <col customWidth="1" min="10" max="10" width="28.75"/>
    <col customWidth="1" min="11" max="11" width="24.5"/>
    <col customWidth="1" min="12" max="12" width="20.25"/>
    <col customWidth="1" min="13" max="13" width="10.5"/>
    <col customWidth="1" min="14" max="14" width="15.88"/>
    <col customWidth="1" min="15" max="18" width="28.25"/>
  </cols>
  <sheetData>
    <row r="1">
      <c r="A1" s="1"/>
      <c r="B1" s="2" t="s">
        <v>0</v>
      </c>
      <c r="C1" s="3"/>
      <c r="D1" s="4"/>
      <c r="E1" s="4"/>
      <c r="F1" s="4"/>
      <c r="G1" s="4"/>
      <c r="H1" s="4"/>
      <c r="I1" s="4"/>
      <c r="J1" s="4"/>
      <c r="K1" s="4"/>
      <c r="L1" s="4"/>
      <c r="M1" s="5"/>
      <c r="N1" s="6"/>
      <c r="O1" s="4"/>
      <c r="P1" s="4"/>
      <c r="Q1" s="4"/>
      <c r="R1" s="4"/>
    </row>
    <row r="2">
      <c r="A2" s="4"/>
      <c r="B2" s="7" t="s">
        <v>1</v>
      </c>
      <c r="C2" s="7"/>
      <c r="D2" s="7" t="s">
        <v>2</v>
      </c>
      <c r="E2" s="8">
        <v>46125.0</v>
      </c>
      <c r="F2" s="8">
        <f t="shared" ref="F2:K2" si="1">E2+1</f>
        <v>46126</v>
      </c>
      <c r="G2" s="8">
        <f t="shared" si="1"/>
        <v>46127</v>
      </c>
      <c r="H2" s="8">
        <f t="shared" si="1"/>
        <v>46128</v>
      </c>
      <c r="I2" s="8">
        <f t="shared" si="1"/>
        <v>46129</v>
      </c>
      <c r="J2" s="8">
        <f t="shared" si="1"/>
        <v>46130</v>
      </c>
      <c r="K2" s="8">
        <f t="shared" si="1"/>
        <v>46131</v>
      </c>
      <c r="L2" s="7"/>
      <c r="M2" s="9" t="s">
        <v>3</v>
      </c>
      <c r="N2" s="10" t="s">
        <v>4</v>
      </c>
      <c r="O2" s="11" t="s">
        <v>5</v>
      </c>
      <c r="P2" s="11"/>
      <c r="Q2" s="11"/>
      <c r="R2" s="11"/>
    </row>
    <row r="3" ht="15.0" customHeight="1">
      <c r="A3" s="12"/>
      <c r="B3" s="13" t="s">
        <v>6</v>
      </c>
      <c r="C3" s="13"/>
      <c r="D3" s="14"/>
      <c r="E3" s="15" t="s">
        <v>7</v>
      </c>
      <c r="F3" s="15" t="s">
        <v>8</v>
      </c>
      <c r="G3" s="15" t="s">
        <v>9</v>
      </c>
      <c r="H3" s="15" t="s">
        <v>10</v>
      </c>
      <c r="I3" s="15" t="s">
        <v>11</v>
      </c>
      <c r="J3" s="15" t="s">
        <v>12</v>
      </c>
      <c r="K3" s="15" t="s">
        <v>13</v>
      </c>
      <c r="L3" s="14"/>
      <c r="M3" s="16"/>
      <c r="N3" s="16"/>
      <c r="O3" s="12"/>
      <c r="P3" s="12"/>
      <c r="Q3" s="12"/>
      <c r="R3" s="12"/>
    </row>
    <row r="4">
      <c r="A4" s="12"/>
      <c r="B4" s="17"/>
      <c r="C4" s="17"/>
      <c r="D4" s="18"/>
      <c r="E4" s="19"/>
      <c r="F4" s="19"/>
      <c r="G4" s="19"/>
      <c r="H4" s="19"/>
      <c r="I4" s="20" t="s">
        <v>14</v>
      </c>
      <c r="J4" s="20"/>
      <c r="K4" s="20"/>
      <c r="L4" s="21"/>
      <c r="M4" s="19"/>
      <c r="N4" s="19"/>
      <c r="O4" s="21"/>
      <c r="P4" s="22"/>
      <c r="Q4" s="22"/>
      <c r="R4" s="22"/>
    </row>
    <row r="5">
      <c r="A5" s="12"/>
      <c r="B5" s="23" t="s">
        <v>15</v>
      </c>
      <c r="C5" s="24" t="s">
        <v>16</v>
      </c>
      <c r="D5" s="25" t="s">
        <v>17</v>
      </c>
      <c r="E5" s="82" t="s">
        <v>88</v>
      </c>
      <c r="F5" s="82" t="s">
        <v>88</v>
      </c>
      <c r="G5" s="82" t="s">
        <v>88</v>
      </c>
      <c r="H5" s="82" t="s">
        <v>88</v>
      </c>
      <c r="I5" s="26">
        <v>4800.0</v>
      </c>
      <c r="J5" s="27" t="s">
        <v>18</v>
      </c>
      <c r="K5" s="27" t="s">
        <v>18</v>
      </c>
      <c r="L5" s="29" t="b">
        <v>0</v>
      </c>
      <c r="M5" s="30">
        <f>SUM(E5:L5)</f>
        <v>4800</v>
      </c>
      <c r="N5" s="31">
        <f>M5-8000</f>
        <v>-3200</v>
      </c>
      <c r="O5" s="32"/>
      <c r="P5" s="33"/>
      <c r="Q5" s="34"/>
      <c r="R5" s="34"/>
    </row>
    <row r="6">
      <c r="A6" s="12"/>
      <c r="B6" s="35"/>
      <c r="C6" s="24" t="s">
        <v>5</v>
      </c>
      <c r="D6" s="36"/>
      <c r="E6" s="35"/>
      <c r="F6" s="35"/>
      <c r="G6" s="35"/>
      <c r="H6" s="35"/>
      <c r="I6" s="37">
        <v>2219.0</v>
      </c>
      <c r="N6" s="36"/>
      <c r="O6" s="38">
        <f>SUM(E6:K6)</f>
        <v>2219</v>
      </c>
      <c r="P6" s="33"/>
      <c r="Q6" s="34"/>
      <c r="R6" s="34"/>
    </row>
    <row r="7">
      <c r="A7" s="12"/>
      <c r="B7" s="39"/>
      <c r="C7" s="24" t="s">
        <v>20</v>
      </c>
      <c r="D7" s="40"/>
      <c r="E7" s="35"/>
      <c r="F7" s="35"/>
      <c r="G7" s="35"/>
      <c r="H7" s="35"/>
      <c r="I7" s="17" t="s">
        <v>258</v>
      </c>
      <c r="J7" s="41"/>
      <c r="K7" s="41"/>
      <c r="L7" s="41"/>
      <c r="M7" s="41"/>
      <c r="N7" s="40"/>
      <c r="O7" s="43">
        <f>M5/O6</f>
        <v>2.163136548</v>
      </c>
      <c r="P7" s="33"/>
      <c r="Q7" s="34"/>
      <c r="R7" s="34"/>
    </row>
    <row r="8">
      <c r="A8" s="12"/>
      <c r="B8" s="23" t="s">
        <v>25</v>
      </c>
      <c r="C8" s="24" t="s">
        <v>16</v>
      </c>
      <c r="D8" s="25" t="s">
        <v>26</v>
      </c>
      <c r="E8" s="26">
        <v>1225.0</v>
      </c>
      <c r="F8" s="26">
        <v>2075.0</v>
      </c>
      <c r="G8" s="27" t="s">
        <v>18</v>
      </c>
      <c r="H8" s="26">
        <v>3050.0</v>
      </c>
      <c r="I8" s="27" t="s">
        <v>18</v>
      </c>
      <c r="J8" s="107" t="s">
        <v>259</v>
      </c>
      <c r="K8" s="26" t="s">
        <v>62</v>
      </c>
      <c r="L8" s="29" t="b">
        <v>0</v>
      </c>
      <c r="M8" s="30">
        <f>SUM(E8:L8)</f>
        <v>6350</v>
      </c>
      <c r="N8" s="31">
        <f>M8-7000</f>
        <v>-650</v>
      </c>
      <c r="O8" s="32"/>
      <c r="P8" s="33"/>
      <c r="Q8" s="34"/>
      <c r="R8" s="34"/>
    </row>
    <row r="9">
      <c r="A9" s="12"/>
      <c r="B9" s="35"/>
      <c r="C9" s="24" t="s">
        <v>5</v>
      </c>
      <c r="D9" s="36"/>
      <c r="E9" s="37">
        <f>351+73</f>
        <v>424</v>
      </c>
      <c r="F9" s="37">
        <f>54+743</f>
        <v>797</v>
      </c>
      <c r="H9" s="37">
        <f>38+1106</f>
        <v>1144</v>
      </c>
      <c r="J9" s="35"/>
      <c r="N9" s="36"/>
      <c r="O9" s="38">
        <f>SUM(E9:K9)</f>
        <v>2365</v>
      </c>
      <c r="P9" s="33"/>
      <c r="Q9" s="34"/>
      <c r="R9" s="34"/>
    </row>
    <row r="10">
      <c r="A10" s="12"/>
      <c r="B10" s="39"/>
      <c r="C10" s="24" t="s">
        <v>20</v>
      </c>
      <c r="D10" s="40"/>
      <c r="E10" s="17" t="s">
        <v>260</v>
      </c>
      <c r="F10" s="17" t="s">
        <v>261</v>
      </c>
      <c r="G10" s="41"/>
      <c r="H10" s="17" t="s">
        <v>262</v>
      </c>
      <c r="I10" s="41"/>
      <c r="J10" s="35"/>
      <c r="K10" s="41"/>
      <c r="L10" s="41"/>
      <c r="M10" s="41"/>
      <c r="N10" s="40"/>
      <c r="O10" s="43">
        <f>M8/O9</f>
        <v>2.684989429</v>
      </c>
      <c r="P10" s="33"/>
      <c r="Q10" s="34"/>
      <c r="R10" s="34"/>
    </row>
    <row r="11">
      <c r="A11" s="12"/>
      <c r="B11" s="23" t="s">
        <v>29</v>
      </c>
      <c r="C11" s="24" t="s">
        <v>16</v>
      </c>
      <c r="D11" s="25" t="s">
        <v>30</v>
      </c>
      <c r="E11" s="27" t="s">
        <v>18</v>
      </c>
      <c r="F11" s="73" t="s">
        <v>27</v>
      </c>
      <c r="G11" s="73" t="s">
        <v>27</v>
      </c>
      <c r="H11" s="73" t="s">
        <v>27</v>
      </c>
      <c r="I11" s="73" t="s">
        <v>27</v>
      </c>
      <c r="J11" s="73" t="s">
        <v>27</v>
      </c>
      <c r="K11" s="73" t="s">
        <v>27</v>
      </c>
      <c r="L11" s="29" t="b">
        <v>0</v>
      </c>
      <c r="M11" s="30">
        <f>SUM(E11:L11)</f>
        <v>0</v>
      </c>
      <c r="N11" s="31">
        <f>M11-7000</f>
        <v>-7000</v>
      </c>
      <c r="O11" s="32"/>
      <c r="P11" s="45"/>
      <c r="R11" s="46"/>
    </row>
    <row r="12">
      <c r="A12" s="12"/>
      <c r="B12" s="35"/>
      <c r="C12" s="24" t="s">
        <v>5</v>
      </c>
      <c r="D12" s="36"/>
      <c r="F12" s="35"/>
      <c r="G12" s="35"/>
      <c r="H12" s="35"/>
      <c r="I12" s="35"/>
      <c r="J12" s="35"/>
      <c r="K12" s="35"/>
      <c r="N12" s="36"/>
      <c r="O12" s="38">
        <f>SUM(E12:K12)</f>
        <v>0</v>
      </c>
      <c r="P12" s="47"/>
      <c r="Q12" s="46"/>
      <c r="R12" s="46"/>
    </row>
    <row r="13">
      <c r="A13" s="12"/>
      <c r="B13" s="39"/>
      <c r="C13" s="24" t="s">
        <v>20</v>
      </c>
      <c r="D13" s="40"/>
      <c r="E13" s="41"/>
      <c r="F13" s="35"/>
      <c r="G13" s="35"/>
      <c r="H13" s="35"/>
      <c r="I13" s="35"/>
      <c r="J13" s="35"/>
      <c r="K13" s="35"/>
      <c r="L13" s="41"/>
      <c r="M13" s="41"/>
      <c r="N13" s="40"/>
      <c r="O13" s="43" t="str">
        <f>M11/O12</f>
        <v>#DIV/0!</v>
      </c>
      <c r="P13" s="47"/>
      <c r="Q13" s="34"/>
      <c r="R13" s="34"/>
    </row>
    <row r="14">
      <c r="A14" s="12"/>
      <c r="B14" s="23" t="s">
        <v>34</v>
      </c>
      <c r="C14" s="24" t="s">
        <v>16</v>
      </c>
      <c r="D14" s="25" t="s">
        <v>35</v>
      </c>
      <c r="E14" s="26">
        <v>1400.0</v>
      </c>
      <c r="F14" s="26">
        <v>3895.0</v>
      </c>
      <c r="G14" s="27" t="s">
        <v>18</v>
      </c>
      <c r="H14" s="26">
        <v>1800.0</v>
      </c>
      <c r="I14" s="26">
        <f>150+3400</f>
        <v>3550</v>
      </c>
      <c r="J14" s="27" t="s">
        <v>18</v>
      </c>
      <c r="K14" s="27" t="s">
        <v>18</v>
      </c>
      <c r="L14" s="29" t="b">
        <v>0</v>
      </c>
      <c r="M14" s="30">
        <f>SUM(E14:L14)</f>
        <v>10645</v>
      </c>
      <c r="N14" s="31">
        <f>M14-7000</f>
        <v>3645</v>
      </c>
      <c r="O14" s="32"/>
      <c r="P14" s="33"/>
      <c r="Q14" s="34"/>
      <c r="R14" s="34"/>
    </row>
    <row r="15">
      <c r="A15" s="12"/>
      <c r="B15" s="35"/>
      <c r="C15" s="24" t="s">
        <v>5</v>
      </c>
      <c r="D15" s="36"/>
      <c r="E15" s="37">
        <f>71+572</f>
        <v>643</v>
      </c>
      <c r="F15" s="37">
        <f>84+1219</f>
        <v>1303</v>
      </c>
      <c r="H15" s="37">
        <f>40+736</f>
        <v>776</v>
      </c>
      <c r="I15" s="37">
        <v>1423.0</v>
      </c>
      <c r="N15" s="36"/>
      <c r="O15" s="38">
        <f>SUM(E15:K15)</f>
        <v>4145</v>
      </c>
      <c r="P15" s="33"/>
      <c r="Q15" s="34"/>
      <c r="R15" s="34"/>
    </row>
    <row r="16">
      <c r="A16" s="12"/>
      <c r="B16" s="39"/>
      <c r="C16" s="24" t="s">
        <v>20</v>
      </c>
      <c r="D16" s="40"/>
      <c r="E16" s="17" t="s">
        <v>263</v>
      </c>
      <c r="F16" s="17" t="s">
        <v>264</v>
      </c>
      <c r="G16" s="41"/>
      <c r="H16" s="17" t="s">
        <v>265</v>
      </c>
      <c r="I16" s="17" t="s">
        <v>266</v>
      </c>
      <c r="J16" s="41"/>
      <c r="K16" s="41"/>
      <c r="L16" s="41"/>
      <c r="M16" s="41"/>
      <c r="N16" s="40"/>
      <c r="O16" s="43">
        <f>M14/O15</f>
        <v>2.568154403</v>
      </c>
      <c r="P16" s="33"/>
      <c r="Q16" s="34"/>
      <c r="R16" s="34"/>
    </row>
    <row r="17">
      <c r="A17" s="12"/>
      <c r="B17" s="23" t="s">
        <v>39</v>
      </c>
      <c r="C17" s="24" t="s">
        <v>16</v>
      </c>
      <c r="D17" s="25" t="s">
        <v>40</v>
      </c>
      <c r="E17" s="26">
        <v>3400.0</v>
      </c>
      <c r="F17" s="27" t="s">
        <v>18</v>
      </c>
      <c r="G17" s="26">
        <v>2100.0</v>
      </c>
      <c r="H17" s="27" t="s">
        <v>18</v>
      </c>
      <c r="I17" s="73" t="s">
        <v>27</v>
      </c>
      <c r="J17" s="73" t="s">
        <v>27</v>
      </c>
      <c r="K17" s="73" t="s">
        <v>27</v>
      </c>
      <c r="L17" s="29" t="b">
        <v>0</v>
      </c>
      <c r="M17" s="30">
        <f>SUM(E17:L17)</f>
        <v>5500</v>
      </c>
      <c r="N17" s="31">
        <f>M17-7000</f>
        <v>-1500</v>
      </c>
      <c r="O17" s="32"/>
      <c r="P17" s="33"/>
      <c r="Q17" s="33"/>
      <c r="R17" s="34"/>
    </row>
    <row r="18">
      <c r="A18" s="12"/>
      <c r="B18" s="35"/>
      <c r="C18" s="24" t="s">
        <v>5</v>
      </c>
      <c r="D18" s="36"/>
      <c r="E18" s="37">
        <f>1083+35</f>
        <v>1118</v>
      </c>
      <c r="G18" s="37">
        <f>877</f>
        <v>877</v>
      </c>
      <c r="I18" s="35"/>
      <c r="J18" s="35"/>
      <c r="K18" s="35"/>
      <c r="N18" s="36"/>
      <c r="O18" s="38">
        <f>SUM(E18:K18)</f>
        <v>1995</v>
      </c>
      <c r="P18" s="33"/>
      <c r="Q18" s="33"/>
      <c r="R18" s="34"/>
    </row>
    <row r="19">
      <c r="A19" s="12"/>
      <c r="B19" s="39"/>
      <c r="C19" s="24" t="s">
        <v>20</v>
      </c>
      <c r="D19" s="40"/>
      <c r="E19" s="17" t="s">
        <v>267</v>
      </c>
      <c r="F19" s="41"/>
      <c r="G19" s="17" t="s">
        <v>268</v>
      </c>
      <c r="H19" s="41"/>
      <c r="I19" s="35"/>
      <c r="J19" s="35"/>
      <c r="K19" s="35"/>
      <c r="L19" s="41"/>
      <c r="M19" s="41"/>
      <c r="N19" s="40"/>
      <c r="O19" s="43">
        <f>M17/O18</f>
        <v>2.756892231</v>
      </c>
      <c r="P19" s="48"/>
      <c r="Q19" s="33"/>
      <c r="R19" s="34"/>
    </row>
    <row r="20">
      <c r="A20" s="12"/>
      <c r="B20" s="23" t="s">
        <v>45</v>
      </c>
      <c r="C20" s="24" t="s">
        <v>16</v>
      </c>
      <c r="D20" s="25" t="s">
        <v>46</v>
      </c>
      <c r="E20" s="26">
        <v>4500.0</v>
      </c>
      <c r="F20" s="27" t="s">
        <v>18</v>
      </c>
      <c r="G20" s="27" t="s">
        <v>18</v>
      </c>
      <c r="H20" s="26">
        <v>1500.0</v>
      </c>
      <c r="I20" s="27" t="s">
        <v>18</v>
      </c>
      <c r="J20" s="26">
        <v>2600.0</v>
      </c>
      <c r="K20" s="27" t="s">
        <v>18</v>
      </c>
      <c r="L20" s="29" t="b">
        <v>0</v>
      </c>
      <c r="M20" s="30">
        <f>SUM(E20:L20)</f>
        <v>8600</v>
      </c>
      <c r="N20" s="31">
        <f>M20-7000</f>
        <v>1600</v>
      </c>
      <c r="O20" s="32"/>
      <c r="P20" s="33"/>
      <c r="Q20" s="33"/>
      <c r="R20" s="34"/>
    </row>
    <row r="21">
      <c r="A21" s="12"/>
      <c r="B21" s="35"/>
      <c r="C21" s="24" t="s">
        <v>5</v>
      </c>
      <c r="D21" s="36"/>
      <c r="E21" s="37">
        <f>1464+37</f>
        <v>1501</v>
      </c>
      <c r="H21" s="37">
        <v>568.0</v>
      </c>
      <c r="J21" s="37">
        <f>1085+59</f>
        <v>1144</v>
      </c>
      <c r="N21" s="36"/>
      <c r="O21" s="38">
        <f>SUM(E21:K21)</f>
        <v>3213</v>
      </c>
      <c r="P21" s="33"/>
      <c r="Q21" s="33"/>
      <c r="R21" s="34"/>
    </row>
    <row r="22">
      <c r="A22" s="12"/>
      <c r="B22" s="39"/>
      <c r="C22" s="24" t="s">
        <v>20</v>
      </c>
      <c r="D22" s="40"/>
      <c r="E22" s="17" t="s">
        <v>269</v>
      </c>
      <c r="F22" s="41"/>
      <c r="G22" s="41"/>
      <c r="H22" s="17" t="s">
        <v>270</v>
      </c>
      <c r="I22" s="41"/>
      <c r="J22" s="17" t="s">
        <v>271</v>
      </c>
      <c r="K22" s="41"/>
      <c r="L22" s="41"/>
      <c r="M22" s="41"/>
      <c r="N22" s="40"/>
      <c r="O22" s="43">
        <f>M20/O21</f>
        <v>2.676626206</v>
      </c>
      <c r="P22" s="48"/>
      <c r="Q22" s="33"/>
      <c r="R22" s="34"/>
    </row>
    <row r="23">
      <c r="A23" s="12"/>
      <c r="B23" s="23" t="s">
        <v>50</v>
      </c>
      <c r="C23" s="24" t="s">
        <v>16</v>
      </c>
      <c r="D23" s="25" t="s">
        <v>51</v>
      </c>
      <c r="E23" s="26">
        <v>3850.0</v>
      </c>
      <c r="F23" s="27" t="s">
        <v>18</v>
      </c>
      <c r="G23" s="26">
        <v>3400.0</v>
      </c>
      <c r="H23" s="27" t="s">
        <v>18</v>
      </c>
      <c r="I23" s="26">
        <v>5700.0</v>
      </c>
      <c r="J23" s="27" t="s">
        <v>18</v>
      </c>
      <c r="K23" s="27" t="s">
        <v>18</v>
      </c>
      <c r="L23" s="29" t="b">
        <v>0</v>
      </c>
      <c r="M23" s="30">
        <f>SUM(E23:L23)</f>
        <v>12950</v>
      </c>
      <c r="N23" s="31">
        <f>M23-7000</f>
        <v>5950</v>
      </c>
      <c r="O23" s="32"/>
      <c r="P23" s="33"/>
      <c r="Q23" s="34"/>
      <c r="R23" s="34"/>
    </row>
    <row r="24">
      <c r="A24" s="12"/>
      <c r="B24" s="35"/>
      <c r="C24" s="24" t="s">
        <v>5</v>
      </c>
      <c r="D24" s="36"/>
      <c r="E24" s="37">
        <v>1216.0</v>
      </c>
      <c r="G24" s="37">
        <v>1292.0</v>
      </c>
      <c r="I24" s="37">
        <v>2192.0</v>
      </c>
      <c r="N24" s="36"/>
      <c r="O24" s="38">
        <f>SUM(E24:K24)</f>
        <v>4700</v>
      </c>
      <c r="P24" s="48"/>
      <c r="Q24" s="34"/>
      <c r="R24" s="34"/>
    </row>
    <row r="25" ht="15.0" customHeight="1">
      <c r="A25" s="12"/>
      <c r="B25" s="39"/>
      <c r="C25" s="24" t="s">
        <v>20</v>
      </c>
      <c r="D25" s="40"/>
      <c r="E25" s="17" t="s">
        <v>272</v>
      </c>
      <c r="F25" s="41"/>
      <c r="G25" s="17" t="s">
        <v>273</v>
      </c>
      <c r="H25" s="41"/>
      <c r="I25" s="17" t="s">
        <v>274</v>
      </c>
      <c r="J25" s="41"/>
      <c r="K25" s="41"/>
      <c r="L25" s="41"/>
      <c r="M25" s="41"/>
      <c r="N25" s="40"/>
      <c r="O25" s="43">
        <f>M23/O24</f>
        <v>2.755319149</v>
      </c>
      <c r="P25" s="22"/>
      <c r="Q25" s="34"/>
      <c r="R25" s="34"/>
    </row>
    <row r="26">
      <c r="A26" s="12"/>
      <c r="B26" s="23" t="s">
        <v>56</v>
      </c>
      <c r="C26" s="24" t="s">
        <v>16</v>
      </c>
      <c r="D26" s="25" t="s">
        <v>57</v>
      </c>
      <c r="E26" s="27" t="s">
        <v>18</v>
      </c>
      <c r="F26" s="27" t="s">
        <v>18</v>
      </c>
      <c r="G26" s="26">
        <v>2200.0</v>
      </c>
      <c r="H26" s="82" t="s">
        <v>88</v>
      </c>
      <c r="I26" s="27" t="s">
        <v>18</v>
      </c>
      <c r="J26" s="26">
        <v>5000.0</v>
      </c>
      <c r="K26" s="27" t="s">
        <v>18</v>
      </c>
      <c r="L26" s="29" t="b">
        <v>0</v>
      </c>
      <c r="M26" s="30">
        <f>SUM(E26:L26)</f>
        <v>7200</v>
      </c>
      <c r="N26" s="31">
        <f>M26-7000</f>
        <v>200</v>
      </c>
      <c r="O26" s="32"/>
      <c r="P26" s="33"/>
      <c r="Q26" s="34"/>
      <c r="R26" s="34"/>
    </row>
    <row r="27">
      <c r="A27" s="12"/>
      <c r="B27" s="35"/>
      <c r="C27" s="24" t="s">
        <v>5</v>
      </c>
      <c r="D27" s="36"/>
      <c r="G27" s="37">
        <f>100+338+558+23</f>
        <v>1019</v>
      </c>
      <c r="H27" s="35"/>
      <c r="J27" s="37">
        <f>114+2059</f>
        <v>2173</v>
      </c>
      <c r="N27" s="36"/>
      <c r="O27" s="38">
        <f>SUM(E27:K27)</f>
        <v>3192</v>
      </c>
      <c r="P27" s="33"/>
      <c r="Q27" s="34"/>
      <c r="R27" s="34"/>
    </row>
    <row r="28">
      <c r="A28" s="12"/>
      <c r="B28" s="39"/>
      <c r="C28" s="24" t="s">
        <v>20</v>
      </c>
      <c r="D28" s="40"/>
      <c r="E28" s="41"/>
      <c r="F28" s="41"/>
      <c r="G28" s="17" t="s">
        <v>275</v>
      </c>
      <c r="H28" s="35"/>
      <c r="I28" s="41"/>
      <c r="J28" s="17" t="s">
        <v>276</v>
      </c>
      <c r="K28" s="41"/>
      <c r="L28" s="41"/>
      <c r="M28" s="41"/>
      <c r="N28" s="40"/>
      <c r="O28" s="43">
        <f>M26/O27</f>
        <v>2.255639098</v>
      </c>
      <c r="P28" s="33"/>
      <c r="Q28" s="34"/>
      <c r="R28" s="34"/>
    </row>
    <row r="29">
      <c r="A29" s="12"/>
      <c r="B29" s="23" t="s">
        <v>60</v>
      </c>
      <c r="C29" s="24" t="s">
        <v>16</v>
      </c>
      <c r="D29" s="25" t="s">
        <v>61</v>
      </c>
      <c r="E29" s="26" t="s">
        <v>62</v>
      </c>
      <c r="F29" s="26">
        <v>1300.0</v>
      </c>
      <c r="G29" s="73" t="s">
        <v>27</v>
      </c>
      <c r="H29" s="73" t="s">
        <v>27</v>
      </c>
      <c r="I29" s="26">
        <v>1500.0</v>
      </c>
      <c r="J29" s="26">
        <v>1500.0</v>
      </c>
      <c r="K29" s="26">
        <v>750.0</v>
      </c>
      <c r="L29" s="29" t="b">
        <v>0</v>
      </c>
      <c r="M29" s="30">
        <f>SUM(E29:L29)</f>
        <v>5050</v>
      </c>
      <c r="N29" s="31">
        <f>M29-7000</f>
        <v>-1950</v>
      </c>
      <c r="O29" s="32"/>
      <c r="P29" s="33"/>
      <c r="Q29" s="34"/>
      <c r="R29" s="34"/>
    </row>
    <row r="30">
      <c r="A30" s="12"/>
      <c r="B30" s="35"/>
      <c r="C30" s="24" t="s">
        <v>5</v>
      </c>
      <c r="D30" s="36"/>
      <c r="F30" s="37">
        <v>140.0</v>
      </c>
      <c r="G30" s="35"/>
      <c r="H30" s="35"/>
      <c r="I30" s="37">
        <f t="shared" ref="I30:J30" si="2">27+27</f>
        <v>54</v>
      </c>
      <c r="J30" s="37">
        <f t="shared" si="2"/>
        <v>54</v>
      </c>
      <c r="K30" s="37">
        <v>27.0</v>
      </c>
      <c r="N30" s="36"/>
      <c r="O30" s="38">
        <f>SUM(E30:K30)</f>
        <v>275</v>
      </c>
      <c r="P30" s="33"/>
      <c r="Q30" s="34"/>
      <c r="R30" s="34"/>
    </row>
    <row r="31">
      <c r="A31" s="12"/>
      <c r="B31" s="39"/>
      <c r="C31" s="24" t="s">
        <v>20</v>
      </c>
      <c r="D31" s="40"/>
      <c r="F31" s="17" t="s">
        <v>277</v>
      </c>
      <c r="G31" s="35"/>
      <c r="H31" s="35"/>
      <c r="I31" s="17" t="s">
        <v>278</v>
      </c>
      <c r="J31" s="17" t="s">
        <v>279</v>
      </c>
      <c r="K31" s="17" t="s">
        <v>280</v>
      </c>
      <c r="L31" s="41"/>
      <c r="M31" s="41"/>
      <c r="N31" s="40"/>
      <c r="O31" s="43">
        <f>M29/O30</f>
        <v>18.36363636</v>
      </c>
      <c r="P31" s="33"/>
      <c r="Q31" s="34"/>
      <c r="R31" s="34"/>
    </row>
    <row r="32">
      <c r="A32" s="12"/>
      <c r="B32" s="23" t="s">
        <v>219</v>
      </c>
      <c r="C32" s="24" t="s">
        <v>16</v>
      </c>
      <c r="D32" s="25" t="s">
        <v>220</v>
      </c>
      <c r="E32" s="26">
        <v>3700.0</v>
      </c>
      <c r="F32" s="27" t="s">
        <v>18</v>
      </c>
      <c r="G32" s="27" t="s">
        <v>18</v>
      </c>
      <c r="H32" s="27" t="s">
        <v>18</v>
      </c>
      <c r="I32" s="26">
        <v>4800.0</v>
      </c>
      <c r="J32" s="27" t="s">
        <v>18</v>
      </c>
      <c r="K32" s="27" t="s">
        <v>18</v>
      </c>
      <c r="L32" s="29" t="b">
        <v>0</v>
      </c>
      <c r="M32" s="30">
        <f>SUM(E32:L32)</f>
        <v>8500</v>
      </c>
      <c r="N32" s="31">
        <f>M32-7000</f>
        <v>1500</v>
      </c>
      <c r="O32" s="32"/>
      <c r="P32" s="33"/>
      <c r="Q32" s="34"/>
      <c r="R32" s="34"/>
    </row>
    <row r="33">
      <c r="A33" s="12"/>
      <c r="B33" s="35"/>
      <c r="C33" s="24" t="s">
        <v>5</v>
      </c>
      <c r="D33" s="36"/>
      <c r="E33" s="37">
        <v>1372.0</v>
      </c>
      <c r="I33" s="37">
        <v>1707.0</v>
      </c>
      <c r="N33" s="36"/>
      <c r="O33" s="38">
        <f>SUM(E33:K33)</f>
        <v>3079</v>
      </c>
      <c r="P33" s="33"/>
      <c r="Q33" s="34"/>
      <c r="R33" s="34"/>
    </row>
    <row r="34">
      <c r="A34" s="12"/>
      <c r="B34" s="39"/>
      <c r="C34" s="24" t="s">
        <v>20</v>
      </c>
      <c r="D34" s="40"/>
      <c r="E34" s="17" t="s">
        <v>281</v>
      </c>
      <c r="F34" s="41"/>
      <c r="G34" s="41"/>
      <c r="H34" s="41"/>
      <c r="I34" s="17" t="s">
        <v>282</v>
      </c>
      <c r="J34" s="41"/>
      <c r="K34" s="41"/>
      <c r="L34" s="41"/>
      <c r="M34" s="41"/>
      <c r="N34" s="40"/>
      <c r="O34" s="43">
        <f>M32/O33</f>
        <v>2.76063657</v>
      </c>
      <c r="P34" s="33"/>
      <c r="Q34" s="34"/>
      <c r="R34" s="34"/>
    </row>
    <row r="35">
      <c r="A35" s="12"/>
      <c r="B35" s="23" t="s">
        <v>73</v>
      </c>
      <c r="C35" s="24" t="s">
        <v>16</v>
      </c>
      <c r="D35" s="25" t="s">
        <v>74</v>
      </c>
      <c r="E35" s="26">
        <v>1700.0</v>
      </c>
      <c r="F35" s="26">
        <v>1800.0</v>
      </c>
      <c r="G35" s="26">
        <v>1210.0</v>
      </c>
      <c r="H35" s="26">
        <v>1400.0</v>
      </c>
      <c r="I35" s="27" t="s">
        <v>18</v>
      </c>
      <c r="J35" s="107" t="s">
        <v>259</v>
      </c>
      <c r="K35" s="107" t="s">
        <v>283</v>
      </c>
      <c r="L35" s="29" t="b">
        <v>0</v>
      </c>
      <c r="M35" s="30">
        <f>SUM(E35:L35)</f>
        <v>6110</v>
      </c>
      <c r="N35" s="31">
        <f>M35-7000</f>
        <v>-890</v>
      </c>
      <c r="O35" s="32"/>
      <c r="P35" s="33"/>
      <c r="Q35" s="34"/>
      <c r="R35" s="34"/>
    </row>
    <row r="36">
      <c r="A36" s="12"/>
      <c r="B36" s="35"/>
      <c r="C36" s="24" t="s">
        <v>5</v>
      </c>
      <c r="D36" s="36"/>
      <c r="E36" s="37">
        <v>399.0</v>
      </c>
      <c r="F36" s="37">
        <v>447.0</v>
      </c>
      <c r="G36" s="37">
        <v>283.0</v>
      </c>
      <c r="H36" s="37">
        <v>385.0</v>
      </c>
      <c r="J36" s="35"/>
      <c r="K36" s="35"/>
      <c r="N36" s="36"/>
      <c r="O36" s="38">
        <f>SUM(E36:K36)</f>
        <v>1514</v>
      </c>
      <c r="P36" s="33"/>
      <c r="Q36" s="34"/>
      <c r="R36" s="34"/>
    </row>
    <row r="37">
      <c r="A37" s="12"/>
      <c r="B37" s="39"/>
      <c r="C37" s="24" t="s">
        <v>20</v>
      </c>
      <c r="D37" s="40"/>
      <c r="E37" s="17" t="s">
        <v>284</v>
      </c>
      <c r="F37" s="17" t="s">
        <v>285</v>
      </c>
      <c r="G37" s="17" t="s">
        <v>286</v>
      </c>
      <c r="H37" s="17" t="s">
        <v>287</v>
      </c>
      <c r="I37" s="41"/>
      <c r="J37" s="35"/>
      <c r="K37" s="35"/>
      <c r="L37" s="41"/>
      <c r="M37" s="41"/>
      <c r="N37" s="40"/>
      <c r="O37" s="43">
        <f>M35/O36</f>
        <v>4.035667107</v>
      </c>
      <c r="P37" s="33"/>
      <c r="Q37" s="34"/>
      <c r="R37" s="34"/>
    </row>
    <row r="38">
      <c r="A38" s="12"/>
      <c r="B38" s="23" t="s">
        <v>76</v>
      </c>
      <c r="C38" s="24" t="s">
        <v>16</v>
      </c>
      <c r="D38" s="25" t="s">
        <v>77</v>
      </c>
      <c r="E38" s="26">
        <v>2600.0</v>
      </c>
      <c r="F38" s="27" t="s">
        <v>18</v>
      </c>
      <c r="G38" s="77" t="s">
        <v>288</v>
      </c>
      <c r="H38" s="26">
        <v>1700.0</v>
      </c>
      <c r="I38" s="26">
        <v>5000.0</v>
      </c>
      <c r="J38" s="27" t="s">
        <v>18</v>
      </c>
      <c r="K38" s="27" t="s">
        <v>18</v>
      </c>
      <c r="L38" s="29" t="b">
        <v>0</v>
      </c>
      <c r="M38" s="30">
        <f>SUM(E38:L38)</f>
        <v>9300</v>
      </c>
      <c r="N38" s="31">
        <f>M38-7000</f>
        <v>2300</v>
      </c>
      <c r="O38" s="32"/>
      <c r="P38" s="33"/>
      <c r="Q38" s="34"/>
      <c r="R38" s="34"/>
    </row>
    <row r="39">
      <c r="A39" s="12"/>
      <c r="B39" s="35"/>
      <c r="C39" s="24" t="s">
        <v>5</v>
      </c>
      <c r="D39" s="36"/>
      <c r="E39" s="37">
        <f>125+837</f>
        <v>962</v>
      </c>
      <c r="G39" s="35"/>
      <c r="H39" s="37">
        <f>67+587</f>
        <v>654</v>
      </c>
      <c r="I39" s="37">
        <v>2240.0</v>
      </c>
      <c r="N39" s="36"/>
      <c r="O39" s="38">
        <f>SUM(E39:K39)</f>
        <v>3856</v>
      </c>
      <c r="P39" s="33"/>
      <c r="Q39" s="34"/>
      <c r="R39" s="34"/>
    </row>
    <row r="40">
      <c r="A40" s="12"/>
      <c r="B40" s="39"/>
      <c r="C40" s="24" t="s">
        <v>20</v>
      </c>
      <c r="D40" s="40"/>
      <c r="E40" s="17" t="s">
        <v>289</v>
      </c>
      <c r="F40" s="41"/>
      <c r="G40" s="35"/>
      <c r="H40" s="17" t="s">
        <v>290</v>
      </c>
      <c r="I40" s="17" t="s">
        <v>291</v>
      </c>
      <c r="J40" s="41"/>
      <c r="K40" s="41"/>
      <c r="L40" s="41"/>
      <c r="M40" s="41"/>
      <c r="N40" s="40"/>
      <c r="O40" s="43">
        <f>M38/O39</f>
        <v>2.411825726</v>
      </c>
      <c r="P40" s="33"/>
      <c r="Q40" s="34"/>
      <c r="R40" s="34"/>
    </row>
    <row r="41">
      <c r="A41" s="12"/>
      <c r="B41" s="23" t="s">
        <v>82</v>
      </c>
      <c r="C41" s="24" t="s">
        <v>16</v>
      </c>
      <c r="D41" s="25" t="s">
        <v>83</v>
      </c>
      <c r="E41" s="27" t="s">
        <v>18</v>
      </c>
      <c r="F41" s="27" t="s">
        <v>18</v>
      </c>
      <c r="G41" s="26">
        <v>1600.0</v>
      </c>
      <c r="H41" s="26">
        <v>1800.0</v>
      </c>
      <c r="I41" s="27" t="s">
        <v>18</v>
      </c>
      <c r="J41" s="27" t="s">
        <v>18</v>
      </c>
      <c r="K41" s="107" t="s">
        <v>292</v>
      </c>
      <c r="L41" s="29" t="b">
        <v>0</v>
      </c>
      <c r="M41" s="30">
        <f>SUM(E41:L41)</f>
        <v>3400</v>
      </c>
      <c r="N41" s="31">
        <f>M41-7000</f>
        <v>-3600</v>
      </c>
      <c r="O41" s="32"/>
      <c r="P41" s="33"/>
      <c r="Q41" s="34"/>
      <c r="R41" s="34"/>
    </row>
    <row r="42">
      <c r="A42" s="12"/>
      <c r="B42" s="35"/>
      <c r="C42" s="24" t="s">
        <v>5</v>
      </c>
      <c r="D42" s="36"/>
      <c r="G42" s="37">
        <f>813+15</f>
        <v>828</v>
      </c>
      <c r="H42" s="37">
        <f>643+24</f>
        <v>667</v>
      </c>
      <c r="K42" s="35"/>
      <c r="N42" s="36"/>
      <c r="O42" s="38">
        <f>SUM(E42:K42)</f>
        <v>1495</v>
      </c>
      <c r="P42" s="33"/>
      <c r="Q42" s="34"/>
      <c r="R42" s="34"/>
    </row>
    <row r="43">
      <c r="A43" s="12"/>
      <c r="B43" s="39"/>
      <c r="C43" s="24" t="s">
        <v>20</v>
      </c>
      <c r="D43" s="40"/>
      <c r="E43" s="41"/>
      <c r="F43" s="41"/>
      <c r="G43" s="17" t="s">
        <v>293</v>
      </c>
      <c r="H43" s="17" t="s">
        <v>294</v>
      </c>
      <c r="I43" s="41"/>
      <c r="J43" s="41"/>
      <c r="K43" s="35"/>
      <c r="L43" s="41"/>
      <c r="M43" s="41"/>
      <c r="N43" s="40"/>
      <c r="O43" s="43">
        <f>M41/O42</f>
        <v>2.274247492</v>
      </c>
      <c r="P43" s="33"/>
      <c r="Q43" s="34"/>
      <c r="R43" s="34"/>
    </row>
    <row r="44">
      <c r="A44" s="12"/>
      <c r="B44" s="23" t="s">
        <v>86</v>
      </c>
      <c r="C44" s="24" t="s">
        <v>16</v>
      </c>
      <c r="D44" s="25" t="s">
        <v>87</v>
      </c>
      <c r="E44" s="26">
        <v>1900.0</v>
      </c>
      <c r="F44" s="26">
        <v>2100.0</v>
      </c>
      <c r="G44" s="26" t="s">
        <v>62</v>
      </c>
      <c r="H44" s="26">
        <v>2725.0</v>
      </c>
      <c r="I44" s="73" t="s">
        <v>27</v>
      </c>
      <c r="J44" s="73" t="s">
        <v>27</v>
      </c>
      <c r="K44" s="73" t="s">
        <v>27</v>
      </c>
      <c r="L44" s="29" t="b">
        <v>0</v>
      </c>
      <c r="M44" s="30">
        <f>SUM(E44:L44)</f>
        <v>6725</v>
      </c>
      <c r="N44" s="31">
        <f>M44-7000</f>
        <v>-275</v>
      </c>
      <c r="O44" s="32"/>
      <c r="P44" s="33"/>
      <c r="Q44" s="34"/>
      <c r="R44" s="34"/>
    </row>
    <row r="45">
      <c r="A45" s="12"/>
      <c r="B45" s="35"/>
      <c r="C45" s="24" t="s">
        <v>5</v>
      </c>
      <c r="D45" s="36"/>
      <c r="E45" s="37">
        <v>537.0</v>
      </c>
      <c r="F45" s="37">
        <v>683.0</v>
      </c>
      <c r="H45" s="37">
        <v>1074.0</v>
      </c>
      <c r="I45" s="35"/>
      <c r="J45" s="35"/>
      <c r="K45" s="35"/>
      <c r="N45" s="36"/>
      <c r="O45" s="38">
        <f>SUM(E45:K45)</f>
        <v>2294</v>
      </c>
      <c r="P45" s="33"/>
      <c r="Q45" s="34"/>
      <c r="R45" s="34"/>
    </row>
    <row r="46">
      <c r="A46" s="12"/>
      <c r="B46" s="39"/>
      <c r="C46" s="24" t="s">
        <v>20</v>
      </c>
      <c r="D46" s="40"/>
      <c r="E46" s="17" t="s">
        <v>295</v>
      </c>
      <c r="F46" s="17" t="s">
        <v>296</v>
      </c>
      <c r="G46" s="41"/>
      <c r="H46" s="17" t="s">
        <v>297</v>
      </c>
      <c r="I46" s="35"/>
      <c r="J46" s="35"/>
      <c r="K46" s="35"/>
      <c r="L46" s="41"/>
      <c r="M46" s="41"/>
      <c r="N46" s="40"/>
      <c r="O46" s="43">
        <f>M44/O45</f>
        <v>2.931560593</v>
      </c>
      <c r="P46" s="33"/>
      <c r="Q46" s="34"/>
      <c r="R46" s="34"/>
    </row>
    <row r="47">
      <c r="A47" s="12"/>
      <c r="B47" s="23" t="s">
        <v>94</v>
      </c>
      <c r="C47" s="24" t="s">
        <v>16</v>
      </c>
      <c r="D47" s="25" t="s">
        <v>95</v>
      </c>
      <c r="E47" s="26">
        <v>2850.0</v>
      </c>
      <c r="F47" s="27" t="s">
        <v>18</v>
      </c>
      <c r="G47" s="26">
        <v>3100.0</v>
      </c>
      <c r="H47" s="27" t="s">
        <v>18</v>
      </c>
      <c r="I47" s="26">
        <v>5000.0</v>
      </c>
      <c r="J47" s="27" t="s">
        <v>18</v>
      </c>
      <c r="K47" s="27" t="s">
        <v>18</v>
      </c>
      <c r="L47" s="29" t="b">
        <v>0</v>
      </c>
      <c r="M47" s="30">
        <f>SUM(E47:L47)</f>
        <v>10950</v>
      </c>
      <c r="N47" s="31">
        <f>M47-7000</f>
        <v>3950</v>
      </c>
      <c r="O47" s="32"/>
      <c r="P47" s="33"/>
      <c r="Q47" s="34"/>
      <c r="R47" s="34"/>
    </row>
    <row r="48">
      <c r="A48" s="12"/>
      <c r="B48" s="35"/>
      <c r="C48" s="24" t="s">
        <v>5</v>
      </c>
      <c r="D48" s="36"/>
      <c r="E48" s="37">
        <v>1053.0</v>
      </c>
      <c r="G48" s="37">
        <v>1053.0</v>
      </c>
      <c r="I48" s="37">
        <v>1909.0</v>
      </c>
      <c r="N48" s="36"/>
      <c r="O48" s="38">
        <f>SUM(E48:K48)</f>
        <v>4015</v>
      </c>
      <c r="P48" s="33"/>
      <c r="Q48" s="34"/>
      <c r="R48" s="34"/>
    </row>
    <row r="49">
      <c r="A49" s="12"/>
      <c r="B49" s="39"/>
      <c r="C49" s="24" t="s">
        <v>20</v>
      </c>
      <c r="D49" s="40"/>
      <c r="E49" s="17" t="s">
        <v>298</v>
      </c>
      <c r="F49" s="41"/>
      <c r="G49" s="17" t="s">
        <v>299</v>
      </c>
      <c r="H49" s="41"/>
      <c r="I49" s="17" t="s">
        <v>300</v>
      </c>
      <c r="J49" s="41"/>
      <c r="K49" s="41"/>
      <c r="L49" s="41"/>
      <c r="M49" s="41"/>
      <c r="N49" s="40"/>
      <c r="O49" s="43">
        <f>M47/O48</f>
        <v>2.727272727</v>
      </c>
      <c r="P49" s="33"/>
      <c r="Q49" s="34"/>
      <c r="R49" s="34"/>
    </row>
    <row r="50">
      <c r="A50" s="12"/>
      <c r="B50" s="23" t="s">
        <v>98</v>
      </c>
      <c r="C50" s="24" t="s">
        <v>16</v>
      </c>
      <c r="D50" s="25" t="s">
        <v>99</v>
      </c>
      <c r="E50" s="27" t="s">
        <v>18</v>
      </c>
      <c r="F50" s="26">
        <v>5500.0</v>
      </c>
      <c r="G50" s="27" t="s">
        <v>18</v>
      </c>
      <c r="H50" s="27" t="s">
        <v>18</v>
      </c>
      <c r="I50" s="26">
        <v>6200.0</v>
      </c>
      <c r="J50" s="27" t="s">
        <v>18</v>
      </c>
      <c r="K50" s="27" t="s">
        <v>18</v>
      </c>
      <c r="L50" s="29" t="b">
        <v>0</v>
      </c>
      <c r="M50" s="30">
        <f>SUM(E50:L50)</f>
        <v>11700</v>
      </c>
      <c r="N50" s="31">
        <f>M50-7000</f>
        <v>4700</v>
      </c>
      <c r="O50" s="32"/>
      <c r="P50" s="33"/>
      <c r="Q50" s="34"/>
      <c r="R50" s="34"/>
    </row>
    <row r="51">
      <c r="A51" s="12"/>
      <c r="B51" s="35"/>
      <c r="C51" s="24" t="s">
        <v>5</v>
      </c>
      <c r="D51" s="36"/>
      <c r="F51" s="37">
        <v>2463.0</v>
      </c>
      <c r="I51" s="37">
        <v>2187.0</v>
      </c>
      <c r="N51" s="36"/>
      <c r="O51" s="38">
        <f>SUM(E51:K51)</f>
        <v>4650</v>
      </c>
      <c r="P51" s="33"/>
      <c r="Q51" s="34"/>
      <c r="R51" s="34"/>
    </row>
    <row r="52">
      <c r="A52" s="12"/>
      <c r="B52" s="39"/>
      <c r="C52" s="24" t="s">
        <v>20</v>
      </c>
      <c r="D52" s="40"/>
      <c r="E52" s="41"/>
      <c r="F52" s="17" t="s">
        <v>301</v>
      </c>
      <c r="G52" s="41"/>
      <c r="H52" s="41"/>
      <c r="I52" s="17" t="s">
        <v>302</v>
      </c>
      <c r="J52" s="41"/>
      <c r="K52" s="41"/>
      <c r="L52" s="41"/>
      <c r="M52" s="41"/>
      <c r="N52" s="40"/>
      <c r="O52" s="43">
        <f>M50/O51</f>
        <v>2.516129032</v>
      </c>
      <c r="P52" s="33"/>
      <c r="Q52" s="34"/>
      <c r="R52" s="34"/>
    </row>
    <row r="53">
      <c r="A53" s="12"/>
      <c r="B53" s="23" t="s">
        <v>104</v>
      </c>
      <c r="C53" s="24" t="s">
        <v>16</v>
      </c>
      <c r="D53" s="25" t="s">
        <v>105</v>
      </c>
      <c r="E53" s="73" t="s">
        <v>27</v>
      </c>
      <c r="F53" s="73" t="s">
        <v>27</v>
      </c>
      <c r="G53" s="73" t="s">
        <v>27</v>
      </c>
      <c r="H53" s="73" t="s">
        <v>27</v>
      </c>
      <c r="I53" s="73" t="s">
        <v>27</v>
      </c>
      <c r="J53" s="73" t="s">
        <v>27</v>
      </c>
      <c r="K53" s="73" t="s">
        <v>27</v>
      </c>
      <c r="L53" s="29" t="b">
        <v>0</v>
      </c>
      <c r="M53" s="30">
        <f>SUM(E53:L53)</f>
        <v>0</v>
      </c>
      <c r="N53" s="31">
        <f>M53-7000</f>
        <v>-7000</v>
      </c>
      <c r="O53" s="32"/>
      <c r="P53" s="33"/>
      <c r="Q53" s="34"/>
      <c r="R53" s="34"/>
    </row>
    <row r="54">
      <c r="A54" s="12"/>
      <c r="B54" s="35"/>
      <c r="C54" s="24" t="s">
        <v>5</v>
      </c>
      <c r="D54" s="36"/>
      <c r="E54" s="35"/>
      <c r="F54" s="35"/>
      <c r="G54" s="35"/>
      <c r="H54" s="35"/>
      <c r="I54" s="35"/>
      <c r="J54" s="35"/>
      <c r="K54" s="35"/>
      <c r="N54" s="36"/>
      <c r="O54" s="38">
        <f>SUM(E54:K54)</f>
        <v>0</v>
      </c>
      <c r="P54" s="33"/>
      <c r="Q54" s="34"/>
      <c r="R54" s="34"/>
    </row>
    <row r="55">
      <c r="A55" s="12"/>
      <c r="B55" s="39"/>
      <c r="C55" s="24" t="s">
        <v>20</v>
      </c>
      <c r="D55" s="40"/>
      <c r="E55" s="35"/>
      <c r="F55" s="35"/>
      <c r="G55" s="35"/>
      <c r="H55" s="35"/>
      <c r="I55" s="35"/>
      <c r="J55" s="35"/>
      <c r="K55" s="35"/>
      <c r="L55" s="41"/>
      <c r="M55" s="41"/>
      <c r="N55" s="40"/>
      <c r="O55" s="43" t="str">
        <f>M53/O54</f>
        <v>#DIV/0!</v>
      </c>
      <c r="P55" s="33"/>
      <c r="Q55" s="34"/>
      <c r="R55" s="34"/>
    </row>
    <row r="56">
      <c r="A56" s="12"/>
      <c r="B56" s="23" t="s">
        <v>108</v>
      </c>
      <c r="C56" s="24" t="s">
        <v>16</v>
      </c>
      <c r="D56" s="25" t="s">
        <v>109</v>
      </c>
      <c r="E56" s="73" t="s">
        <v>27</v>
      </c>
      <c r="F56" s="26">
        <v>6400.0</v>
      </c>
      <c r="G56" s="27" t="s">
        <v>18</v>
      </c>
      <c r="H56" s="27" t="s">
        <v>18</v>
      </c>
      <c r="I56" s="26">
        <v>3300.0</v>
      </c>
      <c r="J56" s="27" t="s">
        <v>18</v>
      </c>
      <c r="K56" s="27" t="s">
        <v>18</v>
      </c>
      <c r="L56" s="29" t="b">
        <v>0</v>
      </c>
      <c r="M56" s="30">
        <f>SUM(E56:L56)</f>
        <v>9700</v>
      </c>
      <c r="N56" s="31">
        <f>M56-7000</f>
        <v>2700</v>
      </c>
      <c r="O56" s="32"/>
      <c r="P56" s="33"/>
      <c r="Q56" s="34"/>
      <c r="R56" s="34"/>
    </row>
    <row r="57">
      <c r="A57" s="12"/>
      <c r="B57" s="35"/>
      <c r="C57" s="24" t="s">
        <v>5</v>
      </c>
      <c r="D57" s="36"/>
      <c r="E57" s="35"/>
      <c r="F57" s="37">
        <f>2572+25</f>
        <v>2597</v>
      </c>
      <c r="I57" s="37">
        <f>1279+9</f>
        <v>1288</v>
      </c>
      <c r="N57" s="36"/>
      <c r="O57" s="38">
        <f>SUM(E57:K57)</f>
        <v>3885</v>
      </c>
      <c r="P57" s="33"/>
      <c r="Q57" s="34"/>
      <c r="R57" s="34"/>
    </row>
    <row r="58">
      <c r="A58" s="12"/>
      <c r="B58" s="39"/>
      <c r="C58" s="24" t="s">
        <v>20</v>
      </c>
      <c r="D58" s="40"/>
      <c r="E58" s="35"/>
      <c r="F58" s="17" t="s">
        <v>303</v>
      </c>
      <c r="G58" s="41"/>
      <c r="H58" s="41"/>
      <c r="I58" s="17" t="s">
        <v>304</v>
      </c>
      <c r="J58" s="41"/>
      <c r="K58" s="41"/>
      <c r="L58" s="41"/>
      <c r="M58" s="41"/>
      <c r="N58" s="40"/>
      <c r="O58" s="43">
        <f>M56/O57</f>
        <v>2.496782497</v>
      </c>
      <c r="P58" s="33"/>
      <c r="Q58" s="34"/>
      <c r="R58" s="34"/>
    </row>
    <row r="59">
      <c r="A59" s="12"/>
      <c r="B59" s="23" t="s">
        <v>249</v>
      </c>
      <c r="C59" s="24" t="s">
        <v>16</v>
      </c>
      <c r="D59" s="25" t="s">
        <v>250</v>
      </c>
      <c r="E59" s="26">
        <v>1700.0</v>
      </c>
      <c r="F59" s="26">
        <v>4000.0</v>
      </c>
      <c r="G59" s="27" t="s">
        <v>18</v>
      </c>
      <c r="H59" s="27" t="s">
        <v>18</v>
      </c>
      <c r="I59" s="26">
        <v>3800.0</v>
      </c>
      <c r="J59" s="27" t="s">
        <v>18</v>
      </c>
      <c r="K59" s="27" t="s">
        <v>18</v>
      </c>
      <c r="L59" s="29" t="b">
        <v>0</v>
      </c>
      <c r="M59" s="30">
        <f>SUM(E59:L59)</f>
        <v>9500</v>
      </c>
      <c r="N59" s="31">
        <f>M59-7000</f>
        <v>2500</v>
      </c>
      <c r="O59" s="32"/>
      <c r="P59" s="33"/>
      <c r="Q59" s="34"/>
      <c r="R59" s="34"/>
    </row>
    <row r="60">
      <c r="A60" s="12"/>
      <c r="B60" s="35"/>
      <c r="C60" s="24" t="s">
        <v>5</v>
      </c>
      <c r="D60" s="36"/>
      <c r="E60" s="37">
        <v>604.0</v>
      </c>
      <c r="F60" s="37">
        <v>1252.0</v>
      </c>
      <c r="I60" s="37">
        <v>1612.0</v>
      </c>
      <c r="N60" s="36"/>
      <c r="O60" s="38">
        <f>SUM(E60:K60)</f>
        <v>3468</v>
      </c>
      <c r="P60" s="33"/>
      <c r="Q60" s="34"/>
      <c r="R60" s="34"/>
    </row>
    <row r="61">
      <c r="A61" s="12"/>
      <c r="B61" s="39"/>
      <c r="C61" s="24" t="s">
        <v>20</v>
      </c>
      <c r="D61" s="40"/>
      <c r="E61" s="17" t="s">
        <v>305</v>
      </c>
      <c r="F61" s="17" t="s">
        <v>306</v>
      </c>
      <c r="G61" s="41"/>
      <c r="H61" s="41"/>
      <c r="I61" s="17" t="s">
        <v>307</v>
      </c>
      <c r="J61" s="41"/>
      <c r="K61" s="41"/>
      <c r="L61" s="41"/>
      <c r="M61" s="41"/>
      <c r="N61" s="40"/>
      <c r="O61" s="43">
        <f>M59/O60</f>
        <v>2.739331027</v>
      </c>
      <c r="P61" s="33"/>
      <c r="Q61" s="34"/>
      <c r="R61" s="34"/>
    </row>
    <row r="62" ht="16.5" customHeight="1">
      <c r="A62" s="12"/>
      <c r="B62" s="23" t="s">
        <v>308</v>
      </c>
      <c r="C62" s="24" t="s">
        <v>16</v>
      </c>
      <c r="D62" s="25" t="s">
        <v>309</v>
      </c>
      <c r="E62" s="26">
        <v>3200.0</v>
      </c>
      <c r="F62" s="27" t="s">
        <v>18</v>
      </c>
      <c r="G62" s="26">
        <v>4000.0</v>
      </c>
      <c r="H62" s="27" t="s">
        <v>18</v>
      </c>
      <c r="I62" s="26">
        <v>5500.0</v>
      </c>
      <c r="J62" s="27" t="s">
        <v>18</v>
      </c>
      <c r="K62" s="27" t="s">
        <v>18</v>
      </c>
      <c r="L62" s="29" t="b">
        <v>0</v>
      </c>
      <c r="M62" s="30">
        <f>SUM(E62:L62)</f>
        <v>12700</v>
      </c>
      <c r="N62" s="31">
        <f>M62-7000</f>
        <v>5700</v>
      </c>
      <c r="O62" s="32"/>
      <c r="P62" s="33"/>
      <c r="Q62" s="34"/>
      <c r="R62" s="34"/>
    </row>
    <row r="63" ht="16.5" customHeight="1">
      <c r="A63" s="12"/>
      <c r="B63" s="35"/>
      <c r="C63" s="24" t="s">
        <v>5</v>
      </c>
      <c r="D63" s="36"/>
      <c r="E63" s="37">
        <v>1579.0</v>
      </c>
      <c r="G63" s="37">
        <v>1148.0</v>
      </c>
      <c r="I63" s="37">
        <v>2416.0</v>
      </c>
      <c r="N63" s="36"/>
      <c r="O63" s="38">
        <f>SUM(E63:K63)</f>
        <v>5143</v>
      </c>
      <c r="P63" s="33"/>
      <c r="Q63" s="34"/>
      <c r="R63" s="34"/>
    </row>
    <row r="64" ht="16.5" customHeight="1">
      <c r="A64" s="12"/>
      <c r="B64" s="39"/>
      <c r="C64" s="24" t="s">
        <v>20</v>
      </c>
      <c r="D64" s="40"/>
      <c r="E64" s="17" t="s">
        <v>310</v>
      </c>
      <c r="F64" s="41"/>
      <c r="G64" s="17" t="s">
        <v>311</v>
      </c>
      <c r="H64" s="41"/>
      <c r="I64" s="17" t="s">
        <v>312</v>
      </c>
      <c r="J64" s="41"/>
      <c r="K64" s="41"/>
      <c r="L64" s="41"/>
      <c r="M64" s="41"/>
      <c r="N64" s="40"/>
      <c r="O64" s="43">
        <f>M62/O63</f>
        <v>2.469375851</v>
      </c>
      <c r="P64" s="33"/>
      <c r="Q64" s="34"/>
      <c r="R64" s="34"/>
    </row>
    <row r="65" ht="16.5" customHeight="1">
      <c r="A65" s="12"/>
      <c r="B65" s="23" t="s">
        <v>313</v>
      </c>
      <c r="C65" s="24" t="s">
        <v>16</v>
      </c>
      <c r="D65" s="25" t="s">
        <v>314</v>
      </c>
      <c r="E65" s="26">
        <v>1200.0</v>
      </c>
      <c r="F65" s="27" t="s">
        <v>18</v>
      </c>
      <c r="G65" s="26">
        <v>1713.0</v>
      </c>
      <c r="H65" s="26">
        <v>700.0</v>
      </c>
      <c r="I65" s="73" t="s">
        <v>27</v>
      </c>
      <c r="J65" s="73" t="s">
        <v>27</v>
      </c>
      <c r="K65" s="73" t="s">
        <v>27</v>
      </c>
      <c r="L65" s="29" t="b">
        <v>0</v>
      </c>
      <c r="M65" s="30">
        <f>SUM(E65:L65)</f>
        <v>3613</v>
      </c>
      <c r="N65" s="31">
        <f>M65-7000</f>
        <v>-3387</v>
      </c>
      <c r="O65" s="32"/>
      <c r="P65" s="33"/>
      <c r="Q65" s="34"/>
      <c r="R65" s="34"/>
    </row>
    <row r="66" ht="16.5" customHeight="1">
      <c r="A66" s="12"/>
      <c r="B66" s="35"/>
      <c r="C66" s="24" t="s">
        <v>5</v>
      </c>
      <c r="D66" s="36"/>
      <c r="E66" s="37">
        <v>196.0</v>
      </c>
      <c r="G66" s="37">
        <v>361.0</v>
      </c>
      <c r="H66" s="37">
        <v>215.0</v>
      </c>
      <c r="I66" s="35"/>
      <c r="J66" s="35"/>
      <c r="K66" s="35"/>
      <c r="N66" s="36"/>
      <c r="O66" s="38">
        <f>SUM(E66:K66)</f>
        <v>772</v>
      </c>
      <c r="P66" s="33"/>
      <c r="Q66" s="34"/>
      <c r="R66" s="34"/>
    </row>
    <row r="67" ht="16.5" customHeight="1">
      <c r="A67" s="12"/>
      <c r="B67" s="39"/>
      <c r="C67" s="24" t="s">
        <v>20</v>
      </c>
      <c r="D67" s="40"/>
      <c r="E67" s="17" t="s">
        <v>315</v>
      </c>
      <c r="F67" s="41"/>
      <c r="G67" s="17" t="s">
        <v>316</v>
      </c>
      <c r="H67" s="17" t="s">
        <v>317</v>
      </c>
      <c r="I67" s="35"/>
      <c r="J67" s="35"/>
      <c r="K67" s="35"/>
      <c r="L67" s="41"/>
      <c r="M67" s="41"/>
      <c r="N67" s="40"/>
      <c r="O67" s="43">
        <f>M65/O66</f>
        <v>4.680051813</v>
      </c>
      <c r="P67" s="33"/>
      <c r="Q67" s="34"/>
      <c r="R67" s="34"/>
    </row>
    <row r="68" ht="16.5" customHeight="1">
      <c r="A68" s="12"/>
      <c r="B68" s="23" t="s">
        <v>114</v>
      </c>
      <c r="C68" s="24" t="s">
        <v>16</v>
      </c>
      <c r="D68" s="25" t="s">
        <v>115</v>
      </c>
      <c r="E68" s="26">
        <v>3800.0</v>
      </c>
      <c r="F68" s="27" t="s">
        <v>18</v>
      </c>
      <c r="G68" s="26">
        <v>1650.0</v>
      </c>
      <c r="H68" s="27" t="s">
        <v>18</v>
      </c>
      <c r="I68" s="26">
        <v>5803.0</v>
      </c>
      <c r="J68" s="27" t="s">
        <v>18</v>
      </c>
      <c r="K68" s="27" t="s">
        <v>18</v>
      </c>
      <c r="L68" s="29" t="b">
        <v>0</v>
      </c>
      <c r="M68" s="30">
        <f>SUM(E68:L68)</f>
        <v>11253</v>
      </c>
      <c r="N68" s="31">
        <f>M68-7000</f>
        <v>4253</v>
      </c>
      <c r="O68" s="32"/>
      <c r="P68" s="33"/>
      <c r="Q68" s="34"/>
      <c r="R68" s="34"/>
    </row>
    <row r="69">
      <c r="A69" s="12"/>
      <c r="B69" s="35"/>
      <c r="C69" s="24" t="s">
        <v>5</v>
      </c>
      <c r="D69" s="36"/>
      <c r="E69" s="37">
        <f>81+1152</f>
        <v>1233</v>
      </c>
      <c r="G69" s="37">
        <f>987+7.5</f>
        <v>994.5</v>
      </c>
      <c r="I69" s="37">
        <f>1950+103</f>
        <v>2053</v>
      </c>
      <c r="N69" s="36"/>
      <c r="O69" s="38">
        <f>SUM(E69:K69)</f>
        <v>4280.5</v>
      </c>
      <c r="P69" s="33"/>
      <c r="Q69" s="34"/>
      <c r="R69" s="34"/>
    </row>
    <row r="70">
      <c r="A70" s="12"/>
      <c r="B70" s="39"/>
      <c r="C70" s="24" t="s">
        <v>20</v>
      </c>
      <c r="D70" s="40"/>
      <c r="E70" s="50" t="s">
        <v>318</v>
      </c>
      <c r="F70" s="41"/>
      <c r="G70" s="50" t="s">
        <v>319</v>
      </c>
      <c r="H70" s="41"/>
      <c r="I70" s="50" t="s">
        <v>320</v>
      </c>
      <c r="J70" s="41"/>
      <c r="K70" s="41"/>
      <c r="L70" s="41"/>
      <c r="M70" s="41"/>
      <c r="N70" s="40"/>
      <c r="O70" s="43">
        <f>M68/O69</f>
        <v>2.628898493</v>
      </c>
      <c r="P70" s="33"/>
      <c r="Q70" s="34"/>
      <c r="R70" s="34"/>
    </row>
    <row r="71" ht="14.25" customHeight="1">
      <c r="A71" s="51"/>
      <c r="B71" s="52"/>
      <c r="C71" s="53"/>
      <c r="D71" s="54">
        <f>counta(D5:D70)</f>
        <v>22</v>
      </c>
      <c r="E71" s="37">
        <f t="shared" ref="E71:K71" si="3">$D$71-(COUNTIF(E5:E70, "TRUCK ISSUE") + COUNTIF(E5:E70, "NEW DRIVER") + COUNTIF(E5:E70, "LEFT") + COUNTIF(E5:E70, "YARD"))</f>
        <v>21</v>
      </c>
      <c r="F71" s="37">
        <f t="shared" si="3"/>
        <v>21</v>
      </c>
      <c r="G71" s="37">
        <f t="shared" si="3"/>
        <v>21</v>
      </c>
      <c r="H71" s="37">
        <f t="shared" si="3"/>
        <v>20</v>
      </c>
      <c r="I71" s="37">
        <f t="shared" si="3"/>
        <v>22</v>
      </c>
      <c r="J71" s="37">
        <f t="shared" si="3"/>
        <v>22</v>
      </c>
      <c r="K71" s="37">
        <f t="shared" si="3"/>
        <v>22</v>
      </c>
      <c r="L71" s="55"/>
      <c r="M71" s="55"/>
      <c r="N71" s="55"/>
      <c r="O71" s="55"/>
      <c r="P71" s="55"/>
      <c r="Q71" s="56"/>
      <c r="R71" s="56"/>
    </row>
    <row r="72" ht="14.25" customHeight="1">
      <c r="A72" s="51"/>
      <c r="B72" s="55"/>
      <c r="C72" s="55"/>
      <c r="D72" s="48"/>
      <c r="E72" s="48"/>
      <c r="F72" s="48"/>
      <c r="G72" s="48"/>
      <c r="H72" s="48"/>
      <c r="I72" s="48"/>
      <c r="J72" s="48"/>
      <c r="K72" s="48"/>
      <c r="L72" s="55"/>
      <c r="M72" s="55"/>
      <c r="N72" s="55"/>
      <c r="O72" s="55"/>
      <c r="P72" s="55"/>
      <c r="Q72" s="56"/>
      <c r="R72" s="56"/>
    </row>
    <row r="73">
      <c r="A73" s="12"/>
      <c r="B73" s="57" t="s">
        <v>120</v>
      </c>
      <c r="C73" s="58"/>
      <c r="D73" s="59" t="s">
        <v>121</v>
      </c>
      <c r="E73" s="60">
        <f t="shared" ref="E73:K73" si="4">SUM(E68,E56,E53,E50,E47,E44,E41,E38,E35,E32,E29,E26,E23,E20,E17,E14,E11,E8,E5,E59)</f>
        <v>32625</v>
      </c>
      <c r="F73" s="60">
        <f t="shared" si="4"/>
        <v>27070</v>
      </c>
      <c r="G73" s="60">
        <f t="shared" si="4"/>
        <v>15260</v>
      </c>
      <c r="H73" s="60">
        <f t="shared" si="4"/>
        <v>13975</v>
      </c>
      <c r="I73" s="60">
        <f t="shared" si="4"/>
        <v>49453</v>
      </c>
      <c r="J73" s="60">
        <f t="shared" si="4"/>
        <v>9100</v>
      </c>
      <c r="K73" s="60">
        <f t="shared" si="4"/>
        <v>750</v>
      </c>
      <c r="L73" s="61" t="s">
        <v>122</v>
      </c>
      <c r="M73" s="62">
        <f>SUM(E73:L73)</f>
        <v>148233</v>
      </c>
      <c r="N73" s="63"/>
      <c r="O73" s="64" t="s">
        <v>123</v>
      </c>
      <c r="P73" s="65">
        <f>COUNTIF(E5:K70, "No loads")</f>
        <v>0</v>
      </c>
      <c r="Q73" s="66"/>
      <c r="R73" s="66"/>
    </row>
    <row r="74">
      <c r="A74" s="12"/>
      <c r="B74" s="67">
        <f>D71</f>
        <v>22</v>
      </c>
      <c r="C74" s="68"/>
      <c r="D74" s="69" t="s">
        <v>124</v>
      </c>
      <c r="E74" s="70">
        <f t="shared" ref="E74:K74" si="5">E71</f>
        <v>21</v>
      </c>
      <c r="F74" s="70">
        <f t="shared" si="5"/>
        <v>21</v>
      </c>
      <c r="G74" s="70">
        <f t="shared" si="5"/>
        <v>21</v>
      </c>
      <c r="H74" s="70">
        <f t="shared" si="5"/>
        <v>20</v>
      </c>
      <c r="I74" s="70">
        <f t="shared" si="5"/>
        <v>22</v>
      </c>
      <c r="J74" s="70">
        <f t="shared" si="5"/>
        <v>22</v>
      </c>
      <c r="K74" s="70">
        <f t="shared" si="5"/>
        <v>22</v>
      </c>
      <c r="L74" s="71" t="s">
        <v>125</v>
      </c>
      <c r="M74" s="72">
        <f t="shared" ref="M74:M75" si="7">AVERAGE(E74:L74)</f>
        <v>21.28571429</v>
      </c>
      <c r="N74" s="63"/>
      <c r="O74" s="73" t="s">
        <v>27</v>
      </c>
      <c r="P74" s="74">
        <f>COUNTIF(E5:K70, "Home")</f>
        <v>25</v>
      </c>
      <c r="Q74" s="66"/>
      <c r="R74" s="66"/>
    </row>
    <row r="75">
      <c r="A75" s="12"/>
      <c r="B75" s="75"/>
      <c r="C75" s="75"/>
      <c r="D75" s="69" t="s">
        <v>124</v>
      </c>
      <c r="E75" s="76">
        <f t="shared" ref="E75:J75" si="6">$D$71-(COUNTIF(E5:E70, "TRUCK ISSUE") + COUNTIF(E5:E70, "NEW DRIVER") + COUNTIF(E5:E70, "LEFT") + COUNTIF(E5:E70, "YARD")+ COUNTIF(E5:E70, "HOME"))</f>
        <v>19</v>
      </c>
      <c r="F75" s="76">
        <f t="shared" si="6"/>
        <v>19</v>
      </c>
      <c r="G75" s="76">
        <f t="shared" si="6"/>
        <v>18</v>
      </c>
      <c r="H75" s="76">
        <f t="shared" si="6"/>
        <v>17</v>
      </c>
      <c r="I75" s="76">
        <f t="shared" si="6"/>
        <v>17</v>
      </c>
      <c r="J75" s="76">
        <f t="shared" si="6"/>
        <v>17</v>
      </c>
      <c r="K75" s="76">
        <f>$D$71-(COUNTIF(K5:K70, "TRUCK ISSUE") + COUNTIF(K5:K70, "NEW DRIVER") + COUNTIF(K5:K70, "LEFT") + COUNTIF(K5:K70, "YARD")+ COUNTIF(K5:K70, "HOME")+COUNTIF(K5:K70, "REST"))</f>
        <v>16</v>
      </c>
      <c r="L75" s="71" t="s">
        <v>126</v>
      </c>
      <c r="M75" s="72">
        <f t="shared" si="7"/>
        <v>17.57142857</v>
      </c>
      <c r="N75" s="66"/>
      <c r="O75" s="77" t="s">
        <v>62</v>
      </c>
      <c r="P75" s="74">
        <f>COUNTIF(E6:K71, "Rest")</f>
        <v>3</v>
      </c>
      <c r="Q75" s="66"/>
      <c r="R75" s="66"/>
    </row>
    <row r="76" ht="24.75" customHeight="1">
      <c r="A76" s="12"/>
      <c r="B76" s="75"/>
      <c r="C76" s="75"/>
      <c r="D76" s="78" t="s">
        <v>127</v>
      </c>
      <c r="E76" s="79">
        <f t="shared" ref="E76:K76" si="8">SUM(E69,E57,E54,E51,E48,E45,E42,E39,E36,E33,E30,E27,E24,E21,E18,E15,E12,E9,E6,E60)</f>
        <v>11062</v>
      </c>
      <c r="F76" s="79">
        <f t="shared" si="8"/>
        <v>9682</v>
      </c>
      <c r="G76" s="79">
        <f t="shared" si="8"/>
        <v>6346.5</v>
      </c>
      <c r="H76" s="79">
        <f t="shared" si="8"/>
        <v>5268</v>
      </c>
      <c r="I76" s="79">
        <f t="shared" si="8"/>
        <v>18884</v>
      </c>
      <c r="J76" s="79">
        <f t="shared" si="8"/>
        <v>3371</v>
      </c>
      <c r="K76" s="79">
        <f t="shared" si="8"/>
        <v>27</v>
      </c>
      <c r="L76" s="80" t="s">
        <v>128</v>
      </c>
      <c r="M76" s="81">
        <f>SUM(E76:K76)</f>
        <v>54640.5</v>
      </c>
      <c r="N76" s="66"/>
      <c r="O76" s="82" t="s">
        <v>88</v>
      </c>
      <c r="P76" s="74">
        <f>COUNTIF(E5:K70, "TRUCK ISSUE")</f>
        <v>5</v>
      </c>
      <c r="Q76" s="75"/>
      <c r="R76" s="75"/>
    </row>
    <row r="77">
      <c r="A77" s="12"/>
      <c r="B77" s="75"/>
      <c r="C77" s="75"/>
      <c r="D77" s="78" t="s">
        <v>129</v>
      </c>
      <c r="E77" s="83">
        <f t="shared" ref="E77:K77" si="9">E73/E76</f>
        <v>2.949285843</v>
      </c>
      <c r="F77" s="83">
        <f t="shared" si="9"/>
        <v>2.795909936</v>
      </c>
      <c r="G77" s="83">
        <f t="shared" si="9"/>
        <v>2.404474907</v>
      </c>
      <c r="H77" s="83">
        <f t="shared" si="9"/>
        <v>2.652809415</v>
      </c>
      <c r="I77" s="83">
        <f t="shared" si="9"/>
        <v>2.618777801</v>
      </c>
      <c r="J77" s="83">
        <f t="shared" si="9"/>
        <v>2.699495699</v>
      </c>
      <c r="K77" s="83">
        <f t="shared" si="9"/>
        <v>27.77777778</v>
      </c>
      <c r="L77" s="80" t="s">
        <v>130</v>
      </c>
      <c r="M77" s="84">
        <f>M73/M76</f>
        <v>2.71287781</v>
      </c>
      <c r="N77" s="63"/>
      <c r="O77" s="82" t="s">
        <v>71</v>
      </c>
      <c r="P77" s="74">
        <f>COUNTIF(E5:K70, "YARD")</f>
        <v>0</v>
      </c>
      <c r="Q77" s="66"/>
      <c r="R77" s="66"/>
    </row>
    <row r="78">
      <c r="A78" s="12"/>
      <c r="B78" s="75"/>
      <c r="C78" s="75"/>
      <c r="D78" s="85" t="s">
        <v>131</v>
      </c>
      <c r="E78" s="86">
        <f t="shared" ref="E78:K78" si="10">E73/E74</f>
        <v>1553.571429</v>
      </c>
      <c r="F78" s="86">
        <f t="shared" si="10"/>
        <v>1289.047619</v>
      </c>
      <c r="G78" s="86">
        <f t="shared" si="10"/>
        <v>726.6666667</v>
      </c>
      <c r="H78" s="86">
        <f t="shared" si="10"/>
        <v>698.75</v>
      </c>
      <c r="I78" s="86">
        <f t="shared" si="10"/>
        <v>2247.863636</v>
      </c>
      <c r="J78" s="86">
        <f t="shared" si="10"/>
        <v>413.6363636</v>
      </c>
      <c r="K78" s="86">
        <f t="shared" si="10"/>
        <v>34.09090909</v>
      </c>
      <c r="L78" s="80" t="s">
        <v>132</v>
      </c>
      <c r="M78" s="84">
        <f>M73/M74</f>
        <v>6963.966443</v>
      </c>
      <c r="N78" s="63"/>
      <c r="O78" s="87" t="s">
        <v>133</v>
      </c>
      <c r="P78" s="88">
        <f>COUNTIF(E5:K70, "MISSED APPOINMENT TIME")+COUNTIF(E5:K70, "CANCELLED")</f>
        <v>0</v>
      </c>
      <c r="Q78" s="48"/>
      <c r="R78" s="48"/>
    </row>
    <row r="79">
      <c r="A79" s="12"/>
      <c r="B79" s="66"/>
      <c r="C79" s="66"/>
      <c r="D79" s="66"/>
      <c r="E79" s="66"/>
      <c r="F79" s="66"/>
      <c r="G79" s="66"/>
      <c r="H79" s="66"/>
      <c r="I79" s="66"/>
      <c r="J79" s="66"/>
      <c r="K79" s="89"/>
      <c r="L79" s="90" t="s">
        <v>134</v>
      </c>
      <c r="M79" s="91">
        <f>M73/M75</f>
        <v>8436.02439</v>
      </c>
      <c r="N79" s="92"/>
      <c r="O79" s="92"/>
      <c r="P79" s="92"/>
      <c r="Q79" s="48"/>
      <c r="R79" s="48"/>
    </row>
    <row r="80">
      <c r="A80" s="93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3"/>
      <c r="P80" s="92"/>
      <c r="Q80" s="22"/>
      <c r="R80" s="22"/>
    </row>
    <row r="81">
      <c r="A81" s="93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19"/>
      <c r="P81" s="22"/>
      <c r="Q81" s="22"/>
      <c r="R81" s="22"/>
    </row>
    <row r="82">
      <c r="A82" s="93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19"/>
      <c r="P82" s="22"/>
      <c r="Q82" s="22"/>
      <c r="R82" s="22"/>
    </row>
    <row r="83" hidden="1">
      <c r="A83" s="93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19"/>
      <c r="P83" s="22"/>
      <c r="Q83" s="22"/>
      <c r="R83" s="22"/>
    </row>
    <row r="84" hidden="1">
      <c r="A84" s="93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19"/>
      <c r="P84" s="22"/>
      <c r="Q84" s="22"/>
      <c r="R84" s="22"/>
    </row>
    <row r="85" hidden="1">
      <c r="A85" s="93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19"/>
      <c r="P85" s="22"/>
      <c r="Q85" s="22"/>
      <c r="R85" s="22"/>
    </row>
    <row r="86" hidden="1">
      <c r="A86" s="93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19"/>
      <c r="P86" s="22"/>
      <c r="Q86" s="22"/>
      <c r="R86" s="22"/>
    </row>
    <row r="87" hidden="1">
      <c r="A87" s="93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19"/>
      <c r="P87" s="22"/>
      <c r="Q87" s="22"/>
      <c r="R87" s="22"/>
    </row>
    <row r="88" hidden="1">
      <c r="A88" s="93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19"/>
      <c r="P88" s="22"/>
      <c r="Q88" s="22"/>
      <c r="R88" s="22"/>
    </row>
    <row r="89" hidden="1">
      <c r="A89" s="93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19"/>
      <c r="P89" s="22"/>
      <c r="Q89" s="22"/>
      <c r="R89" s="22"/>
    </row>
    <row r="90" hidden="1">
      <c r="A90" s="93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19"/>
      <c r="P90" s="22"/>
      <c r="Q90" s="22"/>
      <c r="R90" s="22"/>
    </row>
    <row r="91" hidden="1">
      <c r="A91" s="93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19"/>
      <c r="P91" s="22"/>
      <c r="Q91" s="22"/>
      <c r="R91" s="22"/>
    </row>
    <row r="92" hidden="1">
      <c r="A92" s="93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19"/>
      <c r="P92" s="22"/>
      <c r="Q92" s="22"/>
      <c r="R92" s="22"/>
    </row>
    <row r="93" hidden="1">
      <c r="A93" s="93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19"/>
      <c r="P93" s="22"/>
      <c r="Q93" s="22"/>
      <c r="R93" s="22"/>
    </row>
    <row r="94" hidden="1">
      <c r="A94" s="93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19"/>
      <c r="P94" s="22"/>
      <c r="Q94" s="22"/>
      <c r="R94" s="22"/>
    </row>
    <row r="95" hidden="1">
      <c r="A95" s="93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19"/>
      <c r="P95" s="22"/>
      <c r="Q95" s="22"/>
      <c r="R95" s="22"/>
    </row>
    <row r="96" hidden="1">
      <c r="A96" s="93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19"/>
      <c r="P96" s="22"/>
      <c r="Q96" s="22"/>
      <c r="R96" s="22"/>
    </row>
    <row r="97" hidden="1">
      <c r="A97" s="93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19"/>
      <c r="P97" s="22"/>
      <c r="Q97" s="22"/>
      <c r="R97" s="22"/>
    </row>
    <row r="98" hidden="1">
      <c r="A98" s="93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19"/>
      <c r="P98" s="22"/>
      <c r="Q98" s="22"/>
      <c r="R98" s="22"/>
    </row>
    <row r="99" hidden="1">
      <c r="A99" s="93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19"/>
      <c r="P99" s="22"/>
      <c r="Q99" s="22"/>
      <c r="R99" s="22"/>
    </row>
    <row r="100" hidden="1">
      <c r="A100" s="93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19"/>
      <c r="P100" s="22"/>
      <c r="Q100" s="22"/>
      <c r="R100" s="22"/>
    </row>
    <row r="101" hidden="1">
      <c r="A101" s="93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19"/>
      <c r="P101" s="22"/>
      <c r="Q101" s="22"/>
      <c r="R101" s="22"/>
    </row>
    <row r="102" hidden="1">
      <c r="A102" s="93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19"/>
      <c r="P102" s="22"/>
      <c r="Q102" s="22"/>
      <c r="R102" s="22"/>
    </row>
    <row r="103" hidden="1">
      <c r="A103" s="93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19"/>
      <c r="P103" s="22"/>
      <c r="Q103" s="22"/>
      <c r="R103" s="22"/>
    </row>
    <row r="104" hidden="1">
      <c r="A104" s="93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19"/>
      <c r="P104" s="22"/>
      <c r="Q104" s="22"/>
      <c r="R104" s="22"/>
    </row>
    <row r="105" hidden="1">
      <c r="A105" s="93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19"/>
      <c r="P105" s="22"/>
      <c r="Q105" s="22"/>
      <c r="R105" s="22"/>
    </row>
    <row r="106" hidden="1">
      <c r="A106" s="93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19"/>
      <c r="P106" s="22"/>
      <c r="Q106" s="22"/>
      <c r="R106" s="22"/>
    </row>
    <row r="107" hidden="1">
      <c r="A107" s="93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19"/>
      <c r="P107" s="22"/>
      <c r="Q107" s="22"/>
      <c r="R107" s="22"/>
    </row>
    <row r="108" hidden="1">
      <c r="A108" s="93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19"/>
      <c r="P108" s="22"/>
      <c r="Q108" s="22"/>
      <c r="R108" s="22"/>
    </row>
    <row r="109" hidden="1">
      <c r="A109" s="93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19"/>
      <c r="P109" s="22"/>
      <c r="Q109" s="22"/>
      <c r="R109" s="22"/>
    </row>
    <row r="110" hidden="1">
      <c r="A110" s="93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19"/>
      <c r="P110" s="22"/>
      <c r="Q110" s="22"/>
      <c r="R110" s="22"/>
    </row>
    <row r="111" hidden="1">
      <c r="A111" s="93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19"/>
      <c r="P111" s="22"/>
      <c r="Q111" s="22"/>
      <c r="R111" s="22"/>
    </row>
    <row r="112" hidden="1">
      <c r="A112" s="93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19"/>
      <c r="P112" s="22"/>
      <c r="Q112" s="22"/>
      <c r="R112" s="22"/>
    </row>
    <row r="113" hidden="1">
      <c r="A113" s="93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19"/>
      <c r="P113" s="22"/>
      <c r="Q113" s="22"/>
      <c r="R113" s="22"/>
    </row>
    <row r="114" hidden="1">
      <c r="A114" s="93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19"/>
      <c r="P114" s="22"/>
      <c r="Q114" s="22"/>
      <c r="R114" s="22"/>
    </row>
    <row r="115" hidden="1">
      <c r="A115" s="93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19"/>
      <c r="P115" s="22"/>
      <c r="Q115" s="22"/>
      <c r="R115" s="22"/>
    </row>
    <row r="116" hidden="1">
      <c r="A116" s="93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19"/>
      <c r="P116" s="22"/>
      <c r="Q116" s="22"/>
      <c r="R116" s="22"/>
    </row>
    <row r="117" hidden="1">
      <c r="A117" s="93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19"/>
      <c r="P117" s="22"/>
      <c r="Q117" s="22"/>
      <c r="R117" s="22"/>
    </row>
    <row r="118" hidden="1">
      <c r="A118" s="93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19"/>
      <c r="P118" s="22"/>
      <c r="Q118" s="22"/>
      <c r="R118" s="22"/>
    </row>
    <row r="119" hidden="1">
      <c r="A119" s="93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19"/>
      <c r="P119" s="22"/>
      <c r="Q119" s="22"/>
      <c r="R119" s="22"/>
    </row>
    <row r="120" hidden="1">
      <c r="A120" s="93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19"/>
      <c r="P120" s="22"/>
      <c r="Q120" s="22"/>
      <c r="R120" s="22"/>
    </row>
    <row r="121" hidden="1">
      <c r="A121" s="93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19"/>
      <c r="P121" s="22"/>
      <c r="Q121" s="22"/>
      <c r="R121" s="22"/>
    </row>
    <row r="122" hidden="1">
      <c r="A122" s="93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19"/>
      <c r="P122" s="22"/>
      <c r="Q122" s="22"/>
      <c r="R122" s="22"/>
    </row>
    <row r="123" hidden="1">
      <c r="A123" s="93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19"/>
      <c r="P123" s="22"/>
      <c r="Q123" s="22"/>
      <c r="R123" s="22"/>
    </row>
    <row r="124" hidden="1">
      <c r="A124" s="93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19"/>
      <c r="P124" s="22"/>
      <c r="Q124" s="22"/>
      <c r="R124" s="22"/>
    </row>
    <row r="125" hidden="1">
      <c r="A125" s="93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19"/>
      <c r="P125" s="22"/>
      <c r="Q125" s="22"/>
      <c r="R125" s="22"/>
    </row>
    <row r="126" hidden="1">
      <c r="A126" s="93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19"/>
      <c r="P126" s="22"/>
      <c r="Q126" s="22"/>
      <c r="R126" s="22"/>
    </row>
    <row r="127" hidden="1">
      <c r="A127" s="93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19"/>
      <c r="P127" s="22"/>
      <c r="Q127" s="22"/>
      <c r="R127" s="22"/>
    </row>
    <row r="128" hidden="1">
      <c r="A128" s="93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19"/>
      <c r="P128" s="22"/>
      <c r="Q128" s="22"/>
      <c r="R128" s="22"/>
    </row>
    <row r="129" hidden="1">
      <c r="A129" s="93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19"/>
      <c r="P129" s="22"/>
      <c r="Q129" s="22"/>
      <c r="R129" s="22"/>
    </row>
    <row r="130" hidden="1">
      <c r="A130" s="93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19"/>
      <c r="P130" s="22"/>
      <c r="Q130" s="22"/>
      <c r="R130" s="22"/>
    </row>
    <row r="131" hidden="1">
      <c r="A131" s="93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19"/>
      <c r="P131" s="22"/>
      <c r="Q131" s="22"/>
      <c r="R131" s="22"/>
    </row>
    <row r="132" hidden="1">
      <c r="A132" s="93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19"/>
      <c r="P132" s="22"/>
      <c r="Q132" s="22"/>
      <c r="R132" s="22"/>
    </row>
    <row r="133" hidden="1">
      <c r="A133" s="93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19"/>
      <c r="P133" s="22"/>
      <c r="Q133" s="22"/>
      <c r="R133" s="22"/>
    </row>
    <row r="134" hidden="1">
      <c r="A134" s="93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19"/>
      <c r="P134" s="22"/>
      <c r="Q134" s="22"/>
      <c r="R134" s="22"/>
    </row>
    <row r="135" hidden="1">
      <c r="A135" s="93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19"/>
      <c r="P135" s="22"/>
      <c r="Q135" s="22"/>
      <c r="R135" s="22"/>
    </row>
    <row r="136" hidden="1">
      <c r="A136" s="93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19"/>
      <c r="P136" s="22"/>
      <c r="Q136" s="22"/>
      <c r="R136" s="22"/>
    </row>
    <row r="137" hidden="1">
      <c r="A137" s="93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19"/>
      <c r="P137" s="22"/>
      <c r="Q137" s="22"/>
      <c r="R137" s="22"/>
    </row>
    <row r="138" hidden="1">
      <c r="A138" s="93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19"/>
      <c r="P138" s="22"/>
      <c r="Q138" s="22"/>
      <c r="R138" s="22"/>
    </row>
    <row r="139" hidden="1">
      <c r="A139" s="93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19"/>
      <c r="P139" s="22"/>
      <c r="Q139" s="22"/>
      <c r="R139" s="22"/>
    </row>
    <row r="140" hidden="1">
      <c r="A140" s="93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19"/>
      <c r="P140" s="22"/>
      <c r="Q140" s="22"/>
      <c r="R140" s="22"/>
    </row>
    <row r="141" hidden="1">
      <c r="A141" s="93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19"/>
      <c r="P141" s="22"/>
      <c r="Q141" s="22"/>
      <c r="R141" s="22"/>
    </row>
    <row r="142" hidden="1">
      <c r="A142" s="93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19"/>
      <c r="P142" s="22"/>
      <c r="Q142" s="22"/>
      <c r="R142" s="22"/>
    </row>
    <row r="143" hidden="1">
      <c r="A143" s="93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19"/>
      <c r="P143" s="22"/>
      <c r="Q143" s="22"/>
      <c r="R143" s="22"/>
    </row>
    <row r="144" hidden="1">
      <c r="A144" s="93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19"/>
      <c r="P144" s="22"/>
      <c r="Q144" s="22"/>
      <c r="R144" s="22"/>
    </row>
    <row r="145" hidden="1">
      <c r="A145" s="93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19"/>
      <c r="P145" s="22"/>
      <c r="Q145" s="22"/>
      <c r="R145" s="22"/>
    </row>
    <row r="146" hidden="1">
      <c r="A146" s="93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19"/>
      <c r="P146" s="22"/>
      <c r="Q146" s="22"/>
      <c r="R146" s="22"/>
    </row>
    <row r="147" hidden="1">
      <c r="A147" s="93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19"/>
      <c r="P147" s="22"/>
      <c r="Q147" s="22"/>
      <c r="R147" s="22"/>
    </row>
    <row r="148" hidden="1">
      <c r="A148" s="93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19"/>
      <c r="P148" s="22"/>
      <c r="Q148" s="22"/>
      <c r="R148" s="22"/>
    </row>
    <row r="149" hidden="1">
      <c r="A149" s="93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19"/>
      <c r="P149" s="22"/>
      <c r="Q149" s="22"/>
      <c r="R149" s="22"/>
    </row>
    <row r="150" hidden="1">
      <c r="A150" s="93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19"/>
      <c r="P150" s="22"/>
      <c r="Q150" s="22"/>
      <c r="R150" s="22"/>
    </row>
    <row r="151" hidden="1">
      <c r="A151" s="93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19"/>
      <c r="P151" s="22"/>
      <c r="Q151" s="22"/>
      <c r="R151" s="22"/>
    </row>
    <row r="152" hidden="1">
      <c r="A152" s="93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19"/>
      <c r="P152" s="22"/>
      <c r="Q152" s="22"/>
      <c r="R152" s="22"/>
    </row>
    <row r="153" hidden="1">
      <c r="A153" s="93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19"/>
      <c r="P153" s="22"/>
      <c r="Q153" s="22"/>
      <c r="R153" s="22"/>
    </row>
    <row r="154" hidden="1">
      <c r="A154" s="93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19"/>
      <c r="P154" s="22"/>
      <c r="Q154" s="22"/>
      <c r="R154" s="22"/>
    </row>
    <row r="155" hidden="1">
      <c r="A155" s="93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19"/>
      <c r="P155" s="22"/>
      <c r="Q155" s="22"/>
      <c r="R155" s="22"/>
    </row>
    <row r="156" hidden="1">
      <c r="A156" s="93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19"/>
      <c r="P156" s="22"/>
      <c r="Q156" s="22"/>
      <c r="R156" s="22"/>
    </row>
    <row r="157" hidden="1">
      <c r="A157" s="93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19"/>
      <c r="P157" s="22"/>
      <c r="Q157" s="22"/>
      <c r="R157" s="22"/>
    </row>
    <row r="158" hidden="1">
      <c r="A158" s="93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19"/>
      <c r="P158" s="22"/>
      <c r="Q158" s="22"/>
      <c r="R158" s="22"/>
    </row>
    <row r="159" hidden="1">
      <c r="A159" s="93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19"/>
      <c r="P159" s="22"/>
      <c r="Q159" s="22"/>
      <c r="R159" s="22"/>
    </row>
    <row r="160" hidden="1">
      <c r="A160" s="93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19"/>
      <c r="P160" s="22"/>
      <c r="Q160" s="22"/>
      <c r="R160" s="22"/>
    </row>
    <row r="161" hidden="1">
      <c r="A161" s="93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19"/>
      <c r="P161" s="22"/>
      <c r="Q161" s="22"/>
      <c r="R161" s="22"/>
    </row>
    <row r="162" hidden="1">
      <c r="A162" s="93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19"/>
      <c r="P162" s="22"/>
      <c r="Q162" s="22"/>
      <c r="R162" s="22"/>
    </row>
    <row r="163" hidden="1">
      <c r="A163" s="93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19"/>
      <c r="P163" s="22"/>
      <c r="Q163" s="22"/>
      <c r="R163" s="22"/>
    </row>
    <row r="164" hidden="1">
      <c r="A164" s="93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19"/>
      <c r="P164" s="22"/>
      <c r="Q164" s="22"/>
      <c r="R164" s="22"/>
    </row>
    <row r="165" hidden="1">
      <c r="A165" s="93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19"/>
      <c r="P165" s="22"/>
      <c r="Q165" s="22"/>
      <c r="R165" s="22"/>
    </row>
    <row r="166" hidden="1">
      <c r="A166" s="93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19"/>
      <c r="P166" s="22"/>
      <c r="Q166" s="22"/>
      <c r="R166" s="22"/>
    </row>
    <row r="167" hidden="1">
      <c r="A167" s="93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19"/>
      <c r="P167" s="22"/>
      <c r="Q167" s="22"/>
      <c r="R167" s="22"/>
    </row>
    <row r="168" hidden="1">
      <c r="A168" s="93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19"/>
      <c r="P168" s="22"/>
      <c r="Q168" s="22"/>
      <c r="R168" s="22"/>
    </row>
    <row r="169" hidden="1">
      <c r="A169" s="93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19"/>
      <c r="P169" s="22"/>
      <c r="Q169" s="22"/>
      <c r="R169" s="22"/>
    </row>
    <row r="170" hidden="1">
      <c r="A170" s="93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19"/>
      <c r="P170" s="22"/>
      <c r="Q170" s="22"/>
      <c r="R170" s="22"/>
    </row>
    <row r="171" hidden="1">
      <c r="A171" s="93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19"/>
      <c r="P171" s="22"/>
      <c r="Q171" s="22"/>
      <c r="R171" s="22"/>
    </row>
    <row r="172" hidden="1">
      <c r="A172" s="93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19"/>
      <c r="P172" s="22"/>
      <c r="Q172" s="22"/>
      <c r="R172" s="22"/>
    </row>
    <row r="173" hidden="1">
      <c r="A173" s="93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19"/>
      <c r="P173" s="22"/>
      <c r="Q173" s="22"/>
      <c r="R173" s="22"/>
    </row>
    <row r="174" hidden="1">
      <c r="A174" s="93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19"/>
      <c r="P174" s="22"/>
      <c r="Q174" s="22"/>
      <c r="R174" s="22"/>
    </row>
    <row r="175" hidden="1">
      <c r="A175" s="93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19"/>
      <c r="P175" s="22"/>
      <c r="Q175" s="22"/>
      <c r="R175" s="22"/>
    </row>
    <row r="176" hidden="1">
      <c r="A176" s="93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19"/>
      <c r="P176" s="22"/>
      <c r="Q176" s="22"/>
      <c r="R176" s="22"/>
    </row>
    <row r="177" hidden="1">
      <c r="A177" s="93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19"/>
      <c r="P177" s="22"/>
      <c r="Q177" s="22"/>
      <c r="R177" s="22"/>
    </row>
    <row r="178" hidden="1">
      <c r="A178" s="93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19"/>
      <c r="P178" s="22"/>
      <c r="Q178" s="22"/>
      <c r="R178" s="22"/>
    </row>
    <row r="179" hidden="1">
      <c r="A179" s="93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19"/>
      <c r="P179" s="22"/>
      <c r="Q179" s="22"/>
      <c r="R179" s="22"/>
    </row>
    <row r="180" hidden="1">
      <c r="A180" s="93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19"/>
      <c r="P180" s="22"/>
      <c r="Q180" s="22"/>
      <c r="R180" s="22"/>
    </row>
    <row r="181" hidden="1">
      <c r="A181" s="93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19"/>
      <c r="P181" s="22"/>
      <c r="Q181" s="22"/>
      <c r="R181" s="22"/>
    </row>
    <row r="182" hidden="1">
      <c r="A182" s="93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19"/>
      <c r="P182" s="22"/>
      <c r="Q182" s="22"/>
      <c r="R182" s="22"/>
    </row>
    <row r="183" hidden="1">
      <c r="A183" s="93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19"/>
      <c r="P183" s="22"/>
      <c r="Q183" s="22"/>
      <c r="R183" s="22"/>
    </row>
    <row r="184" hidden="1">
      <c r="A184" s="93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19"/>
      <c r="P184" s="22"/>
      <c r="Q184" s="22"/>
      <c r="R184" s="22"/>
    </row>
    <row r="185" hidden="1">
      <c r="A185" s="93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19"/>
      <c r="P185" s="22"/>
      <c r="Q185" s="22"/>
      <c r="R185" s="22"/>
    </row>
    <row r="186" hidden="1">
      <c r="A186" s="93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19"/>
      <c r="P186" s="22"/>
      <c r="Q186" s="22"/>
      <c r="R186" s="22"/>
    </row>
    <row r="187" hidden="1">
      <c r="A187" s="93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19"/>
      <c r="P187" s="22"/>
      <c r="Q187" s="22"/>
      <c r="R187" s="22"/>
    </row>
    <row r="188" hidden="1">
      <c r="A188" s="93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19"/>
      <c r="P188" s="22"/>
      <c r="Q188" s="22"/>
      <c r="R188" s="22"/>
    </row>
    <row r="189" hidden="1">
      <c r="A189" s="93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19"/>
      <c r="P189" s="22"/>
      <c r="Q189" s="22"/>
      <c r="R189" s="22"/>
    </row>
    <row r="190" hidden="1">
      <c r="A190" s="93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19"/>
      <c r="P190" s="22"/>
      <c r="Q190" s="22"/>
      <c r="R190" s="22"/>
    </row>
    <row r="191" hidden="1">
      <c r="A191" s="93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19"/>
      <c r="P191" s="22"/>
      <c r="Q191" s="22"/>
      <c r="R191" s="22"/>
    </row>
    <row r="192" hidden="1">
      <c r="A192" s="93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19"/>
      <c r="P192" s="22"/>
      <c r="Q192" s="22"/>
      <c r="R192" s="22"/>
    </row>
    <row r="193" hidden="1">
      <c r="A193" s="93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19"/>
      <c r="P193" s="22"/>
      <c r="Q193" s="22"/>
      <c r="R193" s="22"/>
    </row>
    <row r="194" hidden="1">
      <c r="A194" s="93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19"/>
      <c r="P194" s="22"/>
      <c r="Q194" s="22"/>
      <c r="R194" s="22"/>
    </row>
    <row r="195" hidden="1">
      <c r="A195" s="93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19"/>
      <c r="P195" s="22"/>
      <c r="Q195" s="22"/>
      <c r="R195" s="22"/>
    </row>
    <row r="196" hidden="1">
      <c r="A196" s="93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19"/>
      <c r="P196" s="22"/>
      <c r="Q196" s="22"/>
      <c r="R196" s="22"/>
    </row>
    <row r="197" hidden="1">
      <c r="A197" s="93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19"/>
      <c r="P197" s="22"/>
      <c r="Q197" s="22"/>
      <c r="R197" s="22"/>
    </row>
    <row r="198" hidden="1">
      <c r="A198" s="93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19"/>
      <c r="P198" s="22"/>
      <c r="Q198" s="22"/>
      <c r="R198" s="22"/>
    </row>
    <row r="199" hidden="1">
      <c r="A199" s="93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19"/>
      <c r="P199" s="22"/>
      <c r="Q199" s="22"/>
      <c r="R199" s="22"/>
    </row>
    <row r="200" hidden="1">
      <c r="A200" s="93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19"/>
      <c r="P200" s="22"/>
      <c r="Q200" s="22"/>
      <c r="R200" s="22"/>
    </row>
    <row r="201" hidden="1">
      <c r="A201" s="93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19"/>
      <c r="P201" s="22"/>
      <c r="Q201" s="22"/>
      <c r="R201" s="22"/>
    </row>
    <row r="202" hidden="1">
      <c r="A202" s="93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19"/>
      <c r="P202" s="22"/>
      <c r="Q202" s="22"/>
      <c r="R202" s="22"/>
    </row>
    <row r="203" hidden="1">
      <c r="A203" s="93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19"/>
      <c r="P203" s="22"/>
      <c r="Q203" s="22"/>
      <c r="R203" s="22"/>
    </row>
    <row r="204" hidden="1">
      <c r="A204" s="93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19"/>
      <c r="P204" s="22"/>
      <c r="Q204" s="22"/>
      <c r="R204" s="22"/>
    </row>
    <row r="205" hidden="1">
      <c r="A205" s="93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19"/>
      <c r="P205" s="22"/>
      <c r="Q205" s="22"/>
      <c r="R205" s="22"/>
    </row>
    <row r="206" hidden="1">
      <c r="A206" s="93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19"/>
      <c r="P206" s="22"/>
      <c r="Q206" s="22"/>
      <c r="R206" s="22"/>
    </row>
    <row r="207" hidden="1">
      <c r="A207" s="93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19"/>
      <c r="P207" s="22"/>
      <c r="Q207" s="22"/>
      <c r="R207" s="22"/>
    </row>
    <row r="208" hidden="1">
      <c r="A208" s="93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19"/>
      <c r="P208" s="22"/>
      <c r="Q208" s="22"/>
      <c r="R208" s="22"/>
    </row>
    <row r="209" hidden="1">
      <c r="A209" s="93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19"/>
      <c r="P209" s="22"/>
      <c r="Q209" s="22"/>
      <c r="R209" s="22"/>
    </row>
    <row r="210" hidden="1">
      <c r="A210" s="93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19"/>
      <c r="P210" s="22"/>
      <c r="Q210" s="22"/>
      <c r="R210" s="22"/>
    </row>
    <row r="211" hidden="1">
      <c r="A211" s="93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19"/>
      <c r="P211" s="22"/>
      <c r="Q211" s="22"/>
      <c r="R211" s="22"/>
    </row>
    <row r="212" hidden="1">
      <c r="A212" s="93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19"/>
      <c r="P212" s="22"/>
      <c r="Q212" s="22"/>
      <c r="R212" s="22"/>
    </row>
    <row r="213" hidden="1">
      <c r="A213" s="93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19"/>
      <c r="P213" s="22"/>
      <c r="Q213" s="22"/>
      <c r="R213" s="22"/>
    </row>
    <row r="214" hidden="1">
      <c r="A214" s="93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19"/>
      <c r="P214" s="22"/>
      <c r="Q214" s="22"/>
      <c r="R214" s="22"/>
    </row>
    <row r="215" hidden="1">
      <c r="A215" s="93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19"/>
      <c r="P215" s="22"/>
      <c r="Q215" s="22"/>
      <c r="R215" s="22"/>
    </row>
    <row r="216" hidden="1">
      <c r="A216" s="93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19"/>
      <c r="P216" s="22"/>
      <c r="Q216" s="22"/>
      <c r="R216" s="22"/>
    </row>
    <row r="217" hidden="1">
      <c r="A217" s="93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19"/>
      <c r="P217" s="22"/>
      <c r="Q217" s="22"/>
      <c r="R217" s="22"/>
    </row>
    <row r="218" hidden="1">
      <c r="A218" s="93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19"/>
      <c r="P218" s="22"/>
      <c r="Q218" s="22"/>
      <c r="R218" s="22"/>
    </row>
    <row r="219" hidden="1">
      <c r="A219" s="93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19"/>
      <c r="P219" s="22"/>
      <c r="Q219" s="22"/>
      <c r="R219" s="22"/>
    </row>
    <row r="220" hidden="1">
      <c r="A220" s="93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19"/>
      <c r="P220" s="22"/>
      <c r="Q220" s="22"/>
      <c r="R220" s="22"/>
    </row>
    <row r="221" hidden="1">
      <c r="A221" s="93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19"/>
      <c r="P221" s="22"/>
      <c r="Q221" s="22"/>
      <c r="R221" s="22"/>
    </row>
    <row r="222" hidden="1">
      <c r="A222" s="93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19"/>
      <c r="P222" s="22"/>
      <c r="Q222" s="22"/>
      <c r="R222" s="22"/>
    </row>
    <row r="223" hidden="1">
      <c r="A223" s="93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19"/>
      <c r="P223" s="22"/>
      <c r="Q223" s="22"/>
      <c r="R223" s="22"/>
    </row>
    <row r="224" hidden="1">
      <c r="A224" s="93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19"/>
      <c r="P224" s="22"/>
      <c r="Q224" s="22"/>
      <c r="R224" s="22"/>
    </row>
    <row r="225" hidden="1">
      <c r="A225" s="93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19"/>
      <c r="P225" s="22"/>
      <c r="Q225" s="22"/>
      <c r="R225" s="22"/>
    </row>
    <row r="226" hidden="1">
      <c r="A226" s="93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19"/>
      <c r="P226" s="22"/>
      <c r="Q226" s="22"/>
      <c r="R226" s="22"/>
    </row>
    <row r="227" hidden="1">
      <c r="A227" s="93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19"/>
      <c r="P227" s="22"/>
      <c r="Q227" s="22"/>
      <c r="R227" s="22"/>
    </row>
    <row r="228" hidden="1">
      <c r="A228" s="93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19"/>
      <c r="P228" s="22"/>
      <c r="Q228" s="22"/>
      <c r="R228" s="22"/>
    </row>
    <row r="229" hidden="1">
      <c r="A229" s="93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19"/>
      <c r="P229" s="22"/>
      <c r="Q229" s="22"/>
      <c r="R229" s="22"/>
    </row>
    <row r="230" hidden="1">
      <c r="A230" s="93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19"/>
      <c r="P230" s="22"/>
      <c r="Q230" s="22"/>
      <c r="R230" s="22"/>
    </row>
    <row r="231" hidden="1">
      <c r="A231" s="93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19"/>
      <c r="P231" s="22"/>
      <c r="Q231" s="22"/>
      <c r="R231" s="22"/>
    </row>
    <row r="232" hidden="1">
      <c r="A232" s="93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19"/>
      <c r="P232" s="22"/>
      <c r="Q232" s="22"/>
      <c r="R232" s="22"/>
    </row>
    <row r="233" hidden="1">
      <c r="A233" s="93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19"/>
      <c r="P233" s="22"/>
      <c r="Q233" s="22"/>
      <c r="R233" s="22"/>
    </row>
    <row r="234" hidden="1">
      <c r="A234" s="93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19"/>
      <c r="P234" s="22"/>
      <c r="Q234" s="22"/>
      <c r="R234" s="22"/>
    </row>
    <row r="235" hidden="1">
      <c r="A235" s="93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19"/>
      <c r="P235" s="22"/>
      <c r="Q235" s="22"/>
      <c r="R235" s="22"/>
    </row>
    <row r="236" hidden="1">
      <c r="A236" s="93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19"/>
      <c r="P236" s="22"/>
      <c r="Q236" s="22"/>
      <c r="R236" s="22"/>
    </row>
    <row r="237" hidden="1">
      <c r="A237" s="93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19"/>
      <c r="P237" s="22"/>
      <c r="Q237" s="22"/>
      <c r="R237" s="22"/>
    </row>
    <row r="238" hidden="1">
      <c r="A238" s="93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19"/>
      <c r="P238" s="22"/>
      <c r="Q238" s="22"/>
      <c r="R238" s="22"/>
    </row>
    <row r="239" hidden="1">
      <c r="A239" s="93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19"/>
      <c r="P239" s="22"/>
      <c r="Q239" s="22"/>
      <c r="R239" s="22"/>
    </row>
    <row r="240" hidden="1">
      <c r="A240" s="93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19"/>
      <c r="P240" s="22"/>
      <c r="Q240" s="22"/>
      <c r="R240" s="22"/>
    </row>
    <row r="241" hidden="1">
      <c r="A241" s="93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19"/>
      <c r="P241" s="22"/>
      <c r="Q241" s="22"/>
      <c r="R241" s="22"/>
    </row>
    <row r="242" hidden="1">
      <c r="A242" s="93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19"/>
      <c r="P242" s="22"/>
      <c r="Q242" s="22"/>
      <c r="R242" s="22"/>
    </row>
    <row r="243" hidden="1">
      <c r="A243" s="93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19"/>
      <c r="P243" s="22"/>
      <c r="Q243" s="22"/>
      <c r="R243" s="22"/>
    </row>
    <row r="244" hidden="1">
      <c r="A244" s="93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19"/>
      <c r="P244" s="22"/>
      <c r="Q244" s="22"/>
      <c r="R244" s="22"/>
    </row>
    <row r="245" hidden="1">
      <c r="A245" s="93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19"/>
      <c r="P245" s="22"/>
      <c r="Q245" s="22"/>
      <c r="R245" s="22"/>
    </row>
    <row r="246" hidden="1">
      <c r="A246" s="93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19"/>
      <c r="P246" s="22"/>
      <c r="Q246" s="22"/>
      <c r="R246" s="22"/>
    </row>
    <row r="247" hidden="1">
      <c r="A247" s="93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19"/>
      <c r="P247" s="22"/>
      <c r="Q247" s="22"/>
      <c r="R247" s="22"/>
    </row>
    <row r="248" hidden="1">
      <c r="A248" s="93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19"/>
      <c r="P248" s="22"/>
      <c r="Q248" s="22"/>
      <c r="R248" s="22"/>
    </row>
    <row r="249" hidden="1">
      <c r="A249" s="93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19"/>
      <c r="P249" s="22"/>
      <c r="Q249" s="22"/>
      <c r="R249" s="22"/>
    </row>
    <row r="250" hidden="1">
      <c r="A250" s="93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19"/>
      <c r="P250" s="22"/>
      <c r="Q250" s="22"/>
      <c r="R250" s="22"/>
    </row>
    <row r="251" hidden="1">
      <c r="A251" s="93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19"/>
      <c r="P251" s="22"/>
      <c r="Q251" s="22"/>
      <c r="R251" s="22"/>
    </row>
    <row r="252" hidden="1">
      <c r="A252" s="93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19"/>
      <c r="P252" s="22"/>
      <c r="Q252" s="22"/>
      <c r="R252" s="22"/>
    </row>
    <row r="253" hidden="1">
      <c r="A253" s="93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19"/>
      <c r="P253" s="22"/>
      <c r="Q253" s="22"/>
      <c r="R253" s="22"/>
    </row>
    <row r="254" hidden="1">
      <c r="A254" s="93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19"/>
      <c r="P254" s="22"/>
      <c r="Q254" s="22"/>
      <c r="R254" s="22"/>
    </row>
    <row r="255" hidden="1">
      <c r="A255" s="93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19"/>
      <c r="P255" s="22"/>
      <c r="Q255" s="22"/>
      <c r="R255" s="22"/>
    </row>
    <row r="256" hidden="1">
      <c r="A256" s="93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19"/>
      <c r="P256" s="22"/>
      <c r="Q256" s="22"/>
      <c r="R256" s="22"/>
    </row>
    <row r="257" hidden="1">
      <c r="A257" s="93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19"/>
      <c r="P257" s="22"/>
      <c r="Q257" s="22"/>
      <c r="R257" s="22"/>
    </row>
    <row r="258" hidden="1">
      <c r="A258" s="93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19"/>
      <c r="P258" s="22"/>
      <c r="Q258" s="22"/>
      <c r="R258" s="22"/>
    </row>
    <row r="259" hidden="1">
      <c r="A259" s="93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19"/>
      <c r="P259" s="22"/>
      <c r="Q259" s="22"/>
      <c r="R259" s="22"/>
    </row>
    <row r="260" hidden="1">
      <c r="A260" s="93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19"/>
      <c r="P260" s="22"/>
      <c r="Q260" s="22"/>
      <c r="R260" s="22"/>
    </row>
    <row r="261" hidden="1">
      <c r="A261" s="93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19"/>
      <c r="P261" s="22"/>
      <c r="Q261" s="22"/>
      <c r="R261" s="22"/>
    </row>
    <row r="262" hidden="1">
      <c r="A262" s="93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19"/>
      <c r="P262" s="22"/>
      <c r="Q262" s="22"/>
      <c r="R262" s="22"/>
    </row>
    <row r="263" hidden="1">
      <c r="A263" s="93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19"/>
      <c r="P263" s="22"/>
      <c r="Q263" s="22"/>
      <c r="R263" s="22"/>
    </row>
    <row r="264" hidden="1">
      <c r="A264" s="93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19"/>
      <c r="P264" s="22"/>
      <c r="Q264" s="22"/>
      <c r="R264" s="22"/>
    </row>
    <row r="265" hidden="1">
      <c r="A265" s="93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19"/>
      <c r="P265" s="22"/>
      <c r="Q265" s="22"/>
      <c r="R265" s="22"/>
    </row>
    <row r="266" hidden="1">
      <c r="A266" s="93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19"/>
      <c r="P266" s="22"/>
      <c r="Q266" s="22"/>
      <c r="R266" s="22"/>
    </row>
    <row r="267" hidden="1">
      <c r="A267" s="93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19"/>
      <c r="P267" s="22"/>
      <c r="Q267" s="22"/>
      <c r="R267" s="22"/>
    </row>
    <row r="268" hidden="1">
      <c r="A268" s="93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19"/>
      <c r="P268" s="22"/>
      <c r="Q268" s="22"/>
      <c r="R268" s="22"/>
    </row>
    <row r="269" hidden="1">
      <c r="A269" s="93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19"/>
      <c r="P269" s="22"/>
      <c r="Q269" s="22"/>
      <c r="R269" s="22"/>
    </row>
    <row r="270" hidden="1">
      <c r="A270" s="93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19"/>
      <c r="P270" s="22"/>
      <c r="Q270" s="22"/>
      <c r="R270" s="22"/>
    </row>
    <row r="271" hidden="1">
      <c r="A271" s="93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19"/>
      <c r="P271" s="22"/>
      <c r="Q271" s="22"/>
      <c r="R271" s="22"/>
    </row>
    <row r="272" hidden="1">
      <c r="A272" s="93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19"/>
      <c r="P272" s="22"/>
      <c r="Q272" s="22"/>
      <c r="R272" s="22"/>
    </row>
    <row r="273" hidden="1">
      <c r="A273" s="93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19"/>
      <c r="P273" s="22"/>
      <c r="Q273" s="22"/>
      <c r="R273" s="22"/>
    </row>
    <row r="274" hidden="1">
      <c r="A274" s="93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19"/>
      <c r="P274" s="22"/>
      <c r="Q274" s="22"/>
      <c r="R274" s="22"/>
    </row>
    <row r="275" hidden="1">
      <c r="A275" s="93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19"/>
      <c r="P275" s="22"/>
      <c r="Q275" s="22"/>
      <c r="R275" s="22"/>
    </row>
    <row r="276" hidden="1">
      <c r="A276" s="93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19"/>
      <c r="P276" s="22"/>
      <c r="Q276" s="22"/>
      <c r="R276" s="22"/>
    </row>
    <row r="277" hidden="1">
      <c r="A277" s="93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19"/>
      <c r="P277" s="22"/>
      <c r="Q277" s="22"/>
      <c r="R277" s="22"/>
    </row>
    <row r="278" hidden="1">
      <c r="A278" s="93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19"/>
      <c r="P278" s="22"/>
      <c r="Q278" s="22"/>
      <c r="R278" s="22"/>
    </row>
    <row r="279" hidden="1">
      <c r="A279" s="93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19"/>
      <c r="P279" s="22"/>
      <c r="Q279" s="22"/>
      <c r="R279" s="22"/>
    </row>
    <row r="280" hidden="1">
      <c r="A280" s="93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19"/>
      <c r="P280" s="22"/>
      <c r="Q280" s="22"/>
      <c r="R280" s="22"/>
    </row>
    <row r="281" hidden="1">
      <c r="A281" s="93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19"/>
      <c r="P281" s="22"/>
      <c r="Q281" s="22"/>
      <c r="R281" s="22"/>
    </row>
    <row r="282" hidden="1">
      <c r="A282" s="93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19"/>
      <c r="P282" s="22"/>
      <c r="Q282" s="22"/>
      <c r="R282" s="22"/>
    </row>
    <row r="283" hidden="1">
      <c r="A283" s="93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19"/>
      <c r="P283" s="22"/>
      <c r="Q283" s="22"/>
      <c r="R283" s="22"/>
    </row>
    <row r="284" hidden="1">
      <c r="A284" s="93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19"/>
      <c r="P284" s="22"/>
      <c r="Q284" s="22"/>
      <c r="R284" s="22"/>
    </row>
    <row r="285" hidden="1">
      <c r="A285" s="93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19"/>
      <c r="P285" s="22"/>
      <c r="Q285" s="22"/>
      <c r="R285" s="22"/>
    </row>
    <row r="286" hidden="1">
      <c r="A286" s="93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19"/>
      <c r="P286" s="22"/>
      <c r="Q286" s="22"/>
      <c r="R286" s="22"/>
    </row>
    <row r="287" hidden="1">
      <c r="A287" s="93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19"/>
      <c r="P287" s="22"/>
      <c r="Q287" s="22"/>
      <c r="R287" s="22"/>
    </row>
    <row r="288" hidden="1">
      <c r="A288" s="93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19"/>
      <c r="P288" s="22"/>
      <c r="Q288" s="22"/>
      <c r="R288" s="22"/>
    </row>
    <row r="289" hidden="1">
      <c r="A289" s="93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19"/>
      <c r="P289" s="22"/>
      <c r="Q289" s="22"/>
      <c r="R289" s="22"/>
    </row>
    <row r="290" hidden="1">
      <c r="A290" s="93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19"/>
      <c r="P290" s="22"/>
      <c r="Q290" s="22"/>
      <c r="R290" s="22"/>
    </row>
    <row r="291" hidden="1">
      <c r="A291" s="93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19"/>
      <c r="P291" s="22"/>
      <c r="Q291" s="22"/>
      <c r="R291" s="22"/>
    </row>
    <row r="292" hidden="1">
      <c r="A292" s="93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19"/>
      <c r="P292" s="22"/>
      <c r="Q292" s="22"/>
      <c r="R292" s="22"/>
    </row>
    <row r="293" hidden="1">
      <c r="A293" s="93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19"/>
      <c r="P293" s="22"/>
      <c r="Q293" s="22"/>
      <c r="R293" s="22"/>
    </row>
    <row r="294" hidden="1">
      <c r="A294" s="93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19"/>
      <c r="P294" s="22"/>
      <c r="Q294" s="22"/>
      <c r="R294" s="22"/>
    </row>
    <row r="295" hidden="1">
      <c r="A295" s="93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19"/>
      <c r="P295" s="22"/>
      <c r="Q295" s="22"/>
      <c r="R295" s="22"/>
    </row>
    <row r="296" hidden="1">
      <c r="A296" s="93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19"/>
      <c r="P296" s="22"/>
      <c r="Q296" s="22"/>
      <c r="R296" s="22"/>
    </row>
    <row r="297" hidden="1">
      <c r="A297" s="93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19"/>
      <c r="P297" s="22"/>
      <c r="Q297" s="22"/>
      <c r="R297" s="22"/>
    </row>
    <row r="298" hidden="1">
      <c r="A298" s="93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19"/>
      <c r="P298" s="22"/>
      <c r="Q298" s="22"/>
      <c r="R298" s="22"/>
    </row>
    <row r="299" hidden="1">
      <c r="A299" s="93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19"/>
      <c r="P299" s="22"/>
      <c r="Q299" s="22"/>
      <c r="R299" s="22"/>
    </row>
    <row r="300" hidden="1">
      <c r="A300" s="93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19"/>
      <c r="P300" s="22"/>
      <c r="Q300" s="22"/>
      <c r="R300" s="22"/>
    </row>
    <row r="301" hidden="1">
      <c r="A301" s="93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19"/>
      <c r="P301" s="22"/>
      <c r="Q301" s="22"/>
      <c r="R301" s="22"/>
    </row>
    <row r="302" hidden="1">
      <c r="A302" s="93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19"/>
      <c r="P302" s="22"/>
      <c r="Q302" s="22"/>
      <c r="R302" s="22"/>
    </row>
    <row r="303" hidden="1">
      <c r="A303" s="93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19"/>
      <c r="P303" s="22"/>
      <c r="Q303" s="22"/>
      <c r="R303" s="22"/>
    </row>
    <row r="304" hidden="1">
      <c r="A304" s="93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19"/>
      <c r="P304" s="22"/>
      <c r="Q304" s="22"/>
      <c r="R304" s="22"/>
    </row>
    <row r="305" hidden="1">
      <c r="A305" s="93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19"/>
      <c r="P305" s="22"/>
      <c r="Q305" s="22"/>
      <c r="R305" s="22"/>
    </row>
    <row r="306" hidden="1">
      <c r="A306" s="93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19"/>
      <c r="P306" s="22"/>
      <c r="Q306" s="22"/>
      <c r="R306" s="22"/>
    </row>
    <row r="307" hidden="1">
      <c r="A307" s="93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19"/>
      <c r="P307" s="22"/>
      <c r="Q307" s="22"/>
      <c r="R307" s="22"/>
    </row>
    <row r="308" hidden="1">
      <c r="A308" s="93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19"/>
      <c r="P308" s="22"/>
      <c r="Q308" s="22"/>
      <c r="R308" s="22"/>
    </row>
    <row r="309" hidden="1">
      <c r="A309" s="93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19"/>
      <c r="P309" s="22"/>
      <c r="Q309" s="22"/>
      <c r="R309" s="22"/>
    </row>
    <row r="310" hidden="1">
      <c r="A310" s="93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19"/>
      <c r="P310" s="22"/>
      <c r="Q310" s="22"/>
      <c r="R310" s="22"/>
    </row>
    <row r="311" hidden="1">
      <c r="A311" s="93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19"/>
      <c r="P311" s="22"/>
      <c r="Q311" s="22"/>
      <c r="R311" s="22"/>
    </row>
    <row r="312" hidden="1">
      <c r="A312" s="93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19"/>
      <c r="P312" s="22"/>
      <c r="Q312" s="22"/>
      <c r="R312" s="22"/>
    </row>
    <row r="313" hidden="1">
      <c r="A313" s="93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19"/>
      <c r="P313" s="22"/>
      <c r="Q313" s="22"/>
      <c r="R313" s="22"/>
    </row>
    <row r="314" hidden="1">
      <c r="A314" s="93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19"/>
      <c r="P314" s="22"/>
      <c r="Q314" s="22"/>
      <c r="R314" s="22"/>
    </row>
    <row r="315" hidden="1">
      <c r="A315" s="93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19"/>
      <c r="P315" s="22"/>
      <c r="Q315" s="22"/>
      <c r="R315" s="22"/>
    </row>
    <row r="316" hidden="1">
      <c r="A316" s="93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19"/>
      <c r="P316" s="22"/>
      <c r="Q316" s="22"/>
      <c r="R316" s="22"/>
    </row>
    <row r="317" hidden="1">
      <c r="A317" s="93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19"/>
      <c r="P317" s="22"/>
      <c r="Q317" s="22"/>
      <c r="R317" s="22"/>
    </row>
    <row r="318" hidden="1">
      <c r="A318" s="93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19"/>
      <c r="P318" s="22"/>
      <c r="Q318" s="22"/>
      <c r="R318" s="22"/>
    </row>
    <row r="319" hidden="1">
      <c r="A319" s="93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19"/>
      <c r="P319" s="22"/>
      <c r="Q319" s="22"/>
      <c r="R319" s="22"/>
    </row>
    <row r="320" hidden="1">
      <c r="A320" s="93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19"/>
      <c r="P320" s="22"/>
      <c r="Q320" s="22"/>
      <c r="R320" s="22"/>
    </row>
    <row r="321" hidden="1">
      <c r="A321" s="93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19"/>
      <c r="P321" s="22"/>
      <c r="Q321" s="22"/>
      <c r="R321" s="22"/>
    </row>
    <row r="322" hidden="1">
      <c r="A322" s="93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19"/>
      <c r="P322" s="22"/>
      <c r="Q322" s="22"/>
      <c r="R322" s="22"/>
    </row>
    <row r="323" hidden="1">
      <c r="A323" s="93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19"/>
      <c r="P323" s="22"/>
      <c r="Q323" s="22"/>
      <c r="R323" s="22"/>
    </row>
    <row r="324" hidden="1">
      <c r="A324" s="93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19"/>
      <c r="P324" s="22"/>
      <c r="Q324" s="22"/>
      <c r="R324" s="22"/>
    </row>
    <row r="325" hidden="1">
      <c r="A325" s="93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19"/>
      <c r="P325" s="22"/>
      <c r="Q325" s="22"/>
      <c r="R325" s="22"/>
    </row>
    <row r="326" hidden="1">
      <c r="A326" s="93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19"/>
      <c r="P326" s="22"/>
      <c r="Q326" s="22"/>
      <c r="R326" s="22"/>
    </row>
    <row r="327" hidden="1">
      <c r="A327" s="93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19"/>
      <c r="P327" s="22"/>
      <c r="Q327" s="22"/>
      <c r="R327" s="22"/>
    </row>
    <row r="328" hidden="1">
      <c r="A328" s="93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19"/>
      <c r="P328" s="22"/>
      <c r="Q328" s="22"/>
      <c r="R328" s="22"/>
    </row>
    <row r="329" hidden="1">
      <c r="A329" s="93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19"/>
      <c r="P329" s="22"/>
      <c r="Q329" s="22"/>
      <c r="R329" s="22"/>
    </row>
    <row r="330" hidden="1">
      <c r="A330" s="93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19"/>
      <c r="P330" s="22"/>
      <c r="Q330" s="22"/>
      <c r="R330" s="22"/>
    </row>
    <row r="331" hidden="1">
      <c r="A331" s="93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19"/>
      <c r="P331" s="22"/>
      <c r="Q331" s="22"/>
      <c r="R331" s="22"/>
    </row>
    <row r="332" hidden="1">
      <c r="A332" s="93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19"/>
      <c r="P332" s="22"/>
      <c r="Q332" s="22"/>
      <c r="R332" s="22"/>
    </row>
    <row r="333" hidden="1">
      <c r="A333" s="93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19"/>
      <c r="P333" s="22"/>
      <c r="Q333" s="22"/>
      <c r="R333" s="22"/>
    </row>
    <row r="334" hidden="1">
      <c r="A334" s="93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19"/>
      <c r="P334" s="22"/>
      <c r="Q334" s="22"/>
      <c r="R334" s="22"/>
    </row>
    <row r="335" hidden="1">
      <c r="A335" s="93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19"/>
      <c r="P335" s="22"/>
      <c r="Q335" s="22"/>
      <c r="R335" s="22"/>
    </row>
    <row r="336" hidden="1">
      <c r="A336" s="93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19"/>
      <c r="P336" s="22"/>
      <c r="Q336" s="22"/>
      <c r="R336" s="22"/>
    </row>
    <row r="337" hidden="1">
      <c r="A337" s="93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19"/>
      <c r="P337" s="22"/>
      <c r="Q337" s="22"/>
      <c r="R337" s="22"/>
    </row>
    <row r="338" hidden="1">
      <c r="A338" s="93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19"/>
      <c r="P338" s="22"/>
      <c r="Q338" s="22"/>
      <c r="R338" s="22"/>
    </row>
    <row r="339" hidden="1">
      <c r="A339" s="93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19"/>
      <c r="P339" s="22"/>
      <c r="Q339" s="22"/>
      <c r="R339" s="22"/>
    </row>
    <row r="340" hidden="1">
      <c r="A340" s="93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19"/>
      <c r="P340" s="22"/>
      <c r="Q340" s="22"/>
      <c r="R340" s="22"/>
    </row>
    <row r="341" hidden="1">
      <c r="A341" s="93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19"/>
      <c r="P341" s="22"/>
      <c r="Q341" s="22"/>
      <c r="R341" s="22"/>
    </row>
    <row r="342" hidden="1">
      <c r="A342" s="93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19"/>
      <c r="P342" s="22"/>
      <c r="Q342" s="22"/>
      <c r="R342" s="22"/>
    </row>
    <row r="343" hidden="1">
      <c r="A343" s="93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19"/>
      <c r="P343" s="22"/>
      <c r="Q343" s="22"/>
      <c r="R343" s="22"/>
    </row>
    <row r="344" hidden="1">
      <c r="A344" s="93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19"/>
      <c r="P344" s="22"/>
      <c r="Q344" s="22"/>
      <c r="R344" s="22"/>
    </row>
    <row r="345" hidden="1">
      <c r="A345" s="93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19"/>
      <c r="P345" s="22"/>
      <c r="Q345" s="22"/>
      <c r="R345" s="22"/>
    </row>
    <row r="346" hidden="1">
      <c r="A346" s="93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19"/>
      <c r="P346" s="22"/>
      <c r="Q346" s="22"/>
      <c r="R346" s="22"/>
    </row>
    <row r="347" hidden="1">
      <c r="A347" s="93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19"/>
      <c r="P347" s="22"/>
      <c r="Q347" s="22"/>
      <c r="R347" s="22"/>
    </row>
    <row r="348" hidden="1">
      <c r="A348" s="93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19"/>
      <c r="P348" s="22"/>
      <c r="Q348" s="22"/>
      <c r="R348" s="22"/>
    </row>
    <row r="349" hidden="1">
      <c r="A349" s="93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19"/>
      <c r="P349" s="22"/>
      <c r="Q349" s="22"/>
      <c r="R349" s="22"/>
    </row>
    <row r="350" hidden="1">
      <c r="A350" s="93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19"/>
      <c r="P350" s="22"/>
      <c r="Q350" s="22"/>
      <c r="R350" s="22"/>
    </row>
    <row r="351" hidden="1">
      <c r="A351" s="93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19"/>
      <c r="P351" s="22"/>
      <c r="Q351" s="22"/>
      <c r="R351" s="22"/>
    </row>
    <row r="352" hidden="1">
      <c r="A352" s="93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19"/>
      <c r="P352" s="22"/>
      <c r="Q352" s="22"/>
      <c r="R352" s="22"/>
    </row>
    <row r="353" hidden="1">
      <c r="A353" s="93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19"/>
      <c r="P353" s="22"/>
      <c r="Q353" s="22"/>
      <c r="R353" s="22"/>
    </row>
    <row r="354" hidden="1">
      <c r="A354" s="93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19"/>
      <c r="P354" s="22"/>
      <c r="Q354" s="22"/>
      <c r="R354" s="22"/>
    </row>
    <row r="355" hidden="1">
      <c r="A355" s="93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19"/>
      <c r="P355" s="22"/>
      <c r="Q355" s="22"/>
      <c r="R355" s="22"/>
    </row>
    <row r="356" hidden="1">
      <c r="A356" s="93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19"/>
      <c r="P356" s="22"/>
      <c r="Q356" s="22"/>
      <c r="R356" s="22"/>
    </row>
    <row r="357" hidden="1">
      <c r="A357" s="93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19"/>
      <c r="P357" s="22"/>
      <c r="Q357" s="22"/>
      <c r="R357" s="22"/>
    </row>
    <row r="358" hidden="1">
      <c r="A358" s="93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19"/>
      <c r="P358" s="22"/>
      <c r="Q358" s="22"/>
      <c r="R358" s="22"/>
    </row>
    <row r="359" hidden="1">
      <c r="A359" s="93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19"/>
      <c r="P359" s="22"/>
      <c r="Q359" s="22"/>
      <c r="R359" s="22"/>
    </row>
    <row r="360" hidden="1">
      <c r="A360" s="93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19"/>
      <c r="P360" s="22"/>
      <c r="Q360" s="22"/>
      <c r="R360" s="22"/>
    </row>
    <row r="361" hidden="1">
      <c r="A361" s="93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19"/>
      <c r="P361" s="22"/>
      <c r="Q361" s="22"/>
      <c r="R361" s="22"/>
    </row>
    <row r="362" hidden="1">
      <c r="A362" s="93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19"/>
      <c r="P362" s="22"/>
      <c r="Q362" s="22"/>
      <c r="R362" s="22"/>
    </row>
    <row r="363" hidden="1">
      <c r="A363" s="93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19"/>
      <c r="P363" s="22"/>
      <c r="Q363" s="22"/>
      <c r="R363" s="22"/>
    </row>
    <row r="364" hidden="1">
      <c r="A364" s="93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19"/>
      <c r="P364" s="22"/>
      <c r="Q364" s="22"/>
      <c r="R364" s="22"/>
    </row>
    <row r="365" hidden="1">
      <c r="A365" s="93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19"/>
      <c r="P365" s="22"/>
      <c r="Q365" s="22"/>
      <c r="R365" s="22"/>
    </row>
    <row r="366" hidden="1">
      <c r="A366" s="93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19"/>
      <c r="P366" s="22"/>
      <c r="Q366" s="22"/>
      <c r="R366" s="22"/>
    </row>
    <row r="367" hidden="1">
      <c r="A367" s="93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19"/>
      <c r="P367" s="22"/>
      <c r="Q367" s="22"/>
      <c r="R367" s="22"/>
    </row>
    <row r="368" hidden="1">
      <c r="A368" s="93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19"/>
      <c r="P368" s="22"/>
      <c r="Q368" s="22"/>
      <c r="R368" s="22"/>
    </row>
    <row r="369" hidden="1">
      <c r="A369" s="93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19"/>
      <c r="P369" s="22"/>
      <c r="Q369" s="22"/>
      <c r="R369" s="22"/>
    </row>
    <row r="370" hidden="1">
      <c r="A370" s="93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19"/>
      <c r="P370" s="22"/>
      <c r="Q370" s="22"/>
      <c r="R370" s="22"/>
    </row>
    <row r="371" hidden="1">
      <c r="A371" s="93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19"/>
      <c r="P371" s="22"/>
      <c r="Q371" s="22"/>
      <c r="R371" s="22"/>
    </row>
    <row r="372" hidden="1">
      <c r="A372" s="93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19"/>
      <c r="P372" s="22"/>
      <c r="Q372" s="22"/>
      <c r="R372" s="22"/>
    </row>
    <row r="373" hidden="1">
      <c r="A373" s="93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19"/>
      <c r="P373" s="22"/>
      <c r="Q373" s="22"/>
      <c r="R373" s="22"/>
    </row>
    <row r="374" hidden="1">
      <c r="A374" s="93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19"/>
      <c r="P374" s="22"/>
      <c r="Q374" s="22"/>
      <c r="R374" s="22"/>
    </row>
    <row r="375" hidden="1">
      <c r="A375" s="93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19"/>
      <c r="P375" s="22"/>
      <c r="Q375" s="22"/>
      <c r="R375" s="22"/>
    </row>
    <row r="376" hidden="1">
      <c r="A376" s="93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19"/>
      <c r="P376" s="22"/>
      <c r="Q376" s="22"/>
      <c r="R376" s="22"/>
    </row>
    <row r="377" hidden="1">
      <c r="A377" s="93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19"/>
      <c r="P377" s="22"/>
      <c r="Q377" s="22"/>
      <c r="R377" s="22"/>
    </row>
    <row r="378" hidden="1">
      <c r="A378" s="93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19"/>
      <c r="P378" s="22"/>
      <c r="Q378" s="22"/>
      <c r="R378" s="22"/>
    </row>
    <row r="379" hidden="1">
      <c r="A379" s="93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19"/>
      <c r="P379" s="22"/>
      <c r="Q379" s="22"/>
      <c r="R379" s="22"/>
    </row>
    <row r="380" hidden="1">
      <c r="A380" s="93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19"/>
      <c r="P380" s="22"/>
      <c r="Q380" s="22"/>
      <c r="R380" s="22"/>
    </row>
    <row r="381" hidden="1">
      <c r="A381" s="93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19"/>
      <c r="P381" s="22"/>
      <c r="Q381" s="22"/>
      <c r="R381" s="22"/>
    </row>
    <row r="382" hidden="1">
      <c r="A382" s="93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19"/>
      <c r="P382" s="22"/>
      <c r="Q382" s="22"/>
      <c r="R382" s="22"/>
    </row>
    <row r="383" hidden="1">
      <c r="A383" s="93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19"/>
      <c r="P383" s="22"/>
      <c r="Q383" s="22"/>
      <c r="R383" s="22"/>
    </row>
    <row r="384" hidden="1">
      <c r="A384" s="93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19"/>
      <c r="P384" s="22"/>
      <c r="Q384" s="22"/>
      <c r="R384" s="22"/>
    </row>
    <row r="385" hidden="1">
      <c r="A385" s="93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19"/>
      <c r="P385" s="22"/>
      <c r="Q385" s="22"/>
      <c r="R385" s="22"/>
    </row>
    <row r="386" hidden="1">
      <c r="A386" s="93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19"/>
      <c r="P386" s="22"/>
      <c r="Q386" s="22"/>
      <c r="R386" s="22"/>
    </row>
    <row r="387" hidden="1">
      <c r="A387" s="93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19"/>
      <c r="P387" s="22"/>
      <c r="Q387" s="22"/>
      <c r="R387" s="22"/>
    </row>
    <row r="388" hidden="1">
      <c r="A388" s="93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19"/>
      <c r="P388" s="22"/>
      <c r="Q388" s="22"/>
      <c r="R388" s="22"/>
    </row>
    <row r="389" hidden="1">
      <c r="A389" s="93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19"/>
      <c r="P389" s="22"/>
      <c r="Q389" s="22"/>
      <c r="R389" s="22"/>
    </row>
    <row r="390" hidden="1">
      <c r="A390" s="93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19"/>
      <c r="P390" s="22"/>
      <c r="Q390" s="22"/>
      <c r="R390" s="22"/>
    </row>
    <row r="391" hidden="1">
      <c r="A391" s="93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19"/>
      <c r="P391" s="22"/>
      <c r="Q391" s="22"/>
      <c r="R391" s="22"/>
    </row>
    <row r="392" hidden="1">
      <c r="A392" s="93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19"/>
      <c r="P392" s="22"/>
      <c r="Q392" s="22"/>
      <c r="R392" s="22"/>
    </row>
    <row r="393" hidden="1">
      <c r="A393" s="93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19"/>
      <c r="P393" s="22"/>
      <c r="Q393" s="22"/>
      <c r="R393" s="22"/>
    </row>
    <row r="394" hidden="1">
      <c r="A394" s="93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19"/>
      <c r="P394" s="22"/>
      <c r="Q394" s="22"/>
      <c r="R394" s="22"/>
    </row>
    <row r="395" hidden="1">
      <c r="A395" s="93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19"/>
      <c r="P395" s="22"/>
      <c r="Q395" s="22"/>
      <c r="R395" s="22"/>
    </row>
    <row r="396" hidden="1">
      <c r="A396" s="93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19"/>
      <c r="P396" s="22"/>
      <c r="Q396" s="22"/>
      <c r="R396" s="22"/>
    </row>
    <row r="397" hidden="1">
      <c r="A397" s="93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19"/>
      <c r="P397" s="22"/>
      <c r="Q397" s="22"/>
      <c r="R397" s="22"/>
    </row>
    <row r="398" hidden="1">
      <c r="A398" s="93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19"/>
      <c r="P398" s="22"/>
      <c r="Q398" s="22"/>
      <c r="R398" s="22"/>
    </row>
    <row r="399" hidden="1">
      <c r="A399" s="93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19"/>
      <c r="P399" s="22"/>
      <c r="Q399" s="22"/>
      <c r="R399" s="22"/>
    </row>
    <row r="400" hidden="1">
      <c r="A400" s="93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19"/>
      <c r="P400" s="22"/>
      <c r="Q400" s="22"/>
      <c r="R400" s="22"/>
    </row>
    <row r="401" hidden="1">
      <c r="A401" s="93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19"/>
      <c r="P401" s="22"/>
      <c r="Q401" s="22"/>
      <c r="R401" s="22"/>
    </row>
    <row r="402" hidden="1">
      <c r="A402" s="93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19"/>
      <c r="P402" s="22"/>
      <c r="Q402" s="22"/>
      <c r="R402" s="22"/>
    </row>
    <row r="403" hidden="1">
      <c r="A403" s="93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19"/>
      <c r="P403" s="22"/>
      <c r="Q403" s="22"/>
      <c r="R403" s="22"/>
    </row>
    <row r="404" hidden="1">
      <c r="A404" s="93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19"/>
      <c r="P404" s="22"/>
      <c r="Q404" s="22"/>
      <c r="R404" s="22"/>
    </row>
    <row r="405" hidden="1">
      <c r="A405" s="93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19"/>
      <c r="P405" s="22"/>
      <c r="Q405" s="22"/>
      <c r="R405" s="22"/>
    </row>
    <row r="406" hidden="1">
      <c r="A406" s="93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19"/>
      <c r="P406" s="22"/>
      <c r="Q406" s="22"/>
      <c r="R406" s="22"/>
    </row>
    <row r="407" hidden="1">
      <c r="A407" s="93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19"/>
      <c r="P407" s="22"/>
      <c r="Q407" s="22"/>
      <c r="R407" s="22"/>
    </row>
    <row r="408" hidden="1">
      <c r="A408" s="93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19"/>
      <c r="P408" s="22"/>
      <c r="Q408" s="22"/>
      <c r="R408" s="22"/>
    </row>
    <row r="409" hidden="1">
      <c r="A409" s="93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19"/>
      <c r="P409" s="22"/>
      <c r="Q409" s="22"/>
      <c r="R409" s="22"/>
    </row>
    <row r="410" hidden="1">
      <c r="A410" s="93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19"/>
      <c r="P410" s="22"/>
      <c r="Q410" s="22"/>
      <c r="R410" s="22"/>
    </row>
    <row r="411" hidden="1">
      <c r="A411" s="93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19"/>
      <c r="P411" s="22"/>
      <c r="Q411" s="22"/>
      <c r="R411" s="22"/>
    </row>
    <row r="412" hidden="1">
      <c r="A412" s="93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19"/>
      <c r="P412" s="22"/>
      <c r="Q412" s="22"/>
      <c r="R412" s="22"/>
    </row>
    <row r="413" hidden="1">
      <c r="A413" s="93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19"/>
      <c r="P413" s="22"/>
      <c r="Q413" s="22"/>
      <c r="R413" s="22"/>
    </row>
    <row r="414" hidden="1">
      <c r="A414" s="93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19"/>
      <c r="P414" s="22"/>
      <c r="Q414" s="22"/>
      <c r="R414" s="22"/>
    </row>
    <row r="415" hidden="1">
      <c r="A415" s="93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19"/>
      <c r="P415" s="22"/>
      <c r="Q415" s="22"/>
      <c r="R415" s="22"/>
    </row>
    <row r="416" hidden="1">
      <c r="A416" s="93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19"/>
      <c r="P416" s="22"/>
      <c r="Q416" s="22"/>
      <c r="R416" s="22"/>
    </row>
    <row r="417" hidden="1">
      <c r="A417" s="93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19"/>
      <c r="P417" s="22"/>
      <c r="Q417" s="22"/>
      <c r="R417" s="22"/>
    </row>
    <row r="418" hidden="1">
      <c r="A418" s="93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19"/>
      <c r="P418" s="22"/>
      <c r="Q418" s="22"/>
      <c r="R418" s="22"/>
    </row>
    <row r="419" hidden="1">
      <c r="A419" s="93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19"/>
      <c r="P419" s="22"/>
      <c r="Q419" s="22"/>
      <c r="R419" s="22"/>
    </row>
    <row r="420" hidden="1">
      <c r="A420" s="93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19"/>
      <c r="P420" s="22"/>
      <c r="Q420" s="22"/>
      <c r="R420" s="22"/>
    </row>
    <row r="421" hidden="1">
      <c r="A421" s="93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19"/>
      <c r="P421" s="22"/>
      <c r="Q421" s="22"/>
      <c r="R421" s="22"/>
    </row>
    <row r="422" hidden="1">
      <c r="A422" s="93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19"/>
      <c r="P422" s="22"/>
      <c r="Q422" s="22"/>
      <c r="R422" s="22"/>
    </row>
    <row r="423" hidden="1">
      <c r="A423" s="93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19"/>
      <c r="P423" s="22"/>
      <c r="Q423" s="22"/>
      <c r="R423" s="22"/>
    </row>
    <row r="424" hidden="1">
      <c r="A424" s="93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19"/>
      <c r="P424" s="22"/>
      <c r="Q424" s="22"/>
      <c r="R424" s="22"/>
    </row>
    <row r="425" hidden="1">
      <c r="A425" s="93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19"/>
      <c r="P425" s="22"/>
      <c r="Q425" s="22"/>
      <c r="R425" s="22"/>
    </row>
    <row r="426" hidden="1">
      <c r="A426" s="93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19"/>
      <c r="P426" s="22"/>
      <c r="Q426" s="22"/>
      <c r="R426" s="22"/>
    </row>
    <row r="427" hidden="1">
      <c r="A427" s="93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19"/>
      <c r="P427" s="22"/>
      <c r="Q427" s="22"/>
      <c r="R427" s="22"/>
    </row>
    <row r="428" hidden="1">
      <c r="A428" s="93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19"/>
      <c r="P428" s="22"/>
      <c r="Q428" s="22"/>
      <c r="R428" s="22"/>
    </row>
    <row r="429" hidden="1">
      <c r="A429" s="93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19"/>
      <c r="P429" s="22"/>
      <c r="Q429" s="22"/>
      <c r="R429" s="22"/>
    </row>
    <row r="430" hidden="1">
      <c r="A430" s="93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19"/>
      <c r="P430" s="22"/>
      <c r="Q430" s="22"/>
      <c r="R430" s="22"/>
    </row>
    <row r="431" hidden="1">
      <c r="A431" s="93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19"/>
      <c r="P431" s="22"/>
      <c r="Q431" s="22"/>
      <c r="R431" s="22"/>
    </row>
    <row r="432" hidden="1">
      <c r="A432" s="93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19"/>
      <c r="P432" s="22"/>
      <c r="Q432" s="22"/>
      <c r="R432" s="22"/>
    </row>
    <row r="433" hidden="1">
      <c r="A433" s="93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19"/>
      <c r="P433" s="22"/>
      <c r="Q433" s="22"/>
      <c r="R433" s="22"/>
    </row>
    <row r="434" hidden="1">
      <c r="A434" s="93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19"/>
      <c r="P434" s="22"/>
      <c r="Q434" s="22"/>
      <c r="R434" s="22"/>
    </row>
    <row r="435" hidden="1">
      <c r="A435" s="93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19"/>
      <c r="P435" s="22"/>
      <c r="Q435" s="22"/>
      <c r="R435" s="22"/>
    </row>
    <row r="436" hidden="1">
      <c r="A436" s="93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19"/>
      <c r="P436" s="22"/>
      <c r="Q436" s="22"/>
      <c r="R436" s="22"/>
    </row>
    <row r="437" hidden="1">
      <c r="A437" s="93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19"/>
      <c r="P437" s="22"/>
      <c r="Q437" s="22"/>
      <c r="R437" s="22"/>
    </row>
    <row r="438" hidden="1">
      <c r="A438" s="93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19"/>
      <c r="P438" s="22"/>
      <c r="Q438" s="22"/>
      <c r="R438" s="22"/>
    </row>
    <row r="439" hidden="1">
      <c r="A439" s="93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19"/>
      <c r="P439" s="22"/>
      <c r="Q439" s="22"/>
      <c r="R439" s="22"/>
    </row>
    <row r="440" hidden="1">
      <c r="A440" s="93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19"/>
      <c r="P440" s="22"/>
      <c r="Q440" s="22"/>
      <c r="R440" s="22"/>
    </row>
    <row r="441" hidden="1">
      <c r="A441" s="93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19"/>
      <c r="P441" s="22"/>
      <c r="Q441" s="22"/>
      <c r="R441" s="22"/>
    </row>
    <row r="442" hidden="1">
      <c r="A442" s="93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19"/>
      <c r="P442" s="22"/>
      <c r="Q442" s="22"/>
      <c r="R442" s="22"/>
    </row>
    <row r="443" hidden="1">
      <c r="A443" s="93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19"/>
      <c r="P443" s="22"/>
      <c r="Q443" s="22"/>
      <c r="R443" s="22"/>
    </row>
    <row r="444" hidden="1">
      <c r="A444" s="93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19"/>
      <c r="P444" s="22"/>
      <c r="Q444" s="22"/>
      <c r="R444" s="22"/>
    </row>
    <row r="445" hidden="1">
      <c r="A445" s="93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19"/>
      <c r="P445" s="22"/>
      <c r="Q445" s="22"/>
      <c r="R445" s="22"/>
    </row>
    <row r="446" hidden="1">
      <c r="A446" s="93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19"/>
      <c r="P446" s="22"/>
      <c r="Q446" s="22"/>
      <c r="R446" s="22"/>
    </row>
    <row r="447" hidden="1">
      <c r="A447" s="93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19"/>
      <c r="P447" s="22"/>
      <c r="Q447" s="22"/>
      <c r="R447" s="22"/>
    </row>
    <row r="448" hidden="1">
      <c r="A448" s="93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19"/>
      <c r="P448" s="22"/>
      <c r="Q448" s="22"/>
      <c r="R448" s="22"/>
    </row>
    <row r="449" hidden="1">
      <c r="A449" s="93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19"/>
      <c r="P449" s="22"/>
      <c r="Q449" s="22"/>
      <c r="R449" s="22"/>
    </row>
    <row r="450" hidden="1">
      <c r="A450" s="93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19"/>
      <c r="P450" s="22"/>
      <c r="Q450" s="22"/>
      <c r="R450" s="22"/>
    </row>
    <row r="451" hidden="1">
      <c r="A451" s="93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19"/>
      <c r="P451" s="22"/>
      <c r="Q451" s="22"/>
      <c r="R451" s="22"/>
    </row>
    <row r="452" hidden="1">
      <c r="A452" s="93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19"/>
      <c r="P452" s="22"/>
      <c r="Q452" s="22"/>
      <c r="R452" s="22"/>
    </row>
    <row r="453" hidden="1">
      <c r="A453" s="93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19"/>
      <c r="P453" s="22"/>
      <c r="Q453" s="22"/>
      <c r="R453" s="22"/>
    </row>
    <row r="454" hidden="1">
      <c r="A454" s="93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19"/>
      <c r="P454" s="22"/>
      <c r="Q454" s="22"/>
      <c r="R454" s="22"/>
    </row>
    <row r="455" hidden="1">
      <c r="A455" s="93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19"/>
      <c r="P455" s="22"/>
      <c r="Q455" s="22"/>
      <c r="R455" s="22"/>
    </row>
    <row r="456" hidden="1">
      <c r="A456" s="93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19"/>
      <c r="P456" s="22"/>
      <c r="Q456" s="22"/>
      <c r="R456" s="22"/>
    </row>
    <row r="457" hidden="1">
      <c r="A457" s="93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19"/>
      <c r="P457" s="22"/>
      <c r="Q457" s="22"/>
      <c r="R457" s="22"/>
    </row>
    <row r="458" hidden="1">
      <c r="A458" s="93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19"/>
      <c r="P458" s="22"/>
      <c r="Q458" s="22"/>
      <c r="R458" s="22"/>
    </row>
    <row r="459" hidden="1">
      <c r="A459" s="93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19"/>
      <c r="P459" s="22"/>
      <c r="Q459" s="22"/>
      <c r="R459" s="22"/>
    </row>
    <row r="460" hidden="1">
      <c r="A460" s="93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19"/>
      <c r="P460" s="22"/>
      <c r="Q460" s="22"/>
      <c r="R460" s="22"/>
    </row>
    <row r="461" hidden="1">
      <c r="A461" s="93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19"/>
      <c r="P461" s="22"/>
      <c r="Q461" s="22"/>
      <c r="R461" s="22"/>
    </row>
    <row r="462" hidden="1">
      <c r="A462" s="93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19"/>
      <c r="P462" s="22"/>
      <c r="Q462" s="22"/>
      <c r="R462" s="22"/>
    </row>
    <row r="463" hidden="1">
      <c r="A463" s="93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19"/>
      <c r="P463" s="22"/>
      <c r="Q463" s="22"/>
      <c r="R463" s="22"/>
    </row>
    <row r="464" hidden="1">
      <c r="A464" s="93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19"/>
      <c r="P464" s="22"/>
      <c r="Q464" s="22"/>
      <c r="R464" s="22"/>
    </row>
    <row r="465" hidden="1">
      <c r="A465" s="93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19"/>
      <c r="P465" s="22"/>
      <c r="Q465" s="22"/>
      <c r="R465" s="22"/>
    </row>
    <row r="466" hidden="1">
      <c r="A466" s="93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19"/>
      <c r="P466" s="22"/>
      <c r="Q466" s="22"/>
      <c r="R466" s="22"/>
    </row>
    <row r="467" hidden="1">
      <c r="A467" s="93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19"/>
      <c r="P467" s="22"/>
      <c r="Q467" s="22"/>
      <c r="R467" s="22"/>
    </row>
    <row r="468" hidden="1">
      <c r="A468" s="93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19"/>
      <c r="P468" s="22"/>
      <c r="Q468" s="22"/>
      <c r="R468" s="22"/>
    </row>
    <row r="469" hidden="1">
      <c r="A469" s="93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19"/>
      <c r="P469" s="22"/>
      <c r="Q469" s="22"/>
      <c r="R469" s="22"/>
    </row>
    <row r="470" hidden="1">
      <c r="A470" s="93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19"/>
      <c r="P470" s="22"/>
      <c r="Q470" s="22"/>
      <c r="R470" s="22"/>
    </row>
    <row r="471" hidden="1">
      <c r="A471" s="93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19"/>
      <c r="P471" s="22"/>
      <c r="Q471" s="22"/>
      <c r="R471" s="22"/>
    </row>
    <row r="472" hidden="1">
      <c r="A472" s="93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19"/>
      <c r="P472" s="22"/>
      <c r="Q472" s="22"/>
      <c r="R472" s="22"/>
    </row>
    <row r="473" hidden="1">
      <c r="A473" s="93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19"/>
      <c r="P473" s="22"/>
      <c r="Q473" s="22"/>
      <c r="R473" s="22"/>
    </row>
    <row r="474" hidden="1">
      <c r="A474" s="93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19"/>
      <c r="P474" s="22"/>
      <c r="Q474" s="22"/>
      <c r="R474" s="22"/>
    </row>
    <row r="475" hidden="1">
      <c r="A475" s="93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19"/>
      <c r="P475" s="22"/>
      <c r="Q475" s="22"/>
      <c r="R475" s="22"/>
    </row>
    <row r="476" hidden="1">
      <c r="A476" s="93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19"/>
      <c r="P476" s="22"/>
      <c r="Q476" s="22"/>
      <c r="R476" s="22"/>
    </row>
    <row r="477" hidden="1">
      <c r="A477" s="93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19"/>
      <c r="P477" s="22"/>
      <c r="Q477" s="22"/>
      <c r="R477" s="22"/>
    </row>
    <row r="478" hidden="1">
      <c r="A478" s="93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19"/>
      <c r="P478" s="22"/>
      <c r="Q478" s="22"/>
      <c r="R478" s="22"/>
    </row>
    <row r="479" hidden="1">
      <c r="A479" s="93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19"/>
      <c r="P479" s="22"/>
      <c r="Q479" s="22"/>
      <c r="R479" s="22"/>
    </row>
    <row r="480" hidden="1">
      <c r="A480" s="93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19"/>
      <c r="P480" s="22"/>
      <c r="Q480" s="22"/>
      <c r="R480" s="22"/>
    </row>
    <row r="481" hidden="1">
      <c r="A481" s="93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19"/>
      <c r="P481" s="22"/>
      <c r="Q481" s="22"/>
      <c r="R481" s="22"/>
    </row>
    <row r="482" hidden="1">
      <c r="A482" s="93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19"/>
      <c r="P482" s="22"/>
      <c r="Q482" s="22"/>
      <c r="R482" s="22"/>
    </row>
    <row r="483" hidden="1">
      <c r="A483" s="93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19"/>
      <c r="P483" s="22"/>
      <c r="Q483" s="22"/>
      <c r="R483" s="22"/>
    </row>
    <row r="484" hidden="1">
      <c r="A484" s="93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19"/>
      <c r="P484" s="22"/>
      <c r="Q484" s="22"/>
      <c r="R484" s="22"/>
    </row>
    <row r="485" hidden="1">
      <c r="A485" s="93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19"/>
      <c r="P485" s="22"/>
      <c r="Q485" s="22"/>
      <c r="R485" s="22"/>
    </row>
    <row r="486" hidden="1">
      <c r="A486" s="93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19"/>
      <c r="P486" s="22"/>
      <c r="Q486" s="22"/>
      <c r="R486" s="22"/>
    </row>
    <row r="487" hidden="1">
      <c r="A487" s="93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19"/>
      <c r="P487" s="22"/>
      <c r="Q487" s="22"/>
      <c r="R487" s="22"/>
    </row>
    <row r="488" hidden="1">
      <c r="A488" s="93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19"/>
      <c r="P488" s="22"/>
      <c r="Q488" s="22"/>
      <c r="R488" s="22"/>
    </row>
    <row r="489" hidden="1">
      <c r="A489" s="93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19"/>
      <c r="P489" s="22"/>
      <c r="Q489" s="22"/>
      <c r="R489" s="22"/>
    </row>
    <row r="490" hidden="1">
      <c r="A490" s="93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19"/>
      <c r="P490" s="22"/>
      <c r="Q490" s="22"/>
      <c r="R490" s="22"/>
    </row>
    <row r="491" hidden="1">
      <c r="A491" s="93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19"/>
      <c r="P491" s="22"/>
      <c r="Q491" s="22"/>
      <c r="R491" s="22"/>
    </row>
    <row r="492" hidden="1">
      <c r="A492" s="93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19"/>
      <c r="P492" s="22"/>
      <c r="Q492" s="22"/>
      <c r="R492" s="22"/>
    </row>
    <row r="493" hidden="1">
      <c r="A493" s="93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19"/>
      <c r="P493" s="22"/>
      <c r="Q493" s="22"/>
      <c r="R493" s="22"/>
    </row>
    <row r="494" hidden="1">
      <c r="A494" s="93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19"/>
      <c r="P494" s="22"/>
      <c r="Q494" s="22"/>
      <c r="R494" s="22"/>
    </row>
    <row r="495" hidden="1">
      <c r="A495" s="93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19"/>
      <c r="P495" s="22"/>
      <c r="Q495" s="22"/>
      <c r="R495" s="22"/>
    </row>
    <row r="496" hidden="1">
      <c r="A496" s="93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19"/>
      <c r="P496" s="22"/>
      <c r="Q496" s="22"/>
      <c r="R496" s="22"/>
    </row>
    <row r="497" hidden="1">
      <c r="A497" s="93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19"/>
      <c r="P497" s="22"/>
      <c r="Q497" s="22"/>
      <c r="R497" s="22"/>
    </row>
    <row r="498" hidden="1">
      <c r="A498" s="93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19"/>
      <c r="P498" s="22"/>
      <c r="Q498" s="22"/>
      <c r="R498" s="22"/>
    </row>
    <row r="499" hidden="1">
      <c r="A499" s="93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19"/>
      <c r="P499" s="22"/>
      <c r="Q499" s="22"/>
      <c r="R499" s="22"/>
    </row>
    <row r="500" hidden="1">
      <c r="A500" s="93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19"/>
      <c r="P500" s="22"/>
      <c r="Q500" s="22"/>
      <c r="R500" s="22"/>
    </row>
    <row r="501" hidden="1">
      <c r="A501" s="93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19"/>
      <c r="P501" s="22"/>
      <c r="Q501" s="22"/>
      <c r="R501" s="22"/>
    </row>
    <row r="502" hidden="1">
      <c r="A502" s="93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19"/>
      <c r="P502" s="22"/>
      <c r="Q502" s="22"/>
      <c r="R502" s="22"/>
    </row>
    <row r="503" hidden="1">
      <c r="A503" s="93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19"/>
      <c r="P503" s="22"/>
      <c r="Q503" s="22"/>
      <c r="R503" s="22"/>
    </row>
    <row r="504" hidden="1">
      <c r="A504" s="93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19"/>
      <c r="P504" s="22"/>
      <c r="Q504" s="22"/>
      <c r="R504" s="22"/>
    </row>
    <row r="505" hidden="1">
      <c r="A505" s="93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19"/>
      <c r="P505" s="22"/>
      <c r="Q505" s="22"/>
      <c r="R505" s="22"/>
    </row>
    <row r="506" hidden="1">
      <c r="A506" s="93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19"/>
      <c r="P506" s="22"/>
      <c r="Q506" s="22"/>
      <c r="R506" s="22"/>
    </row>
    <row r="507" hidden="1">
      <c r="A507" s="93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19"/>
      <c r="P507" s="22"/>
      <c r="Q507" s="22"/>
      <c r="R507" s="22"/>
    </row>
    <row r="508" hidden="1">
      <c r="A508" s="93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19"/>
      <c r="P508" s="22"/>
      <c r="Q508" s="22"/>
      <c r="R508" s="22"/>
    </row>
    <row r="509" hidden="1">
      <c r="A509" s="93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19"/>
      <c r="P509" s="22"/>
      <c r="Q509" s="22"/>
      <c r="R509" s="22"/>
    </row>
    <row r="510" hidden="1">
      <c r="A510" s="93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19"/>
      <c r="P510" s="22"/>
      <c r="Q510" s="22"/>
      <c r="R510" s="22"/>
    </row>
    <row r="511" hidden="1">
      <c r="A511" s="93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19"/>
      <c r="P511" s="22"/>
      <c r="Q511" s="22"/>
      <c r="R511" s="22"/>
    </row>
    <row r="512" hidden="1">
      <c r="A512" s="93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19"/>
      <c r="P512" s="22"/>
      <c r="Q512" s="22"/>
      <c r="R512" s="22"/>
    </row>
    <row r="513" hidden="1">
      <c r="A513" s="93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19"/>
      <c r="P513" s="22"/>
      <c r="Q513" s="22"/>
      <c r="R513" s="22"/>
    </row>
    <row r="514" hidden="1">
      <c r="A514" s="93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19"/>
      <c r="P514" s="22"/>
      <c r="Q514" s="22"/>
      <c r="R514" s="22"/>
    </row>
    <row r="515" hidden="1">
      <c r="A515" s="93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19"/>
      <c r="P515" s="22"/>
      <c r="Q515" s="22"/>
      <c r="R515" s="22"/>
    </row>
    <row r="516" hidden="1">
      <c r="A516" s="93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19"/>
      <c r="P516" s="22"/>
      <c r="Q516" s="22"/>
      <c r="R516" s="22"/>
    </row>
    <row r="517" hidden="1">
      <c r="A517" s="93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19"/>
      <c r="P517" s="22"/>
      <c r="Q517" s="22"/>
      <c r="R517" s="22"/>
    </row>
    <row r="518" hidden="1">
      <c r="A518" s="93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19"/>
      <c r="P518" s="22"/>
      <c r="Q518" s="22"/>
      <c r="R518" s="22"/>
    </row>
    <row r="519" hidden="1">
      <c r="A519" s="93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19"/>
      <c r="P519" s="22"/>
      <c r="Q519" s="22"/>
      <c r="R519" s="22"/>
    </row>
    <row r="520" hidden="1">
      <c r="A520" s="93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19"/>
      <c r="P520" s="22"/>
      <c r="Q520" s="22"/>
      <c r="R520" s="22"/>
    </row>
    <row r="521" hidden="1">
      <c r="A521" s="93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19"/>
      <c r="P521" s="22"/>
      <c r="Q521" s="22"/>
      <c r="R521" s="22"/>
    </row>
    <row r="522" hidden="1">
      <c r="A522" s="93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19"/>
      <c r="P522" s="22"/>
      <c r="Q522" s="22"/>
      <c r="R522" s="22"/>
    </row>
    <row r="523" hidden="1">
      <c r="A523" s="93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19"/>
      <c r="P523" s="22"/>
      <c r="Q523" s="22"/>
      <c r="R523" s="22"/>
    </row>
    <row r="524" hidden="1">
      <c r="A524" s="93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19"/>
      <c r="P524" s="22"/>
      <c r="Q524" s="22"/>
      <c r="R524" s="22"/>
    </row>
    <row r="525" hidden="1">
      <c r="A525" s="93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19"/>
      <c r="P525" s="22"/>
      <c r="Q525" s="22"/>
      <c r="R525" s="22"/>
    </row>
    <row r="526" hidden="1">
      <c r="A526" s="93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19"/>
      <c r="P526" s="22"/>
      <c r="Q526" s="22"/>
      <c r="R526" s="22"/>
    </row>
    <row r="527" hidden="1">
      <c r="A527" s="93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19"/>
      <c r="P527" s="22"/>
      <c r="Q527" s="22"/>
      <c r="R527" s="22"/>
    </row>
    <row r="528" hidden="1">
      <c r="A528" s="93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19"/>
      <c r="P528" s="22"/>
      <c r="Q528" s="22"/>
      <c r="R528" s="22"/>
    </row>
    <row r="529" hidden="1">
      <c r="A529" s="93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19"/>
      <c r="P529" s="22"/>
      <c r="Q529" s="22"/>
      <c r="R529" s="22"/>
    </row>
    <row r="530" hidden="1">
      <c r="A530" s="93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19"/>
      <c r="P530" s="22"/>
      <c r="Q530" s="22"/>
      <c r="R530" s="22"/>
    </row>
    <row r="531" hidden="1">
      <c r="A531" s="93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19"/>
      <c r="P531" s="22"/>
      <c r="Q531" s="22"/>
      <c r="R531" s="22"/>
    </row>
    <row r="532" hidden="1">
      <c r="A532" s="93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19"/>
      <c r="P532" s="22"/>
      <c r="Q532" s="22"/>
      <c r="R532" s="22"/>
    </row>
    <row r="533" hidden="1">
      <c r="A533" s="93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19"/>
      <c r="P533" s="22"/>
      <c r="Q533" s="22"/>
      <c r="R533" s="22"/>
    </row>
    <row r="534" hidden="1">
      <c r="A534" s="93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19"/>
      <c r="P534" s="22"/>
      <c r="Q534" s="22"/>
      <c r="R534" s="22"/>
    </row>
    <row r="535" hidden="1">
      <c r="A535" s="93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19"/>
      <c r="P535" s="22"/>
      <c r="Q535" s="22"/>
      <c r="R535" s="22"/>
    </row>
    <row r="536" hidden="1">
      <c r="A536" s="93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19"/>
      <c r="P536" s="22"/>
      <c r="Q536" s="22"/>
      <c r="R536" s="22"/>
    </row>
    <row r="537" hidden="1">
      <c r="A537" s="93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19"/>
      <c r="P537" s="22"/>
      <c r="Q537" s="22"/>
      <c r="R537" s="22"/>
    </row>
    <row r="538" hidden="1">
      <c r="A538" s="93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19"/>
      <c r="P538" s="22"/>
      <c r="Q538" s="22"/>
      <c r="R538" s="22"/>
    </row>
    <row r="539" hidden="1">
      <c r="A539" s="93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19"/>
      <c r="P539" s="22"/>
      <c r="Q539" s="22"/>
      <c r="R539" s="22"/>
    </row>
    <row r="540" hidden="1">
      <c r="A540" s="93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19"/>
      <c r="P540" s="22"/>
      <c r="Q540" s="22"/>
      <c r="R540" s="22"/>
    </row>
    <row r="541" hidden="1">
      <c r="A541" s="93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19"/>
      <c r="P541" s="22"/>
      <c r="Q541" s="22"/>
      <c r="R541" s="22"/>
    </row>
    <row r="542" hidden="1">
      <c r="A542" s="93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19"/>
      <c r="P542" s="22"/>
      <c r="Q542" s="22"/>
      <c r="R542" s="22"/>
    </row>
    <row r="543" hidden="1">
      <c r="A543" s="93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19"/>
      <c r="P543" s="22"/>
      <c r="Q543" s="22"/>
      <c r="R543" s="22"/>
    </row>
    <row r="544" hidden="1">
      <c r="A544" s="93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19"/>
      <c r="P544" s="22"/>
      <c r="Q544" s="22"/>
      <c r="R544" s="22"/>
    </row>
    <row r="545" hidden="1">
      <c r="A545" s="93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19"/>
      <c r="P545" s="22"/>
      <c r="Q545" s="22"/>
      <c r="R545" s="22"/>
    </row>
    <row r="546" hidden="1">
      <c r="A546" s="93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19"/>
      <c r="P546" s="22"/>
      <c r="Q546" s="22"/>
      <c r="R546" s="22"/>
    </row>
    <row r="547" hidden="1">
      <c r="A547" s="93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19"/>
      <c r="P547" s="22"/>
      <c r="Q547" s="22"/>
      <c r="R547" s="22"/>
    </row>
    <row r="548" hidden="1">
      <c r="A548" s="93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19"/>
      <c r="P548" s="22"/>
      <c r="Q548" s="22"/>
      <c r="R548" s="22"/>
    </row>
    <row r="549" hidden="1">
      <c r="A549" s="93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19"/>
      <c r="P549" s="22"/>
      <c r="Q549" s="22"/>
      <c r="R549" s="22"/>
    </row>
    <row r="550" hidden="1">
      <c r="A550" s="93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19"/>
      <c r="P550" s="22"/>
      <c r="Q550" s="22"/>
      <c r="R550" s="22"/>
    </row>
    <row r="551" hidden="1">
      <c r="A551" s="93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19"/>
      <c r="P551" s="22"/>
      <c r="Q551" s="22"/>
      <c r="R551" s="22"/>
    </row>
    <row r="552" hidden="1">
      <c r="A552" s="93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19"/>
      <c r="P552" s="22"/>
      <c r="Q552" s="22"/>
      <c r="R552" s="22"/>
    </row>
    <row r="553" hidden="1">
      <c r="A553" s="93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19"/>
      <c r="P553" s="22"/>
      <c r="Q553" s="22"/>
      <c r="R553" s="22"/>
    </row>
    <row r="554" hidden="1">
      <c r="A554" s="93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19"/>
      <c r="P554" s="22"/>
      <c r="Q554" s="22"/>
      <c r="R554" s="22"/>
    </row>
    <row r="555" hidden="1">
      <c r="A555" s="93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19"/>
      <c r="P555" s="22"/>
      <c r="Q555" s="22"/>
      <c r="R555" s="22"/>
    </row>
    <row r="556" hidden="1">
      <c r="A556" s="93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19"/>
      <c r="P556" s="22"/>
      <c r="Q556" s="22"/>
      <c r="R556" s="22"/>
    </row>
    <row r="557" hidden="1">
      <c r="A557" s="93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19"/>
      <c r="P557" s="22"/>
      <c r="Q557" s="22"/>
      <c r="R557" s="22"/>
    </row>
    <row r="558" hidden="1">
      <c r="A558" s="93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19"/>
      <c r="P558" s="22"/>
      <c r="Q558" s="22"/>
      <c r="R558" s="22"/>
    </row>
    <row r="559" hidden="1">
      <c r="A559" s="93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19"/>
      <c r="P559" s="22"/>
      <c r="Q559" s="22"/>
      <c r="R559" s="22"/>
    </row>
    <row r="560" hidden="1">
      <c r="A560" s="93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19"/>
      <c r="P560" s="22"/>
      <c r="Q560" s="22"/>
      <c r="R560" s="22"/>
    </row>
    <row r="561" hidden="1">
      <c r="A561" s="93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19"/>
      <c r="P561" s="22"/>
      <c r="Q561" s="22"/>
      <c r="R561" s="22"/>
    </row>
    <row r="562" hidden="1">
      <c r="A562" s="93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19"/>
      <c r="P562" s="22"/>
      <c r="Q562" s="22"/>
      <c r="R562" s="22"/>
    </row>
    <row r="563" hidden="1">
      <c r="A563" s="93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19"/>
      <c r="P563" s="22"/>
      <c r="Q563" s="22"/>
      <c r="R563" s="22"/>
    </row>
    <row r="564" hidden="1">
      <c r="A564" s="93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19"/>
      <c r="P564" s="22"/>
      <c r="Q564" s="22"/>
      <c r="R564" s="22"/>
    </row>
    <row r="565" hidden="1">
      <c r="A565" s="93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19"/>
      <c r="P565" s="22"/>
      <c r="Q565" s="22"/>
      <c r="R565" s="22"/>
    </row>
    <row r="566" hidden="1">
      <c r="A566" s="93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19"/>
      <c r="P566" s="22"/>
      <c r="Q566" s="22"/>
      <c r="R566" s="22"/>
    </row>
    <row r="567" hidden="1">
      <c r="A567" s="93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19"/>
      <c r="P567" s="22"/>
      <c r="Q567" s="22"/>
      <c r="R567" s="22"/>
    </row>
    <row r="568" hidden="1">
      <c r="A568" s="93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19"/>
      <c r="P568" s="22"/>
      <c r="Q568" s="22"/>
      <c r="R568" s="22"/>
    </row>
    <row r="569" hidden="1">
      <c r="A569" s="93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19"/>
      <c r="P569" s="22"/>
      <c r="Q569" s="22"/>
      <c r="R569" s="22"/>
    </row>
    <row r="570" hidden="1">
      <c r="A570" s="93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19"/>
      <c r="P570" s="22"/>
      <c r="Q570" s="22"/>
      <c r="R570" s="22"/>
    </row>
    <row r="571" hidden="1">
      <c r="A571" s="93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19"/>
      <c r="P571" s="22"/>
      <c r="Q571" s="22"/>
      <c r="R571" s="22"/>
    </row>
    <row r="572" hidden="1">
      <c r="A572" s="93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19"/>
      <c r="P572" s="22"/>
      <c r="Q572" s="22"/>
      <c r="R572" s="22"/>
    </row>
    <row r="573" hidden="1">
      <c r="A573" s="93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19"/>
      <c r="P573" s="22"/>
      <c r="Q573" s="22"/>
      <c r="R573" s="22"/>
    </row>
    <row r="574" hidden="1">
      <c r="A574" s="93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19"/>
      <c r="P574" s="22"/>
      <c r="Q574" s="22"/>
      <c r="R574" s="22"/>
    </row>
    <row r="575" hidden="1">
      <c r="A575" s="93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19"/>
      <c r="P575" s="22"/>
      <c r="Q575" s="22"/>
      <c r="R575" s="22"/>
    </row>
    <row r="576" hidden="1">
      <c r="A576" s="93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19"/>
      <c r="P576" s="22"/>
      <c r="Q576" s="22"/>
      <c r="R576" s="22"/>
    </row>
    <row r="577" hidden="1">
      <c r="A577" s="93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19"/>
      <c r="P577" s="22"/>
      <c r="Q577" s="22"/>
      <c r="R577" s="22"/>
    </row>
    <row r="578" hidden="1">
      <c r="A578" s="93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19"/>
      <c r="P578" s="22"/>
      <c r="Q578" s="22"/>
      <c r="R578" s="22"/>
    </row>
    <row r="579" hidden="1">
      <c r="A579" s="93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19"/>
      <c r="P579" s="22"/>
      <c r="Q579" s="22"/>
      <c r="R579" s="22"/>
    </row>
    <row r="580" hidden="1">
      <c r="A580" s="93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19"/>
      <c r="P580" s="22"/>
      <c r="Q580" s="22"/>
      <c r="R580" s="22"/>
    </row>
    <row r="581" hidden="1">
      <c r="A581" s="93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19"/>
      <c r="P581" s="22"/>
      <c r="Q581" s="22"/>
      <c r="R581" s="22"/>
    </row>
    <row r="582" hidden="1">
      <c r="A582" s="93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19"/>
      <c r="P582" s="22"/>
      <c r="Q582" s="22"/>
      <c r="R582" s="22"/>
    </row>
    <row r="583" hidden="1">
      <c r="A583" s="93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19"/>
      <c r="P583" s="22"/>
      <c r="Q583" s="22"/>
      <c r="R583" s="22"/>
    </row>
    <row r="584" hidden="1">
      <c r="A584" s="93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19"/>
      <c r="P584" s="22"/>
      <c r="Q584" s="22"/>
      <c r="R584" s="22"/>
    </row>
    <row r="585" hidden="1">
      <c r="A585" s="93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19"/>
      <c r="P585" s="22"/>
      <c r="Q585" s="22"/>
      <c r="R585" s="22"/>
    </row>
    <row r="586" hidden="1">
      <c r="A586" s="93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19"/>
      <c r="P586" s="22"/>
      <c r="Q586" s="22"/>
      <c r="R586" s="22"/>
    </row>
    <row r="587" hidden="1">
      <c r="A587" s="93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19"/>
      <c r="P587" s="22"/>
      <c r="Q587" s="22"/>
      <c r="R587" s="22"/>
    </row>
    <row r="588" hidden="1">
      <c r="A588" s="93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19"/>
      <c r="P588" s="22"/>
      <c r="Q588" s="22"/>
      <c r="R588" s="22"/>
    </row>
    <row r="589" hidden="1">
      <c r="A589" s="93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19"/>
      <c r="P589" s="22"/>
      <c r="Q589" s="22"/>
      <c r="R589" s="22"/>
    </row>
    <row r="590" hidden="1">
      <c r="A590" s="93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19"/>
      <c r="P590" s="22"/>
      <c r="Q590" s="22"/>
      <c r="R590" s="22"/>
    </row>
    <row r="591" hidden="1">
      <c r="A591" s="93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19"/>
      <c r="P591" s="22"/>
      <c r="Q591" s="22"/>
      <c r="R591" s="22"/>
    </row>
    <row r="592" hidden="1">
      <c r="A592" s="93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19"/>
      <c r="P592" s="22"/>
      <c r="Q592" s="22"/>
      <c r="R592" s="22"/>
    </row>
    <row r="593" hidden="1">
      <c r="A593" s="93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19"/>
      <c r="P593" s="22"/>
      <c r="Q593" s="22"/>
      <c r="R593" s="22"/>
    </row>
    <row r="594" hidden="1">
      <c r="A594" s="93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19"/>
      <c r="P594" s="22"/>
      <c r="Q594" s="22"/>
      <c r="R594" s="22"/>
    </row>
    <row r="595" hidden="1">
      <c r="A595" s="93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19"/>
      <c r="P595" s="22"/>
      <c r="Q595" s="22"/>
      <c r="R595" s="22"/>
    </row>
    <row r="596" hidden="1">
      <c r="A596" s="93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19"/>
      <c r="P596" s="22"/>
      <c r="Q596" s="22"/>
      <c r="R596" s="22"/>
    </row>
    <row r="597" hidden="1">
      <c r="A597" s="93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19"/>
      <c r="P597" s="22"/>
      <c r="Q597" s="22"/>
      <c r="R597" s="22"/>
    </row>
    <row r="598" hidden="1">
      <c r="A598" s="93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19"/>
      <c r="P598" s="22"/>
      <c r="Q598" s="22"/>
      <c r="R598" s="22"/>
    </row>
    <row r="599" hidden="1">
      <c r="A599" s="93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19"/>
      <c r="P599" s="22"/>
      <c r="Q599" s="22"/>
      <c r="R599" s="22"/>
    </row>
    <row r="600" hidden="1">
      <c r="A600" s="93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19"/>
      <c r="P600" s="22"/>
      <c r="Q600" s="22"/>
      <c r="R600" s="22"/>
    </row>
    <row r="601" hidden="1">
      <c r="A601" s="93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19"/>
      <c r="P601" s="22"/>
      <c r="Q601" s="22"/>
      <c r="R601" s="22"/>
    </row>
    <row r="602" hidden="1">
      <c r="A602" s="93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19"/>
      <c r="P602" s="22"/>
      <c r="Q602" s="22"/>
      <c r="R602" s="22"/>
    </row>
    <row r="603" hidden="1">
      <c r="A603" s="93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19"/>
      <c r="P603" s="22"/>
      <c r="Q603" s="22"/>
      <c r="R603" s="22"/>
    </row>
    <row r="604" hidden="1">
      <c r="A604" s="93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19"/>
      <c r="P604" s="22"/>
      <c r="Q604" s="22"/>
      <c r="R604" s="22"/>
    </row>
    <row r="605" hidden="1">
      <c r="A605" s="93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19"/>
      <c r="P605" s="22"/>
      <c r="Q605" s="22"/>
      <c r="R605" s="22"/>
    </row>
    <row r="606" hidden="1">
      <c r="A606" s="93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19"/>
      <c r="P606" s="22"/>
      <c r="Q606" s="22"/>
      <c r="R606" s="22"/>
    </row>
    <row r="607" hidden="1">
      <c r="A607" s="93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19"/>
      <c r="P607" s="22"/>
      <c r="Q607" s="22"/>
      <c r="R607" s="22"/>
    </row>
    <row r="608" hidden="1">
      <c r="A608" s="93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19"/>
      <c r="P608" s="22"/>
      <c r="Q608" s="22"/>
      <c r="R608" s="22"/>
    </row>
    <row r="609" hidden="1">
      <c r="A609" s="93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19"/>
      <c r="P609" s="22"/>
      <c r="Q609" s="22"/>
      <c r="R609" s="22"/>
    </row>
    <row r="610" hidden="1">
      <c r="A610" s="93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19"/>
      <c r="P610" s="22"/>
      <c r="Q610" s="22"/>
      <c r="R610" s="22"/>
    </row>
    <row r="611" hidden="1">
      <c r="A611" s="93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19"/>
      <c r="P611" s="22"/>
      <c r="Q611" s="22"/>
      <c r="R611" s="22"/>
    </row>
    <row r="612" hidden="1">
      <c r="A612" s="93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19"/>
      <c r="P612" s="22"/>
      <c r="Q612" s="22"/>
      <c r="R612" s="22"/>
    </row>
    <row r="613" hidden="1">
      <c r="A613" s="93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19"/>
      <c r="P613" s="22"/>
      <c r="Q613" s="22"/>
      <c r="R613" s="22"/>
    </row>
    <row r="614" hidden="1">
      <c r="A614" s="93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19"/>
      <c r="P614" s="22"/>
      <c r="Q614" s="22"/>
      <c r="R614" s="22"/>
    </row>
    <row r="615" hidden="1">
      <c r="A615" s="93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19"/>
      <c r="P615" s="22"/>
      <c r="Q615" s="22"/>
      <c r="R615" s="22"/>
    </row>
    <row r="616" hidden="1">
      <c r="A616" s="93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19"/>
      <c r="P616" s="22"/>
      <c r="Q616" s="22"/>
      <c r="R616" s="22"/>
    </row>
    <row r="617" hidden="1">
      <c r="A617" s="93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19"/>
      <c r="P617" s="22"/>
      <c r="Q617" s="22"/>
      <c r="R617" s="22"/>
    </row>
    <row r="618" hidden="1">
      <c r="A618" s="93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19"/>
      <c r="P618" s="22"/>
      <c r="Q618" s="22"/>
      <c r="R618" s="22"/>
    </row>
    <row r="619" hidden="1">
      <c r="A619" s="93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19"/>
      <c r="P619" s="22"/>
      <c r="Q619" s="22"/>
      <c r="R619" s="22"/>
    </row>
    <row r="620" hidden="1">
      <c r="A620" s="93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19"/>
      <c r="P620" s="22"/>
      <c r="Q620" s="22"/>
      <c r="R620" s="22"/>
    </row>
    <row r="621" hidden="1">
      <c r="A621" s="93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19"/>
      <c r="P621" s="22"/>
      <c r="Q621" s="22"/>
      <c r="R621" s="22"/>
    </row>
    <row r="622" hidden="1">
      <c r="A622" s="93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19"/>
      <c r="P622" s="22"/>
      <c r="Q622" s="22"/>
      <c r="R622" s="22"/>
    </row>
    <row r="623" hidden="1">
      <c r="A623" s="93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19"/>
      <c r="P623" s="22"/>
      <c r="Q623" s="22"/>
      <c r="R623" s="22"/>
    </row>
    <row r="624" hidden="1">
      <c r="A624" s="93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19"/>
      <c r="P624" s="22"/>
      <c r="Q624" s="22"/>
      <c r="R624" s="22"/>
    </row>
    <row r="625" hidden="1">
      <c r="A625" s="93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19"/>
      <c r="P625" s="22"/>
      <c r="Q625" s="22"/>
      <c r="R625" s="22"/>
    </row>
    <row r="626" hidden="1">
      <c r="A626" s="93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19"/>
      <c r="P626" s="22"/>
      <c r="Q626" s="22"/>
      <c r="R626" s="22"/>
    </row>
    <row r="627" hidden="1">
      <c r="A627" s="93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19"/>
      <c r="P627" s="22"/>
      <c r="Q627" s="22"/>
      <c r="R627" s="22"/>
    </row>
    <row r="628" hidden="1">
      <c r="A628" s="93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19"/>
      <c r="P628" s="22"/>
      <c r="Q628" s="22"/>
      <c r="R628" s="22"/>
    </row>
    <row r="629" hidden="1">
      <c r="A629" s="93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19"/>
      <c r="P629" s="22"/>
      <c r="Q629" s="22"/>
      <c r="R629" s="22"/>
    </row>
    <row r="630" hidden="1">
      <c r="A630" s="93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19"/>
      <c r="P630" s="22"/>
      <c r="Q630" s="22"/>
      <c r="R630" s="22"/>
    </row>
    <row r="631" hidden="1">
      <c r="A631" s="93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19"/>
      <c r="P631" s="22"/>
      <c r="Q631" s="22"/>
      <c r="R631" s="22"/>
    </row>
    <row r="632" hidden="1">
      <c r="A632" s="93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19"/>
      <c r="P632" s="22"/>
      <c r="Q632" s="22"/>
      <c r="R632" s="22"/>
    </row>
    <row r="633" hidden="1">
      <c r="A633" s="93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19"/>
      <c r="P633" s="22"/>
      <c r="Q633" s="22"/>
      <c r="R633" s="22"/>
    </row>
    <row r="634" hidden="1">
      <c r="A634" s="93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19"/>
      <c r="P634" s="22"/>
      <c r="Q634" s="22"/>
      <c r="R634" s="22"/>
    </row>
    <row r="635" hidden="1">
      <c r="A635" s="93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19"/>
      <c r="P635" s="22"/>
      <c r="Q635" s="22"/>
      <c r="R635" s="22"/>
    </row>
    <row r="636" hidden="1">
      <c r="A636" s="93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19"/>
      <c r="P636" s="22"/>
      <c r="Q636" s="22"/>
      <c r="R636" s="22"/>
    </row>
    <row r="637" hidden="1">
      <c r="A637" s="93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19"/>
      <c r="P637" s="22"/>
      <c r="Q637" s="22"/>
      <c r="R637" s="22"/>
    </row>
    <row r="638" hidden="1">
      <c r="A638" s="93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19"/>
      <c r="P638" s="22"/>
      <c r="Q638" s="22"/>
      <c r="R638" s="22"/>
    </row>
    <row r="639" hidden="1">
      <c r="A639" s="93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19"/>
      <c r="P639" s="22"/>
      <c r="Q639" s="22"/>
      <c r="R639" s="22"/>
    </row>
    <row r="640" hidden="1">
      <c r="A640" s="93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19"/>
      <c r="P640" s="22"/>
      <c r="Q640" s="22"/>
      <c r="R640" s="22"/>
    </row>
    <row r="641" hidden="1">
      <c r="A641" s="93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19"/>
      <c r="P641" s="22"/>
      <c r="Q641" s="22"/>
      <c r="R641" s="22"/>
    </row>
    <row r="642" hidden="1">
      <c r="A642" s="93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19"/>
      <c r="P642" s="22"/>
      <c r="Q642" s="22"/>
      <c r="R642" s="22"/>
    </row>
    <row r="643" hidden="1">
      <c r="A643" s="93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19"/>
      <c r="P643" s="22"/>
      <c r="Q643" s="22"/>
      <c r="R643" s="22"/>
    </row>
    <row r="644" hidden="1">
      <c r="A644" s="93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19"/>
      <c r="P644" s="22"/>
      <c r="Q644" s="22"/>
      <c r="R644" s="22"/>
    </row>
    <row r="645" hidden="1">
      <c r="A645" s="93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19"/>
      <c r="P645" s="22"/>
      <c r="Q645" s="22"/>
      <c r="R645" s="22"/>
    </row>
    <row r="646" hidden="1">
      <c r="A646" s="93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19"/>
      <c r="P646" s="22"/>
      <c r="Q646" s="22"/>
      <c r="R646" s="22"/>
    </row>
    <row r="647" hidden="1">
      <c r="A647" s="93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19"/>
      <c r="P647" s="22"/>
      <c r="Q647" s="22"/>
      <c r="R647" s="22"/>
    </row>
    <row r="648" hidden="1">
      <c r="A648" s="93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19"/>
      <c r="P648" s="22"/>
      <c r="Q648" s="22"/>
      <c r="R648" s="22"/>
    </row>
    <row r="649" hidden="1">
      <c r="A649" s="93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19"/>
      <c r="P649" s="22"/>
      <c r="Q649" s="22"/>
      <c r="R649" s="22"/>
    </row>
    <row r="650" hidden="1">
      <c r="A650" s="93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19"/>
      <c r="P650" s="22"/>
      <c r="Q650" s="22"/>
      <c r="R650" s="22"/>
    </row>
    <row r="651" hidden="1">
      <c r="A651" s="93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19"/>
      <c r="P651" s="22"/>
      <c r="Q651" s="22"/>
      <c r="R651" s="22"/>
    </row>
    <row r="652" hidden="1">
      <c r="A652" s="93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19"/>
      <c r="P652" s="22"/>
      <c r="Q652" s="22"/>
      <c r="R652" s="22"/>
    </row>
    <row r="653" hidden="1">
      <c r="A653" s="93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19"/>
      <c r="P653" s="22"/>
      <c r="Q653" s="22"/>
      <c r="R653" s="22"/>
    </row>
    <row r="654" hidden="1">
      <c r="A654" s="93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19"/>
      <c r="P654" s="22"/>
      <c r="Q654" s="22"/>
      <c r="R654" s="22"/>
    </row>
    <row r="655" hidden="1">
      <c r="A655" s="93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19"/>
      <c r="P655" s="22"/>
      <c r="Q655" s="22"/>
      <c r="R655" s="22"/>
    </row>
    <row r="656" hidden="1">
      <c r="A656" s="93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19"/>
      <c r="P656" s="22"/>
      <c r="Q656" s="22"/>
      <c r="R656" s="22"/>
    </row>
    <row r="657" hidden="1">
      <c r="A657" s="93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19"/>
      <c r="P657" s="22"/>
      <c r="Q657" s="22"/>
      <c r="R657" s="22"/>
    </row>
    <row r="658" hidden="1">
      <c r="A658" s="93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19"/>
      <c r="P658" s="22"/>
      <c r="Q658" s="22"/>
      <c r="R658" s="22"/>
    </row>
    <row r="659" hidden="1">
      <c r="A659" s="93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19"/>
      <c r="P659" s="22"/>
      <c r="Q659" s="22"/>
      <c r="R659" s="22"/>
    </row>
    <row r="660" hidden="1">
      <c r="A660" s="93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19"/>
      <c r="P660" s="22"/>
      <c r="Q660" s="22"/>
      <c r="R660" s="22"/>
    </row>
    <row r="661" hidden="1">
      <c r="A661" s="93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19"/>
      <c r="P661" s="22"/>
      <c r="Q661" s="22"/>
      <c r="R661" s="22"/>
    </row>
    <row r="662" hidden="1">
      <c r="A662" s="93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19"/>
      <c r="P662" s="22"/>
      <c r="Q662" s="22"/>
      <c r="R662" s="22"/>
    </row>
    <row r="663" hidden="1">
      <c r="A663" s="93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19"/>
      <c r="P663" s="22"/>
      <c r="Q663" s="22"/>
      <c r="R663" s="22"/>
    </row>
    <row r="664" hidden="1">
      <c r="A664" s="93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19"/>
      <c r="P664" s="22"/>
      <c r="Q664" s="22"/>
      <c r="R664" s="22"/>
    </row>
    <row r="665" hidden="1">
      <c r="A665" s="93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19"/>
      <c r="P665" s="22"/>
      <c r="Q665" s="22"/>
      <c r="R665" s="22"/>
    </row>
    <row r="666" hidden="1">
      <c r="A666" s="93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19"/>
      <c r="P666" s="22"/>
      <c r="Q666" s="22"/>
      <c r="R666" s="22"/>
    </row>
    <row r="667" hidden="1">
      <c r="A667" s="93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19"/>
      <c r="P667" s="22"/>
      <c r="Q667" s="22"/>
      <c r="R667" s="22"/>
    </row>
    <row r="668" hidden="1">
      <c r="A668" s="93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19"/>
      <c r="P668" s="22"/>
      <c r="Q668" s="22"/>
      <c r="R668" s="22"/>
    </row>
    <row r="669" hidden="1">
      <c r="A669" s="93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19"/>
      <c r="P669" s="22"/>
      <c r="Q669" s="22"/>
      <c r="R669" s="22"/>
    </row>
    <row r="670" hidden="1">
      <c r="A670" s="93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19"/>
      <c r="P670" s="22"/>
      <c r="Q670" s="22"/>
      <c r="R670" s="22"/>
    </row>
    <row r="671" hidden="1">
      <c r="A671" s="93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19"/>
      <c r="P671" s="22"/>
      <c r="Q671" s="22"/>
      <c r="R671" s="22"/>
    </row>
    <row r="672" hidden="1">
      <c r="A672" s="93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19"/>
      <c r="P672" s="22"/>
      <c r="Q672" s="22"/>
      <c r="R672" s="22"/>
    </row>
    <row r="673" hidden="1">
      <c r="A673" s="93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19"/>
      <c r="P673" s="22"/>
      <c r="Q673" s="22"/>
      <c r="R673" s="22"/>
    </row>
    <row r="674" hidden="1">
      <c r="A674" s="93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19"/>
      <c r="P674" s="22"/>
      <c r="Q674" s="22"/>
      <c r="R674" s="22"/>
    </row>
    <row r="675" hidden="1">
      <c r="A675" s="93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19"/>
      <c r="P675" s="22"/>
      <c r="Q675" s="22"/>
      <c r="R675" s="22"/>
    </row>
    <row r="676" hidden="1">
      <c r="A676" s="93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19"/>
      <c r="P676" s="22"/>
      <c r="Q676" s="22"/>
      <c r="R676" s="22"/>
    </row>
    <row r="677" hidden="1">
      <c r="A677" s="93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19"/>
      <c r="P677" s="22"/>
      <c r="Q677" s="22"/>
      <c r="R677" s="22"/>
    </row>
    <row r="678" hidden="1">
      <c r="A678" s="93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19"/>
      <c r="P678" s="22"/>
      <c r="Q678" s="22"/>
      <c r="R678" s="22"/>
    </row>
    <row r="679" hidden="1">
      <c r="A679" s="93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19"/>
      <c r="P679" s="22"/>
      <c r="Q679" s="22"/>
      <c r="R679" s="22"/>
    </row>
    <row r="680" hidden="1">
      <c r="A680" s="93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19"/>
      <c r="P680" s="22"/>
      <c r="Q680" s="22"/>
      <c r="R680" s="22"/>
    </row>
    <row r="681" hidden="1">
      <c r="A681" s="93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19"/>
      <c r="P681" s="22"/>
      <c r="Q681" s="22"/>
      <c r="R681" s="22"/>
    </row>
    <row r="682" hidden="1">
      <c r="A682" s="93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19"/>
      <c r="P682" s="22"/>
      <c r="Q682" s="22"/>
      <c r="R682" s="22"/>
    </row>
    <row r="683" hidden="1">
      <c r="A683" s="93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19"/>
      <c r="P683" s="22"/>
      <c r="Q683" s="22"/>
      <c r="R683" s="22"/>
    </row>
    <row r="684" hidden="1">
      <c r="A684" s="93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19"/>
      <c r="P684" s="22"/>
      <c r="Q684" s="22"/>
      <c r="R684" s="22"/>
    </row>
    <row r="685" hidden="1">
      <c r="A685" s="93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19"/>
      <c r="P685" s="22"/>
      <c r="Q685" s="22"/>
      <c r="R685" s="22"/>
    </row>
    <row r="686" hidden="1">
      <c r="A686" s="93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19"/>
      <c r="P686" s="22"/>
      <c r="Q686" s="22"/>
      <c r="R686" s="22"/>
    </row>
    <row r="687" hidden="1">
      <c r="A687" s="93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19"/>
      <c r="P687" s="22"/>
      <c r="Q687" s="22"/>
      <c r="R687" s="22"/>
    </row>
    <row r="688" hidden="1">
      <c r="A688" s="93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19"/>
      <c r="P688" s="22"/>
      <c r="Q688" s="22"/>
      <c r="R688" s="22"/>
    </row>
    <row r="689" hidden="1">
      <c r="A689" s="93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19"/>
      <c r="P689" s="22"/>
      <c r="Q689" s="22"/>
      <c r="R689" s="22"/>
    </row>
    <row r="690" hidden="1">
      <c r="A690" s="93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19"/>
      <c r="P690" s="22"/>
      <c r="Q690" s="22"/>
      <c r="R690" s="22"/>
    </row>
    <row r="691" hidden="1">
      <c r="A691" s="93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19"/>
      <c r="P691" s="22"/>
      <c r="Q691" s="22"/>
      <c r="R691" s="22"/>
    </row>
    <row r="692" hidden="1">
      <c r="A692" s="93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19"/>
      <c r="P692" s="22"/>
      <c r="Q692" s="22"/>
      <c r="R692" s="22"/>
    </row>
    <row r="693" hidden="1">
      <c r="A693" s="93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19"/>
      <c r="P693" s="22"/>
      <c r="Q693" s="22"/>
      <c r="R693" s="22"/>
    </row>
    <row r="694" hidden="1">
      <c r="A694" s="93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19"/>
      <c r="P694" s="22"/>
      <c r="Q694" s="22"/>
      <c r="R694" s="22"/>
    </row>
    <row r="695" hidden="1">
      <c r="A695" s="93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19"/>
      <c r="P695" s="22"/>
      <c r="Q695" s="22"/>
      <c r="R695" s="22"/>
    </row>
    <row r="696" hidden="1">
      <c r="A696" s="93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19"/>
      <c r="P696" s="22"/>
      <c r="Q696" s="22"/>
      <c r="R696" s="22"/>
    </row>
    <row r="697" hidden="1">
      <c r="A697" s="93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19"/>
      <c r="P697" s="22"/>
      <c r="Q697" s="22"/>
      <c r="R697" s="22"/>
    </row>
    <row r="698" hidden="1">
      <c r="A698" s="93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19"/>
      <c r="P698" s="22"/>
      <c r="Q698" s="22"/>
      <c r="R698" s="22"/>
    </row>
    <row r="699" hidden="1">
      <c r="A699" s="93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19"/>
      <c r="P699" s="22"/>
      <c r="Q699" s="22"/>
      <c r="R699" s="22"/>
    </row>
    <row r="700" hidden="1">
      <c r="A700" s="93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19"/>
      <c r="P700" s="22"/>
      <c r="Q700" s="22"/>
      <c r="R700" s="22"/>
    </row>
    <row r="701" hidden="1">
      <c r="A701" s="93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19"/>
      <c r="P701" s="22"/>
      <c r="Q701" s="22"/>
      <c r="R701" s="22"/>
    </row>
    <row r="702" hidden="1">
      <c r="A702" s="93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19"/>
      <c r="P702" s="22"/>
      <c r="Q702" s="22"/>
      <c r="R702" s="22"/>
    </row>
    <row r="703" hidden="1">
      <c r="A703" s="93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19"/>
      <c r="P703" s="22"/>
      <c r="Q703" s="22"/>
      <c r="R703" s="22"/>
    </row>
    <row r="704" hidden="1">
      <c r="A704" s="93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19"/>
      <c r="P704" s="22"/>
      <c r="Q704" s="22"/>
      <c r="R704" s="22"/>
    </row>
    <row r="705" hidden="1">
      <c r="A705" s="93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19"/>
      <c r="P705" s="22"/>
      <c r="Q705" s="22"/>
      <c r="R705" s="22"/>
    </row>
    <row r="706" hidden="1">
      <c r="A706" s="93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19"/>
      <c r="P706" s="22"/>
      <c r="Q706" s="22"/>
      <c r="R706" s="22"/>
    </row>
    <row r="707" hidden="1">
      <c r="A707" s="93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19"/>
      <c r="P707" s="22"/>
      <c r="Q707" s="22"/>
      <c r="R707" s="22"/>
    </row>
    <row r="708" hidden="1">
      <c r="A708" s="93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19"/>
      <c r="P708" s="22"/>
      <c r="Q708" s="22"/>
      <c r="R708" s="22"/>
    </row>
    <row r="709" hidden="1">
      <c r="A709" s="93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19"/>
      <c r="P709" s="22"/>
      <c r="Q709" s="22"/>
      <c r="R709" s="22"/>
    </row>
    <row r="710" hidden="1">
      <c r="A710" s="93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19"/>
      <c r="P710" s="22"/>
      <c r="Q710" s="22"/>
      <c r="R710" s="22"/>
    </row>
    <row r="711" hidden="1">
      <c r="A711" s="93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19"/>
      <c r="P711" s="22"/>
      <c r="Q711" s="22"/>
      <c r="R711" s="22"/>
    </row>
    <row r="712" hidden="1">
      <c r="A712" s="93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19"/>
      <c r="P712" s="22"/>
      <c r="Q712" s="22"/>
      <c r="R712" s="22"/>
    </row>
    <row r="713" hidden="1">
      <c r="A713" s="93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19"/>
      <c r="P713" s="22"/>
      <c r="Q713" s="22"/>
      <c r="R713" s="22"/>
    </row>
    <row r="714" hidden="1">
      <c r="A714" s="93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19"/>
      <c r="P714" s="22"/>
      <c r="Q714" s="22"/>
      <c r="R714" s="22"/>
    </row>
    <row r="715" hidden="1">
      <c r="A715" s="93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19"/>
      <c r="P715" s="22"/>
      <c r="Q715" s="22"/>
      <c r="R715" s="22"/>
    </row>
    <row r="716" hidden="1">
      <c r="A716" s="93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19"/>
      <c r="P716" s="22"/>
      <c r="Q716" s="22"/>
      <c r="R716" s="22"/>
    </row>
    <row r="717" hidden="1">
      <c r="A717" s="93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19"/>
      <c r="P717" s="22"/>
      <c r="Q717" s="22"/>
      <c r="R717" s="22"/>
    </row>
    <row r="718" hidden="1">
      <c r="A718" s="93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19"/>
      <c r="P718" s="22"/>
      <c r="Q718" s="22"/>
      <c r="R718" s="22"/>
    </row>
    <row r="719" hidden="1">
      <c r="A719" s="93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19"/>
      <c r="P719" s="22"/>
      <c r="Q719" s="22"/>
      <c r="R719" s="22"/>
    </row>
    <row r="720" hidden="1">
      <c r="A720" s="93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19"/>
      <c r="P720" s="22"/>
      <c r="Q720" s="22"/>
      <c r="R720" s="22"/>
    </row>
    <row r="721" hidden="1">
      <c r="A721" s="93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19"/>
      <c r="P721" s="22"/>
      <c r="Q721" s="22"/>
      <c r="R721" s="22"/>
    </row>
    <row r="722" hidden="1">
      <c r="A722" s="93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19"/>
      <c r="P722" s="22"/>
      <c r="Q722" s="22"/>
      <c r="R722" s="22"/>
    </row>
    <row r="723" hidden="1">
      <c r="A723" s="93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19"/>
      <c r="P723" s="22"/>
      <c r="Q723" s="22"/>
      <c r="R723" s="22"/>
    </row>
    <row r="724" hidden="1">
      <c r="A724" s="93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19"/>
      <c r="P724" s="22"/>
      <c r="Q724" s="22"/>
      <c r="R724" s="22"/>
    </row>
    <row r="725" hidden="1">
      <c r="A725" s="93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19"/>
      <c r="P725" s="22"/>
      <c r="Q725" s="22"/>
      <c r="R725" s="22"/>
    </row>
    <row r="726" hidden="1">
      <c r="A726" s="93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19"/>
      <c r="P726" s="22"/>
      <c r="Q726" s="22"/>
      <c r="R726" s="22"/>
    </row>
    <row r="727" hidden="1">
      <c r="A727" s="93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19"/>
      <c r="P727" s="22"/>
      <c r="Q727" s="22"/>
      <c r="R727" s="22"/>
    </row>
    <row r="728" hidden="1">
      <c r="A728" s="93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19"/>
      <c r="P728" s="22"/>
      <c r="Q728" s="22"/>
      <c r="R728" s="22"/>
    </row>
    <row r="729" hidden="1">
      <c r="A729" s="93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19"/>
      <c r="P729" s="22"/>
      <c r="Q729" s="22"/>
      <c r="R729" s="22"/>
    </row>
    <row r="730" hidden="1">
      <c r="A730" s="93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19"/>
      <c r="P730" s="22"/>
      <c r="Q730" s="22"/>
      <c r="R730" s="22"/>
    </row>
    <row r="731" hidden="1">
      <c r="A731" s="93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19"/>
      <c r="P731" s="22"/>
      <c r="Q731" s="22"/>
      <c r="R731" s="22"/>
    </row>
    <row r="732" hidden="1">
      <c r="A732" s="93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19"/>
      <c r="P732" s="22"/>
      <c r="Q732" s="22"/>
      <c r="R732" s="22"/>
    </row>
    <row r="733" hidden="1">
      <c r="A733" s="93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19"/>
      <c r="P733" s="22"/>
      <c r="Q733" s="22"/>
      <c r="R733" s="22"/>
    </row>
    <row r="734" hidden="1">
      <c r="A734" s="93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19"/>
      <c r="P734" s="22"/>
      <c r="Q734" s="22"/>
      <c r="R734" s="22"/>
    </row>
    <row r="735" hidden="1">
      <c r="A735" s="93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19"/>
      <c r="P735" s="22"/>
      <c r="Q735" s="22"/>
      <c r="R735" s="22"/>
    </row>
    <row r="736" hidden="1">
      <c r="A736" s="93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19"/>
      <c r="P736" s="22"/>
      <c r="Q736" s="22"/>
      <c r="R736" s="22"/>
    </row>
    <row r="737" hidden="1">
      <c r="A737" s="93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19"/>
      <c r="P737" s="22"/>
      <c r="Q737" s="22"/>
      <c r="R737" s="22"/>
    </row>
    <row r="738" hidden="1">
      <c r="A738" s="93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19"/>
      <c r="P738" s="22"/>
      <c r="Q738" s="22"/>
      <c r="R738" s="22"/>
    </row>
    <row r="739" hidden="1">
      <c r="A739" s="93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19"/>
      <c r="P739" s="22"/>
      <c r="Q739" s="22"/>
      <c r="R739" s="22"/>
    </row>
    <row r="740" hidden="1">
      <c r="A740" s="93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19"/>
      <c r="P740" s="22"/>
      <c r="Q740" s="22"/>
      <c r="R740" s="22"/>
    </row>
    <row r="741" hidden="1">
      <c r="A741" s="93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19"/>
      <c r="P741" s="22"/>
      <c r="Q741" s="22"/>
      <c r="R741" s="22"/>
    </row>
    <row r="742" hidden="1">
      <c r="A742" s="93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19"/>
      <c r="P742" s="22"/>
      <c r="Q742" s="22"/>
      <c r="R742" s="22"/>
    </row>
    <row r="743" hidden="1">
      <c r="A743" s="93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19"/>
      <c r="P743" s="22"/>
      <c r="Q743" s="22"/>
      <c r="R743" s="22"/>
    </row>
    <row r="744" hidden="1">
      <c r="A744" s="93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19"/>
      <c r="P744" s="22"/>
      <c r="Q744" s="22"/>
      <c r="R744" s="22"/>
    </row>
    <row r="745" hidden="1">
      <c r="A745" s="93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19"/>
      <c r="P745" s="22"/>
      <c r="Q745" s="22"/>
      <c r="R745" s="22"/>
    </row>
    <row r="746" hidden="1">
      <c r="A746" s="93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19"/>
      <c r="P746" s="22"/>
      <c r="Q746" s="22"/>
      <c r="R746" s="22"/>
    </row>
    <row r="747" hidden="1">
      <c r="A747" s="93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19"/>
      <c r="P747" s="22"/>
      <c r="Q747" s="22"/>
      <c r="R747" s="22"/>
    </row>
    <row r="748" hidden="1">
      <c r="A748" s="93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19"/>
      <c r="P748" s="22"/>
      <c r="Q748" s="22"/>
      <c r="R748" s="22"/>
    </row>
    <row r="749" hidden="1">
      <c r="A749" s="93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19"/>
      <c r="P749" s="22"/>
      <c r="Q749" s="22"/>
      <c r="R749" s="22"/>
    </row>
    <row r="750" hidden="1">
      <c r="A750" s="93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19"/>
      <c r="P750" s="22"/>
      <c r="Q750" s="22"/>
      <c r="R750" s="22"/>
    </row>
    <row r="751" hidden="1">
      <c r="A751" s="93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19"/>
      <c r="P751" s="22"/>
      <c r="Q751" s="22"/>
      <c r="R751" s="22"/>
    </row>
    <row r="752" hidden="1">
      <c r="A752" s="93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19"/>
      <c r="P752" s="22"/>
      <c r="Q752" s="22"/>
      <c r="R752" s="22"/>
    </row>
    <row r="753" hidden="1">
      <c r="A753" s="93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19"/>
      <c r="P753" s="22"/>
      <c r="Q753" s="22"/>
      <c r="R753" s="22"/>
    </row>
    <row r="754" hidden="1">
      <c r="A754" s="93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19"/>
      <c r="P754" s="22"/>
      <c r="Q754" s="22"/>
      <c r="R754" s="22"/>
    </row>
    <row r="755" hidden="1">
      <c r="A755" s="93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19"/>
      <c r="P755" s="22"/>
      <c r="Q755" s="22"/>
      <c r="R755" s="22"/>
    </row>
    <row r="756" hidden="1">
      <c r="A756" s="93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19"/>
      <c r="P756" s="22"/>
      <c r="Q756" s="22"/>
      <c r="R756" s="22"/>
    </row>
    <row r="757" hidden="1">
      <c r="A757" s="93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19"/>
      <c r="P757" s="22"/>
      <c r="Q757" s="22"/>
      <c r="R757" s="22"/>
    </row>
    <row r="758" hidden="1">
      <c r="A758" s="93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19"/>
      <c r="P758" s="22"/>
      <c r="Q758" s="22"/>
      <c r="R758" s="22"/>
    </row>
    <row r="759" hidden="1">
      <c r="A759" s="93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19"/>
      <c r="P759" s="22"/>
      <c r="Q759" s="22"/>
      <c r="R759" s="22"/>
    </row>
    <row r="760" hidden="1">
      <c r="A760" s="93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19"/>
      <c r="P760" s="22"/>
      <c r="Q760" s="22"/>
      <c r="R760" s="22"/>
    </row>
    <row r="761" hidden="1">
      <c r="A761" s="93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19"/>
      <c r="P761" s="22"/>
      <c r="Q761" s="22"/>
      <c r="R761" s="22"/>
    </row>
    <row r="762" hidden="1">
      <c r="A762" s="93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19"/>
      <c r="P762" s="22"/>
      <c r="Q762" s="22"/>
      <c r="R762" s="22"/>
    </row>
    <row r="763" hidden="1">
      <c r="A763" s="93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19"/>
      <c r="P763" s="22"/>
      <c r="Q763" s="22"/>
      <c r="R763" s="22"/>
    </row>
    <row r="764" hidden="1">
      <c r="A764" s="93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19"/>
      <c r="P764" s="22"/>
      <c r="Q764" s="22"/>
      <c r="R764" s="22"/>
    </row>
    <row r="765" hidden="1">
      <c r="A765" s="93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19"/>
      <c r="P765" s="22"/>
      <c r="Q765" s="22"/>
      <c r="R765" s="22"/>
    </row>
    <row r="766" hidden="1">
      <c r="A766" s="93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19"/>
      <c r="P766" s="22"/>
      <c r="Q766" s="22"/>
      <c r="R766" s="22"/>
    </row>
    <row r="767" hidden="1">
      <c r="A767" s="93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19"/>
      <c r="P767" s="22"/>
      <c r="Q767" s="22"/>
      <c r="R767" s="22"/>
    </row>
    <row r="768" hidden="1">
      <c r="A768" s="93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19"/>
      <c r="P768" s="22"/>
      <c r="Q768" s="22"/>
      <c r="R768" s="22"/>
    </row>
    <row r="769" hidden="1">
      <c r="A769" s="93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19"/>
      <c r="P769" s="22"/>
      <c r="Q769" s="22"/>
      <c r="R769" s="22"/>
    </row>
    <row r="770" hidden="1">
      <c r="A770" s="93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19"/>
      <c r="P770" s="22"/>
      <c r="Q770" s="22"/>
      <c r="R770" s="22"/>
    </row>
    <row r="771" hidden="1">
      <c r="A771" s="93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19"/>
      <c r="P771" s="22"/>
      <c r="Q771" s="22"/>
      <c r="R771" s="22"/>
    </row>
    <row r="772" hidden="1">
      <c r="A772" s="93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19"/>
      <c r="P772" s="22"/>
      <c r="Q772" s="22"/>
      <c r="R772" s="22"/>
    </row>
    <row r="773" hidden="1">
      <c r="A773" s="93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19"/>
      <c r="P773" s="22"/>
      <c r="Q773" s="22"/>
      <c r="R773" s="22"/>
    </row>
    <row r="774" hidden="1">
      <c r="A774" s="93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19"/>
      <c r="P774" s="22"/>
      <c r="Q774" s="22"/>
      <c r="R774" s="22"/>
    </row>
    <row r="775" hidden="1">
      <c r="A775" s="93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19"/>
      <c r="P775" s="22"/>
      <c r="Q775" s="22"/>
      <c r="R775" s="22"/>
    </row>
    <row r="776" hidden="1">
      <c r="A776" s="93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19"/>
      <c r="P776" s="22"/>
      <c r="Q776" s="22"/>
      <c r="R776" s="22"/>
    </row>
    <row r="777" hidden="1">
      <c r="A777" s="93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19"/>
      <c r="P777" s="22"/>
      <c r="Q777" s="22"/>
      <c r="R777" s="22"/>
    </row>
    <row r="778" hidden="1">
      <c r="A778" s="93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19"/>
      <c r="P778" s="22"/>
      <c r="Q778" s="22"/>
      <c r="R778" s="22"/>
    </row>
    <row r="779" hidden="1">
      <c r="A779" s="93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19"/>
      <c r="P779" s="22"/>
      <c r="Q779" s="22"/>
      <c r="R779" s="22"/>
    </row>
    <row r="780" hidden="1">
      <c r="A780" s="93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19"/>
      <c r="P780" s="22"/>
      <c r="Q780" s="22"/>
      <c r="R780" s="22"/>
    </row>
    <row r="781" hidden="1">
      <c r="A781" s="93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19"/>
      <c r="P781" s="22"/>
      <c r="Q781" s="22"/>
      <c r="R781" s="22"/>
    </row>
    <row r="782" hidden="1">
      <c r="A782" s="93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19"/>
      <c r="P782" s="22"/>
      <c r="Q782" s="22"/>
      <c r="R782" s="22"/>
    </row>
    <row r="783" hidden="1">
      <c r="A783" s="93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19"/>
      <c r="P783" s="22"/>
      <c r="Q783" s="22"/>
      <c r="R783" s="22"/>
    </row>
    <row r="784" hidden="1">
      <c r="A784" s="93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19"/>
      <c r="P784" s="22"/>
      <c r="Q784" s="22"/>
      <c r="R784" s="22"/>
    </row>
    <row r="785" hidden="1">
      <c r="A785" s="93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19"/>
      <c r="P785" s="22"/>
      <c r="Q785" s="22"/>
      <c r="R785" s="22"/>
    </row>
    <row r="786" hidden="1">
      <c r="A786" s="93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19"/>
      <c r="P786" s="22"/>
      <c r="Q786" s="22"/>
      <c r="R786" s="22"/>
    </row>
    <row r="787" hidden="1">
      <c r="A787" s="93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19"/>
      <c r="P787" s="22"/>
      <c r="Q787" s="22"/>
      <c r="R787" s="22"/>
    </row>
    <row r="788" hidden="1">
      <c r="A788" s="93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19"/>
      <c r="P788" s="22"/>
      <c r="Q788" s="22"/>
      <c r="R788" s="22"/>
    </row>
    <row r="789" hidden="1">
      <c r="A789" s="93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19"/>
      <c r="P789" s="22"/>
      <c r="Q789" s="22"/>
      <c r="R789" s="22"/>
    </row>
    <row r="790" hidden="1">
      <c r="A790" s="93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19"/>
      <c r="P790" s="22"/>
      <c r="Q790" s="22"/>
      <c r="R790" s="22"/>
    </row>
    <row r="791" hidden="1">
      <c r="A791" s="93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19"/>
      <c r="P791" s="22"/>
      <c r="Q791" s="22"/>
      <c r="R791" s="22"/>
    </row>
    <row r="792" hidden="1">
      <c r="A792" s="93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19"/>
      <c r="P792" s="22"/>
      <c r="Q792" s="22"/>
      <c r="R792" s="22"/>
    </row>
    <row r="793" hidden="1">
      <c r="A793" s="93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19"/>
      <c r="P793" s="22"/>
      <c r="Q793" s="22"/>
      <c r="R793" s="22"/>
    </row>
    <row r="794" hidden="1">
      <c r="A794" s="93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19"/>
      <c r="P794" s="22"/>
      <c r="Q794" s="22"/>
      <c r="R794" s="22"/>
    </row>
    <row r="795" hidden="1">
      <c r="A795" s="93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19"/>
      <c r="P795" s="22"/>
      <c r="Q795" s="22"/>
      <c r="R795" s="22"/>
    </row>
    <row r="796" hidden="1">
      <c r="A796" s="93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19"/>
      <c r="P796" s="22"/>
      <c r="Q796" s="22"/>
      <c r="R796" s="22"/>
    </row>
    <row r="797" hidden="1">
      <c r="A797" s="93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19"/>
      <c r="P797" s="22"/>
      <c r="Q797" s="22"/>
      <c r="R797" s="22"/>
    </row>
    <row r="798" hidden="1">
      <c r="A798" s="93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19"/>
      <c r="P798" s="22"/>
      <c r="Q798" s="22"/>
      <c r="R798" s="22"/>
    </row>
    <row r="799" hidden="1">
      <c r="A799" s="93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19"/>
      <c r="P799" s="22"/>
      <c r="Q799" s="22"/>
      <c r="R799" s="22"/>
    </row>
    <row r="800" hidden="1">
      <c r="A800" s="93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19"/>
      <c r="P800" s="22"/>
      <c r="Q800" s="22"/>
      <c r="R800" s="22"/>
    </row>
    <row r="801" hidden="1">
      <c r="A801" s="93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19"/>
      <c r="P801" s="22"/>
      <c r="Q801" s="22"/>
      <c r="R801" s="22"/>
    </row>
    <row r="802" hidden="1">
      <c r="A802" s="93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19"/>
      <c r="P802" s="22"/>
      <c r="Q802" s="22"/>
      <c r="R802" s="22"/>
    </row>
    <row r="803" hidden="1">
      <c r="A803" s="93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19"/>
      <c r="P803" s="22"/>
      <c r="Q803" s="22"/>
      <c r="R803" s="22"/>
    </row>
    <row r="804" hidden="1">
      <c r="A804" s="93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19"/>
      <c r="P804" s="22"/>
      <c r="Q804" s="22"/>
      <c r="R804" s="22"/>
    </row>
    <row r="805" hidden="1">
      <c r="A805" s="93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19"/>
      <c r="P805" s="22"/>
      <c r="Q805" s="22"/>
      <c r="R805" s="22"/>
    </row>
    <row r="806" hidden="1">
      <c r="A806" s="93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19"/>
      <c r="P806" s="22"/>
      <c r="Q806" s="22"/>
      <c r="R806" s="22"/>
    </row>
    <row r="807" hidden="1">
      <c r="A807" s="93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19"/>
      <c r="P807" s="22"/>
      <c r="Q807" s="22"/>
      <c r="R807" s="22"/>
    </row>
    <row r="808" hidden="1">
      <c r="A808" s="93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19"/>
      <c r="P808" s="22"/>
      <c r="Q808" s="22"/>
      <c r="R808" s="22"/>
    </row>
    <row r="809" hidden="1">
      <c r="A809" s="93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19"/>
      <c r="P809" s="22"/>
      <c r="Q809" s="22"/>
      <c r="R809" s="22"/>
    </row>
    <row r="810" hidden="1">
      <c r="A810" s="93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19"/>
      <c r="P810" s="22"/>
      <c r="Q810" s="22"/>
      <c r="R810" s="22"/>
    </row>
    <row r="811" hidden="1">
      <c r="A811" s="93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19"/>
      <c r="P811" s="22"/>
      <c r="Q811" s="22"/>
      <c r="R811" s="22"/>
    </row>
    <row r="812" hidden="1">
      <c r="A812" s="93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19"/>
      <c r="P812" s="22"/>
      <c r="Q812" s="22"/>
      <c r="R812" s="22"/>
    </row>
    <row r="813" hidden="1">
      <c r="A813" s="93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19"/>
      <c r="P813" s="22"/>
      <c r="Q813" s="22"/>
      <c r="R813" s="22"/>
    </row>
    <row r="814" hidden="1">
      <c r="A814" s="93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19"/>
      <c r="P814" s="22"/>
      <c r="Q814" s="22"/>
      <c r="R814" s="22"/>
    </row>
    <row r="815" hidden="1">
      <c r="A815" s="93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19"/>
      <c r="P815" s="22"/>
      <c r="Q815" s="22"/>
      <c r="R815" s="22"/>
    </row>
    <row r="816" hidden="1">
      <c r="A816" s="93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19"/>
      <c r="P816" s="22"/>
      <c r="Q816" s="22"/>
      <c r="R816" s="22"/>
    </row>
    <row r="817" hidden="1">
      <c r="A817" s="93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19"/>
      <c r="P817" s="22"/>
      <c r="Q817" s="22"/>
      <c r="R817" s="22"/>
    </row>
    <row r="818" hidden="1">
      <c r="A818" s="93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19"/>
      <c r="P818" s="22"/>
      <c r="Q818" s="22"/>
      <c r="R818" s="22"/>
    </row>
    <row r="819" hidden="1">
      <c r="A819" s="93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19"/>
      <c r="P819" s="22"/>
      <c r="Q819" s="22"/>
      <c r="R819" s="22"/>
    </row>
    <row r="820" hidden="1">
      <c r="A820" s="93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19"/>
      <c r="P820" s="22"/>
      <c r="Q820" s="22"/>
      <c r="R820" s="22"/>
    </row>
    <row r="821" hidden="1">
      <c r="A821" s="93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19"/>
      <c r="P821" s="22"/>
      <c r="Q821" s="22"/>
      <c r="R821" s="22"/>
    </row>
    <row r="822" hidden="1">
      <c r="A822" s="93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19"/>
      <c r="P822" s="22"/>
      <c r="Q822" s="22"/>
      <c r="R822" s="22"/>
    </row>
    <row r="823" hidden="1">
      <c r="A823" s="93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19"/>
      <c r="P823" s="22"/>
      <c r="Q823" s="22"/>
      <c r="R823" s="22"/>
    </row>
    <row r="824" hidden="1">
      <c r="A824" s="93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19"/>
      <c r="P824" s="22"/>
      <c r="Q824" s="22"/>
      <c r="R824" s="22"/>
    </row>
    <row r="825" hidden="1">
      <c r="A825" s="93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19"/>
      <c r="P825" s="22"/>
      <c r="Q825" s="22"/>
      <c r="R825" s="22"/>
    </row>
    <row r="826" hidden="1">
      <c r="A826" s="93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19"/>
      <c r="P826" s="22"/>
      <c r="Q826" s="22"/>
      <c r="R826" s="22"/>
    </row>
    <row r="827" hidden="1">
      <c r="A827" s="93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19"/>
      <c r="P827" s="22"/>
      <c r="Q827" s="22"/>
      <c r="R827" s="22"/>
    </row>
    <row r="828" hidden="1">
      <c r="A828" s="93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19"/>
      <c r="P828" s="22"/>
      <c r="Q828" s="22"/>
      <c r="R828" s="22"/>
    </row>
    <row r="829" hidden="1">
      <c r="A829" s="93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19"/>
      <c r="P829" s="22"/>
      <c r="Q829" s="22"/>
      <c r="R829" s="22"/>
    </row>
    <row r="830" hidden="1">
      <c r="A830" s="93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19"/>
      <c r="P830" s="22"/>
      <c r="Q830" s="22"/>
      <c r="R830" s="22"/>
    </row>
    <row r="831" hidden="1">
      <c r="A831" s="93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19"/>
      <c r="P831" s="22"/>
      <c r="Q831" s="22"/>
      <c r="R831" s="22"/>
    </row>
    <row r="832" hidden="1">
      <c r="A832" s="93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19"/>
      <c r="P832" s="22"/>
      <c r="Q832" s="22"/>
      <c r="R832" s="22"/>
    </row>
    <row r="833" hidden="1">
      <c r="A833" s="93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19"/>
      <c r="P833" s="22"/>
      <c r="Q833" s="22"/>
      <c r="R833" s="22"/>
    </row>
    <row r="834" hidden="1">
      <c r="A834" s="93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19"/>
      <c r="P834" s="22"/>
      <c r="Q834" s="22"/>
      <c r="R834" s="22"/>
    </row>
    <row r="835" hidden="1">
      <c r="A835" s="93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19"/>
      <c r="P835" s="22"/>
      <c r="Q835" s="22"/>
      <c r="R835" s="22"/>
    </row>
    <row r="836" hidden="1">
      <c r="A836" s="93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19"/>
      <c r="P836" s="22"/>
      <c r="Q836" s="22"/>
      <c r="R836" s="22"/>
    </row>
    <row r="837" hidden="1">
      <c r="A837" s="93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19"/>
      <c r="P837" s="22"/>
      <c r="Q837" s="22"/>
      <c r="R837" s="22"/>
    </row>
    <row r="838" hidden="1">
      <c r="A838" s="93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19"/>
      <c r="P838" s="22"/>
      <c r="Q838" s="22"/>
      <c r="R838" s="22"/>
    </row>
    <row r="839" hidden="1">
      <c r="A839" s="93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19"/>
      <c r="P839" s="22"/>
      <c r="Q839" s="22"/>
      <c r="R839" s="22"/>
    </row>
    <row r="840" hidden="1">
      <c r="A840" s="93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19"/>
      <c r="P840" s="22"/>
      <c r="Q840" s="22"/>
      <c r="R840" s="22"/>
    </row>
    <row r="841" hidden="1">
      <c r="A841" s="93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19"/>
      <c r="P841" s="22"/>
      <c r="Q841" s="22"/>
      <c r="R841" s="22"/>
    </row>
    <row r="842" hidden="1">
      <c r="A842" s="93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19"/>
      <c r="P842" s="22"/>
      <c r="Q842" s="22"/>
      <c r="R842" s="22"/>
    </row>
    <row r="843" hidden="1">
      <c r="A843" s="93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19"/>
      <c r="P843" s="22"/>
      <c r="Q843" s="22"/>
      <c r="R843" s="22"/>
    </row>
    <row r="844" hidden="1">
      <c r="A844" s="93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19"/>
      <c r="P844" s="22"/>
      <c r="Q844" s="22"/>
      <c r="R844" s="22"/>
    </row>
    <row r="845" hidden="1">
      <c r="A845" s="93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19"/>
      <c r="P845" s="22"/>
      <c r="Q845" s="22"/>
      <c r="R845" s="22"/>
    </row>
    <row r="846" hidden="1">
      <c r="A846" s="93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19"/>
      <c r="P846" s="22"/>
      <c r="Q846" s="22"/>
      <c r="R846" s="22"/>
    </row>
    <row r="847" hidden="1">
      <c r="A847" s="93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19"/>
      <c r="P847" s="22"/>
      <c r="Q847" s="22"/>
      <c r="R847" s="22"/>
    </row>
    <row r="848" hidden="1">
      <c r="A848" s="93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19"/>
      <c r="P848" s="22"/>
      <c r="Q848" s="22"/>
      <c r="R848" s="22"/>
    </row>
    <row r="849" hidden="1">
      <c r="A849" s="93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19"/>
      <c r="P849" s="22"/>
      <c r="Q849" s="22"/>
      <c r="R849" s="22"/>
    </row>
    <row r="850" hidden="1">
      <c r="A850" s="93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19"/>
      <c r="P850" s="22"/>
      <c r="Q850" s="22"/>
      <c r="R850" s="22"/>
    </row>
    <row r="851" hidden="1">
      <c r="A851" s="93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19"/>
      <c r="P851" s="22"/>
      <c r="Q851" s="22"/>
      <c r="R851" s="22"/>
    </row>
    <row r="852" hidden="1">
      <c r="A852" s="93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19"/>
      <c r="P852" s="22"/>
      <c r="Q852" s="22"/>
      <c r="R852" s="22"/>
    </row>
    <row r="853" hidden="1">
      <c r="A853" s="93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19"/>
      <c r="P853" s="22"/>
      <c r="Q853" s="22"/>
      <c r="R853" s="22"/>
    </row>
    <row r="854" hidden="1">
      <c r="A854" s="93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19"/>
      <c r="P854" s="22"/>
      <c r="Q854" s="22"/>
      <c r="R854" s="22"/>
    </row>
    <row r="855" hidden="1">
      <c r="A855" s="93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19"/>
      <c r="P855" s="22"/>
      <c r="Q855" s="22"/>
      <c r="R855" s="22"/>
    </row>
    <row r="856" hidden="1">
      <c r="A856" s="93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19"/>
      <c r="P856" s="22"/>
      <c r="Q856" s="22"/>
      <c r="R856" s="22"/>
    </row>
    <row r="857" hidden="1">
      <c r="A857" s="93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19"/>
      <c r="P857" s="22"/>
      <c r="Q857" s="22"/>
      <c r="R857" s="22"/>
    </row>
    <row r="858" hidden="1">
      <c r="A858" s="93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19"/>
      <c r="P858" s="22"/>
      <c r="Q858" s="22"/>
      <c r="R858" s="22"/>
    </row>
    <row r="859" hidden="1">
      <c r="A859" s="93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19"/>
      <c r="P859" s="22"/>
      <c r="Q859" s="22"/>
      <c r="R859" s="22"/>
    </row>
    <row r="860" hidden="1">
      <c r="A860" s="93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19"/>
      <c r="P860" s="22"/>
      <c r="Q860" s="22"/>
      <c r="R860" s="22"/>
    </row>
    <row r="861" hidden="1">
      <c r="A861" s="93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19"/>
      <c r="P861" s="22"/>
      <c r="Q861" s="22"/>
      <c r="R861" s="22"/>
    </row>
    <row r="862" hidden="1">
      <c r="A862" s="93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19"/>
      <c r="P862" s="22"/>
      <c r="Q862" s="22"/>
      <c r="R862" s="22"/>
    </row>
    <row r="863" hidden="1">
      <c r="A863" s="93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19"/>
      <c r="P863" s="22"/>
      <c r="Q863" s="22"/>
      <c r="R863" s="22"/>
    </row>
    <row r="864" hidden="1">
      <c r="A864" s="93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19"/>
      <c r="P864" s="22"/>
      <c r="Q864" s="22"/>
      <c r="R864" s="22"/>
    </row>
    <row r="865" hidden="1">
      <c r="A865" s="93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19"/>
      <c r="P865" s="22"/>
      <c r="Q865" s="22"/>
      <c r="R865" s="22"/>
    </row>
    <row r="866" hidden="1">
      <c r="A866" s="93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19"/>
      <c r="P866" s="22"/>
      <c r="Q866" s="22"/>
      <c r="R866" s="22"/>
    </row>
    <row r="867" hidden="1">
      <c r="A867" s="93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19"/>
      <c r="P867" s="22"/>
      <c r="Q867" s="22"/>
      <c r="R867" s="22"/>
    </row>
    <row r="868" hidden="1">
      <c r="A868" s="93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19"/>
      <c r="P868" s="22"/>
      <c r="Q868" s="22"/>
      <c r="R868" s="22"/>
    </row>
    <row r="869" hidden="1">
      <c r="A869" s="93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19"/>
      <c r="P869" s="22"/>
      <c r="Q869" s="22"/>
      <c r="R869" s="22"/>
    </row>
    <row r="870" hidden="1">
      <c r="A870" s="93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19"/>
      <c r="P870" s="22"/>
      <c r="Q870" s="22"/>
      <c r="R870" s="22"/>
    </row>
    <row r="871" hidden="1">
      <c r="A871" s="93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19"/>
      <c r="P871" s="22"/>
      <c r="Q871" s="22"/>
      <c r="R871" s="22"/>
    </row>
    <row r="872" hidden="1">
      <c r="A872" s="93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19"/>
      <c r="P872" s="22"/>
      <c r="Q872" s="22"/>
      <c r="R872" s="22"/>
    </row>
    <row r="873" hidden="1">
      <c r="A873" s="93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19"/>
      <c r="P873" s="22"/>
      <c r="Q873" s="22"/>
      <c r="R873" s="22"/>
    </row>
    <row r="874" hidden="1">
      <c r="A874" s="93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19"/>
      <c r="P874" s="22"/>
      <c r="Q874" s="22"/>
      <c r="R874" s="22"/>
    </row>
    <row r="875" hidden="1">
      <c r="A875" s="93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19"/>
      <c r="P875" s="22"/>
      <c r="Q875" s="22"/>
      <c r="R875" s="22"/>
    </row>
    <row r="876" hidden="1">
      <c r="A876" s="93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19"/>
      <c r="P876" s="22"/>
      <c r="Q876" s="22"/>
      <c r="R876" s="22"/>
    </row>
    <row r="877" hidden="1">
      <c r="A877" s="93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19"/>
      <c r="P877" s="22"/>
      <c r="Q877" s="22"/>
      <c r="R877" s="22"/>
    </row>
    <row r="878" hidden="1">
      <c r="A878" s="93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19"/>
      <c r="P878" s="22"/>
      <c r="Q878" s="22"/>
      <c r="R878" s="22"/>
    </row>
    <row r="879" hidden="1">
      <c r="A879" s="93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19"/>
      <c r="P879" s="22"/>
      <c r="Q879" s="22"/>
      <c r="R879" s="22"/>
    </row>
    <row r="880" hidden="1">
      <c r="A880" s="93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19"/>
      <c r="P880" s="22"/>
      <c r="Q880" s="22"/>
      <c r="R880" s="22"/>
    </row>
    <row r="881" hidden="1">
      <c r="A881" s="93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19"/>
      <c r="P881" s="22"/>
      <c r="Q881" s="22"/>
      <c r="R881" s="22"/>
    </row>
    <row r="882" hidden="1">
      <c r="A882" s="93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19"/>
      <c r="P882" s="22"/>
      <c r="Q882" s="22"/>
      <c r="R882" s="22"/>
    </row>
    <row r="883" hidden="1">
      <c r="A883" s="93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19"/>
      <c r="P883" s="22"/>
      <c r="Q883" s="22"/>
      <c r="R883" s="22"/>
    </row>
    <row r="884" hidden="1">
      <c r="A884" s="93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19"/>
      <c r="P884" s="22"/>
      <c r="Q884" s="22"/>
      <c r="R884" s="22"/>
    </row>
    <row r="885" hidden="1">
      <c r="A885" s="93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19"/>
      <c r="P885" s="22"/>
      <c r="Q885" s="22"/>
      <c r="R885" s="22"/>
    </row>
    <row r="886" hidden="1">
      <c r="A886" s="93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19"/>
      <c r="P886" s="22"/>
      <c r="Q886" s="22"/>
      <c r="R886" s="22"/>
    </row>
    <row r="887" hidden="1">
      <c r="A887" s="93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19"/>
      <c r="P887" s="22"/>
      <c r="Q887" s="22"/>
      <c r="R887" s="22"/>
    </row>
    <row r="888" hidden="1">
      <c r="A888" s="93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19"/>
      <c r="P888" s="22"/>
      <c r="Q888" s="22"/>
      <c r="R888" s="22"/>
    </row>
    <row r="889" hidden="1">
      <c r="A889" s="93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19"/>
      <c r="P889" s="22"/>
      <c r="Q889" s="22"/>
      <c r="R889" s="22"/>
    </row>
    <row r="890" hidden="1">
      <c r="A890" s="93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19"/>
      <c r="P890" s="22"/>
      <c r="Q890" s="22"/>
      <c r="R890" s="22"/>
    </row>
    <row r="891" hidden="1">
      <c r="A891" s="93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19"/>
      <c r="P891" s="22"/>
      <c r="Q891" s="22"/>
      <c r="R891" s="22"/>
    </row>
    <row r="892" hidden="1">
      <c r="A892" s="93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19"/>
      <c r="P892" s="22"/>
      <c r="Q892" s="22"/>
      <c r="R892" s="22"/>
    </row>
    <row r="893" hidden="1">
      <c r="A893" s="93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19"/>
      <c r="P893" s="22"/>
      <c r="Q893" s="22"/>
      <c r="R893" s="22"/>
    </row>
    <row r="894" hidden="1">
      <c r="A894" s="93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19"/>
      <c r="P894" s="22"/>
      <c r="Q894" s="22"/>
      <c r="R894" s="22"/>
    </row>
    <row r="895" hidden="1">
      <c r="A895" s="93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19"/>
      <c r="P895" s="22"/>
      <c r="Q895" s="22"/>
      <c r="R895" s="22"/>
    </row>
    <row r="896" hidden="1">
      <c r="A896" s="93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19"/>
      <c r="P896" s="22"/>
      <c r="Q896" s="22"/>
      <c r="R896" s="22"/>
    </row>
    <row r="897" hidden="1">
      <c r="A897" s="93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19"/>
      <c r="P897" s="22"/>
      <c r="Q897" s="22"/>
      <c r="R897" s="22"/>
    </row>
    <row r="898" hidden="1">
      <c r="A898" s="93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19"/>
      <c r="P898" s="22"/>
      <c r="Q898" s="22"/>
      <c r="R898" s="22"/>
    </row>
    <row r="899" hidden="1">
      <c r="A899" s="93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19"/>
      <c r="P899" s="22"/>
      <c r="Q899" s="22"/>
      <c r="R899" s="22"/>
    </row>
    <row r="900" hidden="1">
      <c r="A900" s="93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19"/>
      <c r="P900" s="22"/>
      <c r="Q900" s="22"/>
      <c r="R900" s="22"/>
    </row>
    <row r="901" hidden="1">
      <c r="A901" s="93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19"/>
      <c r="P901" s="22"/>
      <c r="Q901" s="22"/>
      <c r="R901" s="22"/>
    </row>
    <row r="902" hidden="1">
      <c r="A902" s="93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19"/>
      <c r="P902" s="22"/>
      <c r="Q902" s="22"/>
      <c r="R902" s="22"/>
    </row>
    <row r="903" hidden="1">
      <c r="A903" s="93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19"/>
      <c r="P903" s="22"/>
      <c r="Q903" s="22"/>
      <c r="R903" s="22"/>
    </row>
    <row r="904" hidden="1">
      <c r="A904" s="93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19"/>
      <c r="P904" s="22"/>
      <c r="Q904" s="22"/>
      <c r="R904" s="22"/>
    </row>
    <row r="905" hidden="1">
      <c r="A905" s="93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19"/>
      <c r="P905" s="22"/>
      <c r="Q905" s="22"/>
      <c r="R905" s="22"/>
    </row>
    <row r="906" hidden="1">
      <c r="A906" s="93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19"/>
      <c r="P906" s="22"/>
      <c r="Q906" s="22"/>
      <c r="R906" s="22"/>
    </row>
    <row r="907" hidden="1">
      <c r="A907" s="93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19"/>
      <c r="P907" s="22"/>
      <c r="Q907" s="22"/>
      <c r="R907" s="22"/>
    </row>
    <row r="908" hidden="1">
      <c r="A908" s="93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19"/>
      <c r="P908" s="22"/>
      <c r="Q908" s="22"/>
      <c r="R908" s="22"/>
    </row>
    <row r="909" hidden="1">
      <c r="A909" s="93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19"/>
      <c r="P909" s="22"/>
      <c r="Q909" s="22"/>
      <c r="R909" s="22"/>
    </row>
    <row r="910" hidden="1">
      <c r="A910" s="93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19"/>
      <c r="P910" s="22"/>
      <c r="Q910" s="22"/>
      <c r="R910" s="22"/>
    </row>
    <row r="911" hidden="1">
      <c r="A911" s="93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19"/>
      <c r="P911" s="22"/>
      <c r="Q911" s="22"/>
      <c r="R911" s="22"/>
    </row>
    <row r="912" hidden="1">
      <c r="A912" s="93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19"/>
      <c r="P912" s="22"/>
      <c r="Q912" s="22"/>
      <c r="R912" s="22"/>
    </row>
    <row r="913" hidden="1">
      <c r="A913" s="93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19"/>
      <c r="P913" s="22"/>
      <c r="Q913" s="22"/>
      <c r="R913" s="22"/>
    </row>
    <row r="914" hidden="1">
      <c r="A914" s="93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19"/>
      <c r="P914" s="22"/>
      <c r="Q914" s="22"/>
      <c r="R914" s="22"/>
    </row>
    <row r="915" hidden="1">
      <c r="A915" s="93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19"/>
      <c r="P915" s="22"/>
      <c r="Q915" s="22"/>
      <c r="R915" s="22"/>
    </row>
    <row r="916" hidden="1">
      <c r="A916" s="93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19"/>
      <c r="P916" s="22"/>
      <c r="Q916" s="22"/>
      <c r="R916" s="22"/>
    </row>
    <row r="917" hidden="1">
      <c r="A917" s="93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19"/>
      <c r="P917" s="22"/>
      <c r="Q917" s="22"/>
      <c r="R917" s="22"/>
    </row>
    <row r="918" hidden="1">
      <c r="A918" s="93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19"/>
      <c r="P918" s="22"/>
      <c r="Q918" s="22"/>
      <c r="R918" s="22"/>
    </row>
    <row r="919" hidden="1">
      <c r="A919" s="93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19"/>
      <c r="P919" s="22"/>
      <c r="Q919" s="22"/>
      <c r="R919" s="22"/>
    </row>
    <row r="920" hidden="1">
      <c r="A920" s="93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19"/>
      <c r="P920" s="22"/>
      <c r="Q920" s="22"/>
      <c r="R920" s="22"/>
    </row>
    <row r="921" hidden="1">
      <c r="A921" s="93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19"/>
      <c r="P921" s="22"/>
      <c r="Q921" s="22"/>
      <c r="R921" s="22"/>
    </row>
    <row r="922" hidden="1">
      <c r="A922" s="93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19"/>
      <c r="P922" s="22"/>
      <c r="Q922" s="22"/>
      <c r="R922" s="22"/>
    </row>
    <row r="923" hidden="1">
      <c r="A923" s="93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19"/>
      <c r="P923" s="22"/>
      <c r="Q923" s="22"/>
      <c r="R923" s="22"/>
    </row>
    <row r="924" hidden="1">
      <c r="A924" s="93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19"/>
      <c r="P924" s="22"/>
      <c r="Q924" s="22"/>
      <c r="R924" s="22"/>
    </row>
    <row r="925" hidden="1">
      <c r="A925" s="93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19"/>
      <c r="P925" s="22"/>
      <c r="Q925" s="22"/>
      <c r="R925" s="22"/>
    </row>
    <row r="926" hidden="1">
      <c r="A926" s="93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19"/>
      <c r="P926" s="22"/>
      <c r="Q926" s="22"/>
      <c r="R926" s="22"/>
    </row>
    <row r="927" hidden="1">
      <c r="A927" s="93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19"/>
      <c r="P927" s="22"/>
      <c r="Q927" s="22"/>
      <c r="R927" s="22"/>
    </row>
    <row r="928" hidden="1">
      <c r="A928" s="93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19"/>
      <c r="P928" s="22"/>
      <c r="Q928" s="22"/>
      <c r="R928" s="22"/>
    </row>
    <row r="929" hidden="1">
      <c r="A929" s="93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19"/>
      <c r="P929" s="22"/>
      <c r="Q929" s="22"/>
      <c r="R929" s="22"/>
    </row>
    <row r="930" hidden="1">
      <c r="A930" s="93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19"/>
      <c r="P930" s="22"/>
      <c r="Q930" s="22"/>
      <c r="R930" s="22"/>
    </row>
    <row r="931" hidden="1">
      <c r="A931" s="93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19"/>
      <c r="P931" s="22"/>
      <c r="Q931" s="22"/>
      <c r="R931" s="22"/>
    </row>
    <row r="932" hidden="1">
      <c r="A932" s="93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19"/>
      <c r="P932" s="22"/>
      <c r="Q932" s="22"/>
      <c r="R932" s="22"/>
    </row>
    <row r="933" hidden="1">
      <c r="A933" s="93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19"/>
      <c r="P933" s="22"/>
      <c r="Q933" s="22"/>
      <c r="R933" s="22"/>
    </row>
    <row r="934" hidden="1">
      <c r="A934" s="93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19"/>
      <c r="P934" s="22"/>
      <c r="Q934" s="22"/>
      <c r="R934" s="22"/>
    </row>
    <row r="935" hidden="1">
      <c r="A935" s="93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19"/>
      <c r="P935" s="22"/>
      <c r="Q935" s="22"/>
      <c r="R935" s="22"/>
    </row>
    <row r="936" hidden="1">
      <c r="A936" s="93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19"/>
      <c r="P936" s="22"/>
      <c r="Q936" s="22"/>
      <c r="R936" s="22"/>
    </row>
    <row r="937" hidden="1">
      <c r="A937" s="93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19"/>
      <c r="P937" s="22"/>
      <c r="Q937" s="22"/>
      <c r="R937" s="22"/>
    </row>
    <row r="938" hidden="1">
      <c r="A938" s="93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19"/>
      <c r="P938" s="22"/>
      <c r="Q938" s="22"/>
      <c r="R938" s="22"/>
    </row>
    <row r="939" hidden="1">
      <c r="A939" s="93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19"/>
      <c r="P939" s="22"/>
      <c r="Q939" s="22"/>
      <c r="R939" s="22"/>
    </row>
    <row r="940" hidden="1">
      <c r="A940" s="93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19"/>
      <c r="P940" s="22"/>
      <c r="Q940" s="22"/>
      <c r="R940" s="22"/>
    </row>
    <row r="941" hidden="1">
      <c r="A941" s="93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19"/>
      <c r="P941" s="22"/>
      <c r="Q941" s="22"/>
      <c r="R941" s="22"/>
    </row>
    <row r="942" hidden="1">
      <c r="A942" s="93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19"/>
      <c r="P942" s="22"/>
      <c r="Q942" s="22"/>
      <c r="R942" s="22"/>
    </row>
    <row r="943" hidden="1">
      <c r="A943" s="93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19"/>
      <c r="P943" s="22"/>
      <c r="Q943" s="22"/>
      <c r="R943" s="22"/>
    </row>
    <row r="944" hidden="1">
      <c r="A944" s="93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19"/>
      <c r="P944" s="22"/>
      <c r="Q944" s="22"/>
      <c r="R944" s="22"/>
    </row>
    <row r="945" hidden="1">
      <c r="A945" s="93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19"/>
      <c r="P945" s="22"/>
      <c r="Q945" s="22"/>
      <c r="R945" s="22"/>
    </row>
    <row r="946" hidden="1">
      <c r="A946" s="93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19"/>
      <c r="P946" s="22"/>
      <c r="Q946" s="22"/>
      <c r="R946" s="22"/>
    </row>
    <row r="947" hidden="1">
      <c r="A947" s="93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19"/>
      <c r="P947" s="22"/>
      <c r="Q947" s="22"/>
      <c r="R947" s="22"/>
    </row>
    <row r="948" hidden="1">
      <c r="A948" s="93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19"/>
      <c r="P948" s="22"/>
      <c r="Q948" s="22"/>
      <c r="R948" s="22"/>
    </row>
    <row r="949" hidden="1">
      <c r="A949" s="93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19"/>
      <c r="P949" s="22"/>
      <c r="Q949" s="22"/>
      <c r="R949" s="22"/>
    </row>
    <row r="950" hidden="1">
      <c r="A950" s="93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19"/>
      <c r="P950" s="22"/>
      <c r="Q950" s="22"/>
      <c r="R950" s="22"/>
    </row>
    <row r="951" hidden="1">
      <c r="A951" s="93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19"/>
      <c r="P951" s="22"/>
      <c r="Q951" s="22"/>
      <c r="R951" s="22"/>
    </row>
    <row r="952" hidden="1">
      <c r="A952" s="93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19"/>
      <c r="P952" s="22"/>
      <c r="Q952" s="22"/>
      <c r="R952" s="22"/>
    </row>
    <row r="953" hidden="1">
      <c r="A953" s="93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19"/>
      <c r="P953" s="22"/>
      <c r="Q953" s="22"/>
      <c r="R953" s="22"/>
    </row>
    <row r="954" hidden="1">
      <c r="A954" s="93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19"/>
      <c r="P954" s="22"/>
      <c r="Q954" s="22"/>
      <c r="R954" s="22"/>
    </row>
    <row r="955" hidden="1">
      <c r="A955" s="93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19"/>
      <c r="P955" s="22"/>
      <c r="Q955" s="22"/>
      <c r="R955" s="22"/>
    </row>
    <row r="956" hidden="1">
      <c r="A956" s="93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19"/>
      <c r="P956" s="22"/>
      <c r="Q956" s="22"/>
      <c r="R956" s="22"/>
    </row>
    <row r="957" hidden="1">
      <c r="A957" s="93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19"/>
      <c r="P957" s="22"/>
      <c r="Q957" s="22"/>
      <c r="R957" s="22"/>
    </row>
    <row r="958" hidden="1">
      <c r="A958" s="93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19"/>
      <c r="P958" s="22"/>
      <c r="Q958" s="22"/>
      <c r="R958" s="22"/>
    </row>
    <row r="959" hidden="1">
      <c r="A959" s="93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19"/>
      <c r="P959" s="22"/>
      <c r="Q959" s="22"/>
      <c r="R959" s="22"/>
    </row>
    <row r="960" hidden="1">
      <c r="A960" s="93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19"/>
      <c r="P960" s="22"/>
      <c r="Q960" s="22"/>
      <c r="R960" s="22"/>
    </row>
    <row r="961" hidden="1">
      <c r="A961" s="93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19"/>
      <c r="P961" s="22"/>
      <c r="Q961" s="22"/>
      <c r="R961" s="22"/>
    </row>
    <row r="962" hidden="1">
      <c r="A962" s="93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19"/>
      <c r="P962" s="22"/>
      <c r="Q962" s="22"/>
      <c r="R962" s="22"/>
    </row>
    <row r="963" hidden="1">
      <c r="A963" s="93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19"/>
      <c r="P963" s="22"/>
      <c r="Q963" s="22"/>
      <c r="R963" s="22"/>
    </row>
    <row r="964" hidden="1">
      <c r="A964" s="93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19"/>
      <c r="P964" s="22"/>
      <c r="Q964" s="22"/>
      <c r="R964" s="22"/>
    </row>
    <row r="965" hidden="1">
      <c r="A965" s="93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19"/>
      <c r="P965" s="22"/>
      <c r="Q965" s="22"/>
      <c r="R965" s="22"/>
    </row>
    <row r="966" hidden="1">
      <c r="A966" s="93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19"/>
      <c r="P966" s="22"/>
      <c r="Q966" s="22"/>
      <c r="R966" s="22"/>
    </row>
    <row r="967" hidden="1">
      <c r="A967" s="93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19"/>
      <c r="P967" s="22"/>
      <c r="Q967" s="22"/>
      <c r="R967" s="22"/>
    </row>
    <row r="968" hidden="1">
      <c r="A968" s="93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19"/>
      <c r="P968" s="22"/>
      <c r="Q968" s="22"/>
      <c r="R968" s="22"/>
    </row>
    <row r="969" hidden="1">
      <c r="A969" s="93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19"/>
      <c r="P969" s="22"/>
      <c r="Q969" s="22"/>
      <c r="R969" s="22"/>
    </row>
    <row r="970" hidden="1">
      <c r="A970" s="93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19"/>
      <c r="P970" s="22"/>
      <c r="Q970" s="22"/>
      <c r="R970" s="22"/>
    </row>
    <row r="971" hidden="1">
      <c r="A971" s="93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19"/>
      <c r="P971" s="22"/>
      <c r="Q971" s="22"/>
      <c r="R971" s="22"/>
    </row>
    <row r="972" hidden="1">
      <c r="A972" s="93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19"/>
      <c r="P972" s="22"/>
      <c r="Q972" s="22"/>
      <c r="R972" s="22"/>
    </row>
    <row r="973" hidden="1">
      <c r="A973" s="93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19"/>
      <c r="P973" s="22"/>
      <c r="Q973" s="22"/>
      <c r="R973" s="22"/>
    </row>
    <row r="974" hidden="1">
      <c r="A974" s="93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19"/>
      <c r="P974" s="22"/>
      <c r="Q974" s="22"/>
      <c r="R974" s="22"/>
    </row>
    <row r="975" hidden="1">
      <c r="A975" s="93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19"/>
      <c r="P975" s="22"/>
      <c r="Q975" s="22"/>
      <c r="R975" s="22"/>
    </row>
    <row r="976" hidden="1">
      <c r="A976" s="93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19"/>
      <c r="P976" s="22"/>
      <c r="Q976" s="22"/>
      <c r="R976" s="22"/>
    </row>
    <row r="977" hidden="1">
      <c r="A977" s="93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19"/>
      <c r="P977" s="22"/>
      <c r="Q977" s="22"/>
      <c r="R977" s="22"/>
    </row>
    <row r="978" hidden="1">
      <c r="A978" s="93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19"/>
      <c r="P978" s="22"/>
      <c r="Q978" s="22"/>
      <c r="R978" s="22"/>
    </row>
    <row r="979" hidden="1">
      <c r="A979" s="93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19"/>
      <c r="P979" s="22"/>
      <c r="Q979" s="22"/>
      <c r="R979" s="22"/>
    </row>
    <row r="980" hidden="1">
      <c r="A980" s="93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19"/>
      <c r="P980" s="22"/>
      <c r="Q980" s="22"/>
      <c r="R980" s="22"/>
    </row>
    <row r="981" hidden="1">
      <c r="A981" s="93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19"/>
      <c r="P981" s="22"/>
      <c r="Q981" s="22"/>
      <c r="R981" s="22"/>
    </row>
    <row r="982" hidden="1">
      <c r="A982" s="93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19"/>
      <c r="P982" s="22"/>
      <c r="Q982" s="22"/>
      <c r="R982" s="22"/>
    </row>
    <row r="983" hidden="1">
      <c r="A983" s="93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19"/>
      <c r="P983" s="22"/>
      <c r="Q983" s="22"/>
      <c r="R983" s="22"/>
    </row>
    <row r="984" hidden="1">
      <c r="A984" s="93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19"/>
      <c r="P984" s="22"/>
      <c r="Q984" s="22"/>
      <c r="R984" s="22"/>
    </row>
    <row r="985" hidden="1">
      <c r="A985" s="93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19"/>
      <c r="P985" s="22"/>
      <c r="Q985" s="22"/>
      <c r="R985" s="22"/>
    </row>
    <row r="986" hidden="1">
      <c r="A986" s="93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19"/>
      <c r="P986" s="22"/>
      <c r="Q986" s="22"/>
      <c r="R986" s="22"/>
    </row>
    <row r="987" hidden="1">
      <c r="A987" s="93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19"/>
      <c r="P987" s="22"/>
      <c r="Q987" s="22"/>
      <c r="R987" s="22"/>
    </row>
    <row r="988" hidden="1">
      <c r="A988" s="93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19"/>
      <c r="P988" s="22"/>
      <c r="Q988" s="22"/>
      <c r="R988" s="22"/>
    </row>
    <row r="989" hidden="1">
      <c r="A989" s="93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19"/>
      <c r="P989" s="22"/>
      <c r="Q989" s="22"/>
      <c r="R989" s="22"/>
    </row>
    <row r="990" hidden="1">
      <c r="A990" s="93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19"/>
      <c r="P990" s="22"/>
      <c r="Q990" s="22"/>
      <c r="R990" s="22"/>
    </row>
    <row r="991" hidden="1">
      <c r="A991" s="93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19"/>
      <c r="P991" s="22"/>
      <c r="Q991" s="22"/>
      <c r="R991" s="22"/>
    </row>
    <row r="992" hidden="1">
      <c r="A992" s="93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19"/>
      <c r="P992" s="22"/>
      <c r="Q992" s="22"/>
      <c r="R992" s="22"/>
    </row>
    <row r="993" hidden="1">
      <c r="A993" s="93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19"/>
      <c r="P993" s="22"/>
      <c r="Q993" s="22"/>
      <c r="R993" s="22"/>
    </row>
    <row r="994" hidden="1">
      <c r="A994" s="93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19"/>
      <c r="P994" s="22"/>
      <c r="Q994" s="22"/>
      <c r="R994" s="22"/>
    </row>
    <row r="995" hidden="1">
      <c r="A995" s="93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19"/>
      <c r="P995" s="22"/>
      <c r="Q995" s="22"/>
      <c r="R995" s="22"/>
    </row>
    <row r="996" hidden="1">
      <c r="A996" s="93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19"/>
      <c r="P996" s="22"/>
      <c r="Q996" s="22"/>
      <c r="R996" s="22"/>
    </row>
    <row r="997" hidden="1">
      <c r="A997" s="93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19"/>
      <c r="P997" s="22"/>
      <c r="Q997" s="22"/>
      <c r="R997" s="22"/>
    </row>
    <row r="998" hidden="1">
      <c r="A998" s="93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19"/>
      <c r="P998" s="22"/>
      <c r="Q998" s="22"/>
      <c r="R998" s="22"/>
    </row>
    <row r="999" hidden="1">
      <c r="A999" s="93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19"/>
      <c r="P999" s="22"/>
      <c r="Q999" s="22"/>
      <c r="R999" s="22"/>
    </row>
    <row r="1000" hidden="1">
      <c r="A1000" s="93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19"/>
      <c r="P1000" s="22"/>
      <c r="Q1000" s="22"/>
      <c r="R1000" s="22"/>
    </row>
    <row r="1001" hidden="1">
      <c r="A1001" s="93"/>
      <c r="B1001" s="66"/>
      <c r="C1001" s="66"/>
      <c r="D1001" s="66"/>
      <c r="E1001" s="66"/>
      <c r="F1001" s="66"/>
      <c r="G1001" s="66"/>
      <c r="H1001" s="66"/>
      <c r="I1001" s="66"/>
      <c r="J1001" s="66"/>
      <c r="K1001" s="66"/>
      <c r="L1001" s="66"/>
      <c r="M1001" s="66"/>
      <c r="N1001" s="66"/>
      <c r="O1001" s="19"/>
      <c r="P1001" s="22"/>
      <c r="Q1001" s="22"/>
      <c r="R1001" s="22"/>
    </row>
    <row r="1002" hidden="1">
      <c r="A1002" s="93"/>
      <c r="B1002" s="66"/>
      <c r="C1002" s="66"/>
      <c r="D1002" s="66"/>
      <c r="E1002" s="66"/>
      <c r="F1002" s="66"/>
      <c r="G1002" s="66"/>
      <c r="H1002" s="66"/>
      <c r="I1002" s="66"/>
      <c r="J1002" s="66"/>
      <c r="K1002" s="66"/>
      <c r="L1002" s="66"/>
      <c r="M1002" s="66"/>
      <c r="N1002" s="66"/>
      <c r="O1002" s="19"/>
      <c r="P1002" s="22"/>
      <c r="Q1002" s="22"/>
      <c r="R1002" s="22"/>
    </row>
    <row r="1003" hidden="1">
      <c r="A1003" s="93"/>
      <c r="B1003" s="66"/>
      <c r="C1003" s="66"/>
      <c r="D1003" s="66"/>
      <c r="E1003" s="66"/>
      <c r="F1003" s="66"/>
      <c r="G1003" s="66"/>
      <c r="H1003" s="66"/>
      <c r="I1003" s="66"/>
      <c r="J1003" s="66"/>
      <c r="K1003" s="66"/>
      <c r="L1003" s="66"/>
      <c r="M1003" s="66"/>
      <c r="N1003" s="66"/>
      <c r="O1003" s="19"/>
      <c r="P1003" s="22"/>
      <c r="Q1003" s="22"/>
      <c r="R1003" s="22"/>
    </row>
    <row r="1004" hidden="1">
      <c r="A1004" s="93"/>
      <c r="B1004" s="66"/>
      <c r="C1004" s="66"/>
      <c r="D1004" s="66"/>
      <c r="E1004" s="66"/>
      <c r="F1004" s="66"/>
      <c r="G1004" s="66"/>
      <c r="H1004" s="66"/>
      <c r="I1004" s="66"/>
      <c r="J1004" s="66"/>
      <c r="K1004" s="66"/>
      <c r="L1004" s="66"/>
      <c r="M1004" s="66"/>
      <c r="N1004" s="66"/>
      <c r="O1004" s="19"/>
      <c r="P1004" s="22"/>
      <c r="Q1004" s="22"/>
      <c r="R1004" s="22"/>
    </row>
    <row r="1005" hidden="1">
      <c r="A1005" s="93"/>
      <c r="B1005" s="66"/>
      <c r="C1005" s="66"/>
      <c r="D1005" s="66"/>
      <c r="E1005" s="66"/>
      <c r="F1005" s="66"/>
      <c r="G1005" s="66"/>
      <c r="H1005" s="66"/>
      <c r="I1005" s="66"/>
      <c r="J1005" s="66"/>
      <c r="K1005" s="66"/>
      <c r="L1005" s="66"/>
      <c r="M1005" s="66"/>
      <c r="N1005" s="66"/>
      <c r="O1005" s="19"/>
      <c r="P1005" s="22"/>
      <c r="Q1005" s="22"/>
      <c r="R1005" s="22"/>
    </row>
    <row r="1006" hidden="1">
      <c r="A1006" s="93"/>
      <c r="B1006" s="66"/>
      <c r="C1006" s="66"/>
      <c r="D1006" s="66"/>
      <c r="E1006" s="66"/>
      <c r="F1006" s="66"/>
      <c r="G1006" s="66"/>
      <c r="H1006" s="66"/>
      <c r="I1006" s="66"/>
      <c r="J1006" s="66"/>
      <c r="K1006" s="66"/>
      <c r="L1006" s="66"/>
      <c r="M1006" s="66"/>
      <c r="N1006" s="66"/>
      <c r="O1006" s="19"/>
      <c r="P1006" s="22"/>
      <c r="Q1006" s="22"/>
      <c r="R1006" s="22"/>
    </row>
    <row r="1007" hidden="1">
      <c r="A1007" s="93"/>
      <c r="B1007" s="66"/>
      <c r="C1007" s="66"/>
      <c r="D1007" s="66"/>
      <c r="E1007" s="66"/>
      <c r="F1007" s="66"/>
      <c r="G1007" s="66"/>
      <c r="H1007" s="66"/>
      <c r="I1007" s="66"/>
      <c r="J1007" s="66"/>
      <c r="K1007" s="66"/>
      <c r="L1007" s="66"/>
      <c r="M1007" s="66"/>
      <c r="N1007" s="66"/>
      <c r="O1007" s="19"/>
      <c r="P1007" s="22"/>
      <c r="Q1007" s="22"/>
      <c r="R1007" s="22"/>
    </row>
    <row r="1008" hidden="1">
      <c r="A1008" s="93"/>
      <c r="B1008" s="66"/>
      <c r="C1008" s="66"/>
      <c r="D1008" s="66"/>
      <c r="E1008" s="66"/>
      <c r="F1008" s="66"/>
      <c r="G1008" s="66"/>
      <c r="H1008" s="66"/>
      <c r="I1008" s="66"/>
      <c r="J1008" s="66"/>
      <c r="K1008" s="66"/>
      <c r="L1008" s="66"/>
      <c r="M1008" s="66"/>
      <c r="N1008" s="66"/>
      <c r="O1008" s="19"/>
      <c r="P1008" s="22"/>
      <c r="Q1008" s="22"/>
      <c r="R1008" s="22"/>
    </row>
    <row r="1009" hidden="1">
      <c r="A1009" s="93"/>
      <c r="B1009" s="66"/>
      <c r="C1009" s="66"/>
      <c r="D1009" s="66"/>
      <c r="E1009" s="66"/>
      <c r="F1009" s="66"/>
      <c r="G1009" s="66"/>
      <c r="H1009" s="66"/>
      <c r="I1009" s="66"/>
      <c r="J1009" s="66"/>
      <c r="K1009" s="66"/>
      <c r="L1009" s="66"/>
      <c r="M1009" s="66"/>
      <c r="N1009" s="66"/>
      <c r="O1009" s="19"/>
      <c r="P1009" s="22"/>
      <c r="Q1009" s="22"/>
      <c r="R1009" s="22"/>
    </row>
    <row r="1010" hidden="1">
      <c r="A1010" s="93"/>
      <c r="B1010" s="66"/>
      <c r="C1010" s="66"/>
      <c r="D1010" s="66"/>
      <c r="E1010" s="66"/>
      <c r="F1010" s="66"/>
      <c r="G1010" s="66"/>
      <c r="H1010" s="66"/>
      <c r="I1010" s="66"/>
      <c r="J1010" s="66"/>
      <c r="K1010" s="66"/>
      <c r="L1010" s="66"/>
      <c r="M1010" s="66"/>
      <c r="N1010" s="66"/>
      <c r="O1010" s="19"/>
      <c r="P1010" s="22"/>
      <c r="Q1010" s="22"/>
      <c r="R1010" s="22"/>
    </row>
    <row r="1011" hidden="1">
      <c r="A1011" s="93"/>
      <c r="B1011" s="66"/>
      <c r="C1011" s="66"/>
      <c r="D1011" s="66"/>
      <c r="E1011" s="66"/>
      <c r="F1011" s="66"/>
      <c r="G1011" s="66"/>
      <c r="H1011" s="66"/>
      <c r="I1011" s="66"/>
      <c r="J1011" s="66"/>
      <c r="K1011" s="66"/>
      <c r="L1011" s="66"/>
      <c r="M1011" s="66"/>
      <c r="N1011" s="66"/>
      <c r="O1011" s="19"/>
      <c r="P1011" s="22"/>
      <c r="Q1011" s="22"/>
      <c r="R1011" s="22"/>
    </row>
    <row r="1012" hidden="1">
      <c r="A1012" s="93"/>
      <c r="B1012" s="66"/>
      <c r="C1012" s="66"/>
      <c r="D1012" s="66"/>
      <c r="E1012" s="66"/>
      <c r="F1012" s="66"/>
      <c r="G1012" s="66"/>
      <c r="H1012" s="66"/>
      <c r="I1012" s="66"/>
      <c r="J1012" s="66"/>
      <c r="K1012" s="66"/>
      <c r="L1012" s="66"/>
      <c r="M1012" s="66"/>
      <c r="N1012" s="66"/>
      <c r="O1012" s="19"/>
      <c r="P1012" s="22"/>
      <c r="Q1012" s="22"/>
      <c r="R1012" s="22"/>
    </row>
    <row r="1013" hidden="1">
      <c r="A1013" s="93"/>
      <c r="B1013" s="66"/>
      <c r="C1013" s="66"/>
      <c r="D1013" s="66"/>
      <c r="E1013" s="66"/>
      <c r="F1013" s="66"/>
      <c r="G1013" s="66"/>
      <c r="H1013" s="66"/>
      <c r="I1013" s="66"/>
      <c r="J1013" s="66"/>
      <c r="K1013" s="66"/>
      <c r="L1013" s="66"/>
      <c r="M1013" s="66"/>
      <c r="N1013" s="66"/>
      <c r="O1013" s="19"/>
      <c r="P1013" s="22"/>
      <c r="Q1013" s="22"/>
      <c r="R1013" s="22"/>
    </row>
    <row r="1014" hidden="1">
      <c r="A1014" s="93"/>
      <c r="B1014" s="66"/>
      <c r="C1014" s="66"/>
      <c r="D1014" s="66"/>
      <c r="E1014" s="66"/>
      <c r="F1014" s="66"/>
      <c r="G1014" s="66"/>
      <c r="H1014" s="66"/>
      <c r="I1014" s="66"/>
      <c r="J1014" s="66"/>
      <c r="K1014" s="66"/>
      <c r="L1014" s="66"/>
      <c r="M1014" s="66"/>
      <c r="N1014" s="66"/>
      <c r="O1014" s="19"/>
      <c r="P1014" s="22"/>
      <c r="Q1014" s="22"/>
      <c r="R1014" s="22"/>
    </row>
    <row r="1015" hidden="1">
      <c r="A1015" s="93"/>
      <c r="B1015" s="66"/>
      <c r="C1015" s="66"/>
      <c r="D1015" s="66"/>
      <c r="E1015" s="66"/>
      <c r="F1015" s="66"/>
      <c r="G1015" s="66"/>
      <c r="H1015" s="66"/>
      <c r="I1015" s="66"/>
      <c r="J1015" s="66"/>
      <c r="K1015" s="66"/>
      <c r="L1015" s="66"/>
      <c r="M1015" s="66"/>
      <c r="N1015" s="66"/>
      <c r="O1015" s="19"/>
      <c r="P1015" s="22"/>
      <c r="Q1015" s="22"/>
      <c r="R1015" s="22"/>
    </row>
    <row r="1016" hidden="1">
      <c r="A1016" s="93"/>
      <c r="B1016" s="66"/>
      <c r="C1016" s="66"/>
      <c r="D1016" s="66"/>
      <c r="E1016" s="66"/>
      <c r="F1016" s="66"/>
      <c r="G1016" s="66"/>
      <c r="H1016" s="66"/>
      <c r="I1016" s="66"/>
      <c r="J1016" s="66"/>
      <c r="K1016" s="66"/>
      <c r="L1016" s="66"/>
      <c r="M1016" s="66"/>
      <c r="N1016" s="66"/>
      <c r="O1016" s="19"/>
      <c r="P1016" s="22"/>
      <c r="Q1016" s="22"/>
      <c r="R1016" s="22"/>
    </row>
    <row r="1017" hidden="1">
      <c r="A1017" s="93"/>
      <c r="B1017" s="66"/>
      <c r="C1017" s="66"/>
      <c r="D1017" s="66"/>
      <c r="E1017" s="66"/>
      <c r="F1017" s="66"/>
      <c r="G1017" s="66"/>
      <c r="H1017" s="66"/>
      <c r="I1017" s="66"/>
      <c r="J1017" s="66"/>
      <c r="K1017" s="66"/>
      <c r="L1017" s="66"/>
      <c r="M1017" s="66"/>
      <c r="N1017" s="66"/>
      <c r="O1017" s="19"/>
      <c r="P1017" s="22"/>
      <c r="Q1017" s="22"/>
      <c r="R1017" s="22"/>
    </row>
    <row r="1018" hidden="1">
      <c r="A1018" s="93"/>
      <c r="B1018" s="66"/>
      <c r="C1018" s="66"/>
      <c r="D1018" s="66"/>
      <c r="E1018" s="66"/>
      <c r="F1018" s="66"/>
      <c r="G1018" s="66"/>
      <c r="H1018" s="66"/>
      <c r="I1018" s="66"/>
      <c r="J1018" s="66"/>
      <c r="K1018" s="66"/>
      <c r="L1018" s="66"/>
      <c r="M1018" s="66"/>
      <c r="N1018" s="66"/>
      <c r="O1018" s="19"/>
      <c r="P1018" s="22"/>
      <c r="Q1018" s="22"/>
      <c r="R1018" s="22"/>
    </row>
    <row r="1019" hidden="1">
      <c r="A1019" s="93"/>
      <c r="B1019" s="66"/>
      <c r="C1019" s="66"/>
      <c r="D1019" s="66"/>
      <c r="E1019" s="66"/>
      <c r="F1019" s="66"/>
      <c r="G1019" s="66"/>
      <c r="H1019" s="66"/>
      <c r="I1019" s="66"/>
      <c r="J1019" s="66"/>
      <c r="K1019" s="66"/>
      <c r="L1019" s="66"/>
      <c r="M1019" s="66"/>
      <c r="N1019" s="66"/>
      <c r="O1019" s="19"/>
      <c r="P1019" s="22"/>
      <c r="Q1019" s="22"/>
      <c r="R1019" s="22"/>
    </row>
    <row r="1020" hidden="1">
      <c r="A1020" s="93"/>
      <c r="B1020" s="66"/>
      <c r="C1020" s="66"/>
      <c r="D1020" s="66"/>
      <c r="E1020" s="66"/>
      <c r="F1020" s="66"/>
      <c r="G1020" s="66"/>
      <c r="H1020" s="66"/>
      <c r="I1020" s="66"/>
      <c r="J1020" s="66"/>
      <c r="K1020" s="66"/>
      <c r="L1020" s="66"/>
      <c r="M1020" s="66"/>
      <c r="N1020" s="66"/>
      <c r="O1020" s="19"/>
      <c r="P1020" s="22"/>
      <c r="Q1020" s="22"/>
      <c r="R1020" s="22"/>
    </row>
    <row r="1021" hidden="1">
      <c r="A1021" s="93"/>
      <c r="B1021" s="66"/>
      <c r="C1021" s="66"/>
      <c r="D1021" s="66"/>
      <c r="E1021" s="66"/>
      <c r="F1021" s="66"/>
      <c r="G1021" s="66"/>
      <c r="H1021" s="66"/>
      <c r="I1021" s="66"/>
      <c r="J1021" s="66"/>
      <c r="K1021" s="66"/>
      <c r="L1021" s="66"/>
      <c r="M1021" s="66"/>
      <c r="N1021" s="66"/>
      <c r="O1021" s="19"/>
      <c r="P1021" s="22"/>
      <c r="Q1021" s="22"/>
      <c r="R1021" s="22"/>
    </row>
    <row r="1022" hidden="1">
      <c r="A1022" s="93"/>
      <c r="B1022" s="66"/>
      <c r="C1022" s="66"/>
      <c r="D1022" s="66"/>
      <c r="E1022" s="66"/>
      <c r="F1022" s="66"/>
      <c r="G1022" s="66"/>
      <c r="H1022" s="66"/>
      <c r="I1022" s="66"/>
      <c r="J1022" s="66"/>
      <c r="K1022" s="66"/>
      <c r="L1022" s="66"/>
      <c r="M1022" s="66"/>
      <c r="N1022" s="66"/>
      <c r="O1022" s="19"/>
      <c r="P1022" s="22"/>
      <c r="Q1022" s="22"/>
      <c r="R1022" s="22"/>
    </row>
    <row r="1023" hidden="1">
      <c r="A1023" s="93"/>
      <c r="B1023" s="66"/>
      <c r="C1023" s="66"/>
      <c r="D1023" s="66"/>
      <c r="E1023" s="66"/>
      <c r="F1023" s="66"/>
      <c r="G1023" s="66"/>
      <c r="H1023" s="66"/>
      <c r="I1023" s="66"/>
      <c r="J1023" s="66"/>
      <c r="K1023" s="66"/>
      <c r="L1023" s="66"/>
      <c r="M1023" s="66"/>
      <c r="N1023" s="66"/>
      <c r="O1023" s="19"/>
      <c r="P1023" s="22"/>
      <c r="Q1023" s="22"/>
      <c r="R1023" s="22"/>
    </row>
    <row r="1024" hidden="1">
      <c r="A1024" s="93"/>
      <c r="B1024" s="66"/>
      <c r="C1024" s="66"/>
      <c r="D1024" s="66"/>
      <c r="E1024" s="66"/>
      <c r="F1024" s="66"/>
      <c r="G1024" s="66"/>
      <c r="H1024" s="66"/>
      <c r="I1024" s="66"/>
      <c r="J1024" s="66"/>
      <c r="K1024" s="66"/>
      <c r="L1024" s="66"/>
      <c r="M1024" s="66"/>
      <c r="N1024" s="66"/>
      <c r="O1024" s="19"/>
      <c r="P1024" s="22"/>
      <c r="Q1024" s="22"/>
      <c r="R1024" s="22"/>
    </row>
    <row r="1025" hidden="1">
      <c r="A1025" s="93"/>
      <c r="B1025" s="66"/>
      <c r="C1025" s="66"/>
      <c r="D1025" s="66"/>
      <c r="E1025" s="66"/>
      <c r="F1025" s="66"/>
      <c r="G1025" s="66"/>
      <c r="H1025" s="66"/>
      <c r="I1025" s="66"/>
      <c r="J1025" s="66"/>
      <c r="K1025" s="66"/>
      <c r="L1025" s="66"/>
      <c r="M1025" s="66"/>
      <c r="N1025" s="66"/>
      <c r="O1025" s="19"/>
      <c r="P1025" s="22"/>
      <c r="Q1025" s="22"/>
      <c r="R1025" s="22"/>
    </row>
    <row r="1026" hidden="1">
      <c r="A1026" s="93"/>
      <c r="B1026" s="66"/>
      <c r="C1026" s="66"/>
      <c r="D1026" s="66"/>
      <c r="E1026" s="66"/>
      <c r="F1026" s="66"/>
      <c r="G1026" s="66"/>
      <c r="H1026" s="66"/>
      <c r="I1026" s="66"/>
      <c r="J1026" s="66"/>
      <c r="K1026" s="66"/>
      <c r="L1026" s="66"/>
      <c r="M1026" s="66"/>
      <c r="N1026" s="66"/>
      <c r="O1026" s="19"/>
      <c r="P1026" s="22"/>
      <c r="Q1026" s="22"/>
      <c r="R1026" s="22"/>
    </row>
    <row r="1027" hidden="1">
      <c r="A1027" s="93"/>
      <c r="B1027" s="66"/>
      <c r="C1027" s="66"/>
      <c r="D1027" s="66"/>
      <c r="E1027" s="66"/>
      <c r="F1027" s="66"/>
      <c r="G1027" s="66"/>
      <c r="H1027" s="66"/>
      <c r="I1027" s="66"/>
      <c r="J1027" s="66"/>
      <c r="K1027" s="66"/>
      <c r="L1027" s="66"/>
      <c r="M1027" s="66"/>
      <c r="N1027" s="66"/>
      <c r="O1027" s="19"/>
      <c r="P1027" s="22"/>
      <c r="Q1027" s="22"/>
      <c r="R1027" s="22"/>
    </row>
    <row r="1028" hidden="1">
      <c r="A1028" s="93"/>
      <c r="B1028" s="66"/>
      <c r="C1028" s="66"/>
      <c r="D1028" s="66"/>
      <c r="E1028" s="66"/>
      <c r="F1028" s="66"/>
      <c r="G1028" s="66"/>
      <c r="H1028" s="66"/>
      <c r="I1028" s="66"/>
      <c r="J1028" s="66"/>
      <c r="K1028" s="66"/>
      <c r="L1028" s="66"/>
      <c r="M1028" s="66"/>
      <c r="N1028" s="66"/>
      <c r="O1028" s="19"/>
      <c r="P1028" s="22"/>
      <c r="Q1028" s="22"/>
      <c r="R1028" s="22"/>
    </row>
    <row r="1029" hidden="1">
      <c r="A1029" s="93"/>
      <c r="B1029" s="66"/>
      <c r="C1029" s="66"/>
      <c r="D1029" s="66"/>
      <c r="E1029" s="66"/>
      <c r="F1029" s="66"/>
      <c r="G1029" s="66"/>
      <c r="H1029" s="66"/>
      <c r="I1029" s="66"/>
      <c r="J1029" s="66"/>
      <c r="K1029" s="66"/>
      <c r="L1029" s="66"/>
      <c r="M1029" s="66"/>
      <c r="N1029" s="66"/>
      <c r="O1029" s="19"/>
      <c r="P1029" s="22"/>
      <c r="Q1029" s="22"/>
      <c r="R1029" s="22"/>
    </row>
    <row r="1030" hidden="1">
      <c r="A1030" s="93"/>
      <c r="B1030" s="66"/>
      <c r="C1030" s="66"/>
      <c r="D1030" s="66"/>
      <c r="E1030" s="66"/>
      <c r="F1030" s="66"/>
      <c r="G1030" s="66"/>
      <c r="H1030" s="66"/>
      <c r="I1030" s="66"/>
      <c r="J1030" s="66"/>
      <c r="K1030" s="66"/>
      <c r="L1030" s="66"/>
      <c r="M1030" s="66"/>
      <c r="N1030" s="66"/>
      <c r="O1030" s="19"/>
      <c r="P1030" s="22"/>
      <c r="Q1030" s="22"/>
      <c r="R1030" s="22"/>
    </row>
    <row r="1031" hidden="1">
      <c r="A1031" s="93"/>
      <c r="B1031" s="66"/>
      <c r="C1031" s="66"/>
      <c r="D1031" s="66"/>
      <c r="E1031" s="66"/>
      <c r="F1031" s="66"/>
      <c r="G1031" s="66"/>
      <c r="H1031" s="66"/>
      <c r="I1031" s="66"/>
      <c r="J1031" s="66"/>
      <c r="K1031" s="66"/>
      <c r="L1031" s="66"/>
      <c r="M1031" s="66"/>
      <c r="N1031" s="66"/>
      <c r="O1031" s="19"/>
      <c r="P1031" s="22"/>
      <c r="Q1031" s="22"/>
      <c r="R1031" s="22"/>
    </row>
    <row r="1032" hidden="1">
      <c r="A1032" s="93"/>
      <c r="B1032" s="66"/>
      <c r="C1032" s="66"/>
      <c r="D1032" s="66"/>
      <c r="E1032" s="66"/>
      <c r="F1032" s="66"/>
      <c r="G1032" s="66"/>
      <c r="H1032" s="66"/>
      <c r="I1032" s="66"/>
      <c r="J1032" s="66"/>
      <c r="K1032" s="66"/>
      <c r="L1032" s="66"/>
      <c r="M1032" s="66"/>
      <c r="N1032" s="66"/>
      <c r="O1032" s="19"/>
      <c r="P1032" s="22"/>
      <c r="Q1032" s="22"/>
      <c r="R1032" s="22"/>
    </row>
    <row r="1033" hidden="1">
      <c r="A1033" s="93"/>
      <c r="B1033" s="66"/>
      <c r="C1033" s="66"/>
      <c r="D1033" s="66"/>
      <c r="E1033" s="66"/>
      <c r="F1033" s="66"/>
      <c r="G1033" s="66"/>
      <c r="H1033" s="66"/>
      <c r="I1033" s="66"/>
      <c r="J1033" s="66"/>
      <c r="K1033" s="66"/>
      <c r="L1033" s="66"/>
      <c r="M1033" s="66"/>
      <c r="N1033" s="66"/>
      <c r="O1033" s="19"/>
      <c r="P1033" s="22"/>
      <c r="Q1033" s="22"/>
      <c r="R1033" s="22"/>
    </row>
    <row r="1034" hidden="1">
      <c r="A1034" s="93"/>
      <c r="B1034" s="66"/>
      <c r="C1034" s="66"/>
      <c r="D1034" s="66"/>
      <c r="E1034" s="66"/>
      <c r="F1034" s="66"/>
      <c r="G1034" s="66"/>
      <c r="H1034" s="66"/>
      <c r="I1034" s="66"/>
      <c r="J1034" s="66"/>
      <c r="K1034" s="66"/>
      <c r="L1034" s="66"/>
      <c r="M1034" s="66"/>
      <c r="N1034" s="66"/>
      <c r="O1034" s="19"/>
      <c r="P1034" s="22"/>
      <c r="Q1034" s="22"/>
      <c r="R1034" s="22"/>
    </row>
    <row r="1035" hidden="1">
      <c r="A1035" s="93"/>
      <c r="B1035" s="66"/>
      <c r="C1035" s="66"/>
      <c r="D1035" s="66"/>
      <c r="E1035" s="66"/>
      <c r="F1035" s="66"/>
      <c r="G1035" s="66"/>
      <c r="H1035" s="66"/>
      <c r="I1035" s="66"/>
      <c r="J1035" s="66"/>
      <c r="K1035" s="66"/>
      <c r="L1035" s="66"/>
      <c r="M1035" s="66"/>
      <c r="N1035" s="66"/>
      <c r="O1035" s="19"/>
      <c r="P1035" s="22"/>
      <c r="Q1035" s="22"/>
      <c r="R1035" s="22"/>
    </row>
    <row r="1036" hidden="1">
      <c r="A1036" s="93"/>
      <c r="B1036" s="66"/>
      <c r="C1036" s="66"/>
      <c r="D1036" s="66"/>
      <c r="E1036" s="66"/>
      <c r="F1036" s="66"/>
      <c r="G1036" s="66"/>
      <c r="H1036" s="66"/>
      <c r="I1036" s="66"/>
      <c r="J1036" s="66"/>
      <c r="K1036" s="66"/>
      <c r="L1036" s="66"/>
      <c r="M1036" s="66"/>
      <c r="N1036" s="66"/>
      <c r="O1036" s="19"/>
      <c r="P1036" s="22"/>
      <c r="Q1036" s="22"/>
      <c r="R1036" s="22"/>
    </row>
    <row r="1037" hidden="1">
      <c r="A1037" s="93"/>
      <c r="B1037" s="66"/>
      <c r="C1037" s="66"/>
      <c r="D1037" s="66"/>
      <c r="E1037" s="66"/>
      <c r="F1037" s="66"/>
      <c r="G1037" s="66"/>
      <c r="H1037" s="66"/>
      <c r="I1037" s="66"/>
      <c r="J1037" s="66"/>
      <c r="K1037" s="66"/>
      <c r="L1037" s="66"/>
      <c r="M1037" s="66"/>
      <c r="N1037" s="66"/>
      <c r="O1037" s="19"/>
      <c r="P1037" s="22"/>
      <c r="Q1037" s="22"/>
      <c r="R1037" s="22"/>
    </row>
    <row r="1038" hidden="1">
      <c r="A1038" s="93"/>
      <c r="B1038" s="66"/>
      <c r="C1038" s="66"/>
      <c r="D1038" s="66"/>
      <c r="E1038" s="66"/>
      <c r="F1038" s="66"/>
      <c r="G1038" s="66"/>
      <c r="H1038" s="66"/>
      <c r="I1038" s="66"/>
      <c r="J1038" s="66"/>
      <c r="K1038" s="66"/>
      <c r="L1038" s="66"/>
      <c r="M1038" s="66"/>
      <c r="N1038" s="66"/>
      <c r="O1038" s="19"/>
      <c r="P1038" s="22"/>
      <c r="Q1038" s="22"/>
      <c r="R1038" s="22"/>
    </row>
    <row r="1039" hidden="1">
      <c r="A1039" s="93"/>
      <c r="B1039" s="66"/>
      <c r="C1039" s="66"/>
      <c r="D1039" s="66"/>
      <c r="E1039" s="66"/>
      <c r="F1039" s="66"/>
      <c r="G1039" s="66"/>
      <c r="H1039" s="66"/>
      <c r="I1039" s="66"/>
      <c r="J1039" s="66"/>
      <c r="K1039" s="66"/>
      <c r="L1039" s="66"/>
      <c r="M1039" s="66"/>
      <c r="N1039" s="66"/>
      <c r="O1039" s="19"/>
      <c r="P1039" s="22"/>
      <c r="Q1039" s="22"/>
      <c r="R1039" s="22"/>
    </row>
    <row r="1040" hidden="1">
      <c r="A1040" s="93"/>
      <c r="B1040" s="66"/>
      <c r="C1040" s="66"/>
      <c r="D1040" s="66"/>
      <c r="E1040" s="66"/>
      <c r="F1040" s="66"/>
      <c r="G1040" s="66"/>
      <c r="H1040" s="66"/>
      <c r="I1040" s="66"/>
      <c r="J1040" s="66"/>
      <c r="K1040" s="66"/>
      <c r="L1040" s="66"/>
      <c r="M1040" s="66"/>
      <c r="N1040" s="66"/>
      <c r="O1040" s="19"/>
      <c r="P1040" s="22"/>
      <c r="Q1040" s="22"/>
      <c r="R1040" s="22"/>
    </row>
    <row r="1041" hidden="1">
      <c r="A1041" s="93"/>
      <c r="B1041" s="66"/>
      <c r="C1041" s="66"/>
      <c r="D1041" s="66"/>
      <c r="E1041" s="66"/>
      <c r="F1041" s="66"/>
      <c r="G1041" s="66"/>
      <c r="H1041" s="66"/>
      <c r="I1041" s="66"/>
      <c r="J1041" s="66"/>
      <c r="K1041" s="66"/>
      <c r="L1041" s="66"/>
      <c r="M1041" s="66"/>
      <c r="N1041" s="66"/>
      <c r="O1041" s="19"/>
      <c r="P1041" s="22"/>
      <c r="Q1041" s="22"/>
      <c r="R1041" s="22"/>
    </row>
    <row r="1042" hidden="1">
      <c r="A1042" s="93"/>
      <c r="B1042" s="66"/>
      <c r="C1042" s="66"/>
      <c r="D1042" s="66"/>
      <c r="E1042" s="66"/>
      <c r="F1042" s="66"/>
      <c r="G1042" s="66"/>
      <c r="H1042" s="66"/>
      <c r="I1042" s="66"/>
      <c r="J1042" s="66"/>
      <c r="K1042" s="66"/>
      <c r="L1042" s="66"/>
      <c r="M1042" s="66"/>
      <c r="N1042" s="66"/>
      <c r="O1042" s="19"/>
      <c r="P1042" s="22"/>
      <c r="Q1042" s="22"/>
      <c r="R1042" s="22"/>
    </row>
    <row r="1043" hidden="1">
      <c r="A1043" s="93"/>
      <c r="B1043" s="66"/>
      <c r="C1043" s="66"/>
      <c r="D1043" s="66"/>
      <c r="E1043" s="66"/>
      <c r="F1043" s="66"/>
      <c r="G1043" s="66"/>
      <c r="H1043" s="66"/>
      <c r="I1043" s="66"/>
      <c r="J1043" s="66"/>
      <c r="K1043" s="66"/>
      <c r="L1043" s="66"/>
      <c r="M1043" s="66"/>
      <c r="N1043" s="66"/>
      <c r="O1043" s="19"/>
      <c r="P1043" s="22"/>
      <c r="Q1043" s="22"/>
      <c r="R1043" s="22"/>
    </row>
    <row r="1044" hidden="1">
      <c r="A1044" s="93"/>
      <c r="B1044" s="66"/>
      <c r="C1044" s="66"/>
      <c r="D1044" s="66"/>
      <c r="E1044" s="66"/>
      <c r="F1044" s="66"/>
      <c r="G1044" s="66"/>
      <c r="H1044" s="66"/>
      <c r="I1044" s="66"/>
      <c r="J1044" s="66"/>
      <c r="K1044" s="66"/>
      <c r="L1044" s="66"/>
      <c r="M1044" s="66"/>
      <c r="N1044" s="66"/>
      <c r="O1044" s="19"/>
      <c r="P1044" s="22"/>
      <c r="Q1044" s="22"/>
      <c r="R1044" s="22"/>
    </row>
    <row r="1045" hidden="1">
      <c r="A1045" s="93"/>
      <c r="B1045" s="66"/>
      <c r="C1045" s="66"/>
      <c r="D1045" s="66"/>
      <c r="E1045" s="66"/>
      <c r="F1045" s="66"/>
      <c r="G1045" s="66"/>
      <c r="H1045" s="66"/>
      <c r="I1045" s="66"/>
      <c r="J1045" s="66"/>
      <c r="K1045" s="66"/>
      <c r="L1045" s="66"/>
      <c r="M1045" s="66"/>
      <c r="N1045" s="66"/>
      <c r="O1045" s="19"/>
      <c r="P1045" s="22"/>
      <c r="Q1045" s="22"/>
      <c r="R1045" s="22"/>
    </row>
    <row r="1046" hidden="1">
      <c r="A1046" s="93"/>
      <c r="B1046" s="66"/>
      <c r="C1046" s="66"/>
      <c r="D1046" s="66"/>
      <c r="E1046" s="66"/>
      <c r="F1046" s="66"/>
      <c r="G1046" s="66"/>
      <c r="H1046" s="66"/>
      <c r="I1046" s="66"/>
      <c r="J1046" s="66"/>
      <c r="K1046" s="66"/>
      <c r="L1046" s="66"/>
      <c r="M1046" s="66"/>
      <c r="N1046" s="66"/>
      <c r="O1046" s="19"/>
      <c r="P1046" s="22"/>
      <c r="Q1046" s="22"/>
      <c r="R1046" s="22"/>
    </row>
    <row r="1047" hidden="1">
      <c r="A1047" s="93"/>
      <c r="B1047" s="66"/>
      <c r="C1047" s="66"/>
      <c r="D1047" s="66"/>
      <c r="E1047" s="66"/>
      <c r="F1047" s="66"/>
      <c r="G1047" s="66"/>
      <c r="H1047" s="66"/>
      <c r="I1047" s="66"/>
      <c r="J1047" s="66"/>
      <c r="K1047" s="66"/>
      <c r="L1047" s="66"/>
      <c r="M1047" s="66"/>
      <c r="N1047" s="66"/>
      <c r="O1047" s="19"/>
      <c r="P1047" s="22"/>
      <c r="Q1047" s="22"/>
      <c r="R1047" s="22"/>
    </row>
    <row r="1048" hidden="1">
      <c r="A1048" s="93"/>
      <c r="B1048" s="66"/>
      <c r="C1048" s="66"/>
      <c r="D1048" s="66"/>
      <c r="E1048" s="66"/>
      <c r="F1048" s="66"/>
      <c r="G1048" s="66"/>
      <c r="H1048" s="66"/>
      <c r="I1048" s="66"/>
      <c r="J1048" s="66"/>
      <c r="K1048" s="66"/>
      <c r="L1048" s="66"/>
      <c r="M1048" s="66"/>
      <c r="N1048" s="66"/>
      <c r="O1048" s="19"/>
      <c r="P1048" s="22"/>
      <c r="Q1048" s="22"/>
      <c r="R1048" s="22"/>
    </row>
    <row r="1049" hidden="1">
      <c r="A1049" s="93"/>
      <c r="B1049" s="66"/>
      <c r="C1049" s="66"/>
      <c r="D1049" s="66"/>
      <c r="E1049" s="66"/>
      <c r="F1049" s="66"/>
      <c r="G1049" s="66"/>
      <c r="H1049" s="66"/>
      <c r="I1049" s="66"/>
      <c r="J1049" s="66"/>
      <c r="K1049" s="66"/>
      <c r="L1049" s="66"/>
      <c r="M1049" s="66"/>
      <c r="N1049" s="66"/>
      <c r="O1049" s="19"/>
      <c r="P1049" s="22"/>
      <c r="Q1049" s="22"/>
      <c r="R1049" s="22"/>
    </row>
    <row r="1050" hidden="1">
      <c r="A1050" s="93"/>
      <c r="B1050" s="66"/>
      <c r="C1050" s="66"/>
      <c r="D1050" s="66"/>
      <c r="E1050" s="66"/>
      <c r="F1050" s="66"/>
      <c r="G1050" s="66"/>
      <c r="H1050" s="66"/>
      <c r="I1050" s="66"/>
      <c r="J1050" s="66"/>
      <c r="K1050" s="66"/>
      <c r="L1050" s="66"/>
      <c r="M1050" s="66"/>
      <c r="N1050" s="66"/>
      <c r="O1050" s="19"/>
      <c r="P1050" s="22"/>
      <c r="Q1050" s="22"/>
      <c r="R1050" s="22"/>
    </row>
    <row r="1051" hidden="1">
      <c r="A1051" s="93"/>
      <c r="B1051" s="66"/>
      <c r="C1051" s="66"/>
      <c r="D1051" s="66"/>
      <c r="E1051" s="66"/>
      <c r="F1051" s="66"/>
      <c r="G1051" s="66"/>
      <c r="H1051" s="66"/>
      <c r="I1051" s="66"/>
      <c r="J1051" s="66"/>
      <c r="K1051" s="66"/>
      <c r="L1051" s="66"/>
      <c r="M1051" s="66"/>
      <c r="N1051" s="66"/>
      <c r="O1051" s="19"/>
      <c r="P1051" s="22"/>
      <c r="Q1051" s="22"/>
      <c r="R1051" s="22"/>
    </row>
    <row r="1052" hidden="1">
      <c r="A1052" s="93"/>
      <c r="B1052" s="66"/>
      <c r="C1052" s="66"/>
      <c r="D1052" s="66"/>
      <c r="E1052" s="66"/>
      <c r="F1052" s="66"/>
      <c r="G1052" s="66"/>
      <c r="H1052" s="66"/>
      <c r="I1052" s="66"/>
      <c r="J1052" s="66"/>
      <c r="K1052" s="66"/>
      <c r="L1052" s="66"/>
      <c r="M1052" s="66"/>
      <c r="N1052" s="66"/>
      <c r="O1052" s="19"/>
      <c r="P1052" s="22"/>
      <c r="Q1052" s="22"/>
      <c r="R1052" s="22"/>
    </row>
    <row r="1053" hidden="1">
      <c r="A1053" s="93"/>
      <c r="B1053" s="66"/>
      <c r="C1053" s="66"/>
      <c r="D1053" s="66"/>
      <c r="E1053" s="66"/>
      <c r="F1053" s="66"/>
      <c r="G1053" s="66"/>
      <c r="H1053" s="66"/>
      <c r="I1053" s="66"/>
      <c r="J1053" s="66"/>
      <c r="K1053" s="66"/>
      <c r="L1053" s="66"/>
      <c r="M1053" s="66"/>
      <c r="N1053" s="66"/>
      <c r="O1053" s="19"/>
      <c r="P1053" s="22"/>
      <c r="Q1053" s="22"/>
      <c r="R1053" s="22"/>
    </row>
    <row r="1054" hidden="1">
      <c r="A1054" s="93"/>
      <c r="B1054" s="66"/>
      <c r="C1054" s="66"/>
      <c r="D1054" s="66"/>
      <c r="E1054" s="66"/>
      <c r="F1054" s="66"/>
      <c r="G1054" s="66"/>
      <c r="H1054" s="66"/>
      <c r="I1054" s="66"/>
      <c r="J1054" s="66"/>
      <c r="K1054" s="66"/>
      <c r="L1054" s="66"/>
      <c r="M1054" s="66"/>
      <c r="N1054" s="66"/>
      <c r="O1054" s="19"/>
      <c r="P1054" s="22"/>
      <c r="Q1054" s="22"/>
      <c r="R1054" s="22"/>
    </row>
    <row r="1055" hidden="1">
      <c r="A1055" s="93"/>
      <c r="B1055" s="66"/>
      <c r="C1055" s="66"/>
      <c r="D1055" s="66"/>
      <c r="E1055" s="66"/>
      <c r="F1055" s="66"/>
      <c r="G1055" s="66"/>
      <c r="H1055" s="66"/>
      <c r="I1055" s="66"/>
      <c r="J1055" s="66"/>
      <c r="K1055" s="66"/>
      <c r="L1055" s="66"/>
      <c r="M1055" s="66"/>
      <c r="N1055" s="66"/>
      <c r="O1055" s="19"/>
      <c r="P1055" s="22"/>
      <c r="Q1055" s="22"/>
      <c r="R1055" s="22"/>
    </row>
    <row r="1056" hidden="1">
      <c r="A1056" s="93"/>
      <c r="B1056" s="66"/>
      <c r="C1056" s="66"/>
      <c r="D1056" s="66"/>
      <c r="E1056" s="66"/>
      <c r="F1056" s="66"/>
      <c r="G1056" s="66"/>
      <c r="H1056" s="66"/>
      <c r="I1056" s="66"/>
      <c r="J1056" s="66"/>
      <c r="K1056" s="66"/>
      <c r="L1056" s="66"/>
      <c r="M1056" s="66"/>
      <c r="N1056" s="66"/>
      <c r="O1056" s="19"/>
      <c r="P1056" s="22"/>
      <c r="Q1056" s="22"/>
      <c r="R1056" s="22"/>
    </row>
    <row r="1057" hidden="1">
      <c r="A1057" s="93"/>
      <c r="B1057" s="66"/>
      <c r="C1057" s="66"/>
      <c r="D1057" s="66"/>
      <c r="E1057" s="66"/>
      <c r="F1057" s="66"/>
      <c r="G1057" s="66"/>
      <c r="H1057" s="66"/>
      <c r="I1057" s="66"/>
      <c r="J1057" s="66"/>
      <c r="K1057" s="66"/>
      <c r="L1057" s="66"/>
      <c r="M1057" s="66"/>
      <c r="N1057" s="66"/>
      <c r="O1057" s="19"/>
      <c r="P1057" s="22"/>
      <c r="Q1057" s="22"/>
      <c r="R1057" s="22"/>
    </row>
    <row r="1058" hidden="1">
      <c r="A1058" s="93"/>
      <c r="B1058" s="66"/>
      <c r="C1058" s="66"/>
      <c r="D1058" s="66"/>
      <c r="E1058" s="66"/>
      <c r="F1058" s="66"/>
      <c r="G1058" s="66"/>
      <c r="H1058" s="66"/>
      <c r="I1058" s="66"/>
      <c r="J1058" s="66"/>
      <c r="K1058" s="66"/>
      <c r="L1058" s="66"/>
      <c r="M1058" s="66"/>
      <c r="N1058" s="66"/>
      <c r="O1058" s="19"/>
      <c r="P1058" s="22"/>
      <c r="Q1058" s="22"/>
      <c r="R1058" s="22"/>
    </row>
    <row r="1059" hidden="1">
      <c r="A1059" s="93"/>
      <c r="B1059" s="66"/>
      <c r="C1059" s="66"/>
      <c r="D1059" s="66"/>
      <c r="E1059" s="66"/>
      <c r="F1059" s="66"/>
      <c r="G1059" s="66"/>
      <c r="H1059" s="66"/>
      <c r="I1059" s="66"/>
      <c r="J1059" s="66"/>
      <c r="K1059" s="66"/>
      <c r="L1059" s="66"/>
      <c r="M1059" s="66"/>
      <c r="N1059" s="66"/>
      <c r="O1059" s="19"/>
      <c r="P1059" s="22"/>
      <c r="Q1059" s="22"/>
      <c r="R1059" s="22"/>
    </row>
    <row r="1060" hidden="1">
      <c r="A1060" s="93"/>
      <c r="B1060" s="66"/>
      <c r="C1060" s="66"/>
      <c r="D1060" s="66"/>
      <c r="E1060" s="66"/>
      <c r="F1060" s="66"/>
      <c r="G1060" s="66"/>
      <c r="H1060" s="66"/>
      <c r="I1060" s="66"/>
      <c r="J1060" s="66"/>
      <c r="K1060" s="66"/>
      <c r="L1060" s="66"/>
      <c r="M1060" s="66"/>
      <c r="N1060" s="66"/>
      <c r="O1060" s="19"/>
      <c r="P1060" s="22"/>
      <c r="Q1060" s="22"/>
      <c r="R1060" s="22"/>
    </row>
    <row r="1061" hidden="1">
      <c r="A1061" s="93"/>
      <c r="B1061" s="66"/>
      <c r="C1061" s="66"/>
      <c r="D1061" s="66"/>
      <c r="E1061" s="66"/>
      <c r="F1061" s="66"/>
      <c r="G1061" s="66"/>
      <c r="H1061" s="66"/>
      <c r="I1061" s="66"/>
      <c r="J1061" s="66"/>
      <c r="K1061" s="66"/>
      <c r="L1061" s="66"/>
      <c r="M1061" s="66"/>
      <c r="N1061" s="66"/>
      <c r="O1061" s="19"/>
      <c r="P1061" s="22"/>
      <c r="Q1061" s="22"/>
      <c r="R1061" s="22"/>
    </row>
    <row r="1062" hidden="1">
      <c r="A1062" s="93"/>
      <c r="B1062" s="66"/>
      <c r="C1062" s="66"/>
      <c r="D1062" s="66"/>
      <c r="E1062" s="66"/>
      <c r="F1062" s="66"/>
      <c r="G1062" s="66"/>
      <c r="H1062" s="66"/>
      <c r="I1062" s="66"/>
      <c r="J1062" s="66"/>
      <c r="K1062" s="66"/>
      <c r="L1062" s="66"/>
      <c r="M1062" s="66"/>
      <c r="N1062" s="66"/>
      <c r="O1062" s="19"/>
      <c r="P1062" s="22"/>
      <c r="Q1062" s="22"/>
      <c r="R1062" s="22"/>
    </row>
    <row r="1063" hidden="1">
      <c r="A1063" s="93"/>
      <c r="B1063" s="66"/>
      <c r="C1063" s="66"/>
      <c r="D1063" s="66"/>
      <c r="E1063" s="66"/>
      <c r="F1063" s="66"/>
      <c r="G1063" s="66"/>
      <c r="H1063" s="66"/>
      <c r="I1063" s="66"/>
      <c r="J1063" s="66"/>
      <c r="K1063" s="66"/>
      <c r="L1063" s="66"/>
      <c r="M1063" s="66"/>
      <c r="N1063" s="66"/>
      <c r="O1063" s="19"/>
      <c r="P1063" s="22"/>
      <c r="Q1063" s="22"/>
      <c r="R1063" s="22"/>
    </row>
    <row r="1064" hidden="1">
      <c r="A1064" s="93"/>
      <c r="B1064" s="66"/>
      <c r="C1064" s="66"/>
      <c r="D1064" s="66"/>
      <c r="E1064" s="66"/>
      <c r="F1064" s="66"/>
      <c r="G1064" s="66"/>
      <c r="H1064" s="66"/>
      <c r="I1064" s="66"/>
      <c r="J1064" s="66"/>
      <c r="K1064" s="66"/>
      <c r="L1064" s="66"/>
      <c r="M1064" s="66"/>
      <c r="N1064" s="66"/>
      <c r="O1064" s="19"/>
      <c r="P1064" s="22"/>
      <c r="Q1064" s="22"/>
      <c r="R1064" s="22"/>
    </row>
    <row r="1065" hidden="1">
      <c r="A1065" s="93"/>
      <c r="B1065" s="66"/>
      <c r="C1065" s="66"/>
      <c r="D1065" s="66"/>
      <c r="E1065" s="66"/>
      <c r="F1065" s="66"/>
      <c r="G1065" s="66"/>
      <c r="H1065" s="66"/>
      <c r="I1065" s="66"/>
      <c r="J1065" s="66"/>
      <c r="K1065" s="66"/>
      <c r="L1065" s="66"/>
      <c r="M1065" s="66"/>
      <c r="N1065" s="66"/>
      <c r="O1065" s="19"/>
      <c r="P1065" s="22"/>
      <c r="Q1065" s="22"/>
      <c r="R1065" s="22"/>
    </row>
    <row r="1066" hidden="1">
      <c r="A1066" s="93"/>
      <c r="B1066" s="66"/>
      <c r="C1066" s="66"/>
      <c r="D1066" s="66"/>
      <c r="E1066" s="66"/>
      <c r="F1066" s="66"/>
      <c r="G1066" s="66"/>
      <c r="H1066" s="66"/>
      <c r="I1066" s="66"/>
      <c r="J1066" s="66"/>
      <c r="K1066" s="66"/>
      <c r="L1066" s="66"/>
      <c r="M1066" s="66"/>
      <c r="N1066" s="66"/>
      <c r="O1066" s="19"/>
      <c r="P1066" s="22"/>
      <c r="Q1066" s="22"/>
      <c r="R1066" s="22"/>
    </row>
    <row r="1067" hidden="1">
      <c r="A1067" s="93"/>
      <c r="B1067" s="66"/>
      <c r="C1067" s="66"/>
      <c r="D1067" s="66"/>
      <c r="E1067" s="66"/>
      <c r="F1067" s="66"/>
      <c r="G1067" s="66"/>
      <c r="H1067" s="66"/>
      <c r="I1067" s="66"/>
      <c r="J1067" s="66"/>
      <c r="K1067" s="66"/>
      <c r="L1067" s="66"/>
      <c r="M1067" s="66"/>
      <c r="N1067" s="66"/>
      <c r="O1067" s="19"/>
      <c r="P1067" s="22"/>
      <c r="Q1067" s="22"/>
      <c r="R1067" s="22"/>
    </row>
    <row r="1068" hidden="1">
      <c r="A1068" s="93"/>
      <c r="B1068" s="66"/>
      <c r="C1068" s="66"/>
      <c r="D1068" s="66"/>
      <c r="E1068" s="66"/>
      <c r="F1068" s="66"/>
      <c r="G1068" s="66"/>
      <c r="H1068" s="66"/>
      <c r="I1068" s="66"/>
      <c r="J1068" s="66"/>
      <c r="K1068" s="66"/>
      <c r="L1068" s="66"/>
      <c r="M1068" s="66"/>
      <c r="N1068" s="66"/>
      <c r="O1068" s="19"/>
      <c r="P1068" s="22"/>
      <c r="Q1068" s="22"/>
      <c r="R1068" s="22"/>
    </row>
    <row r="1069" hidden="1">
      <c r="A1069" s="93"/>
      <c r="B1069" s="66"/>
      <c r="C1069" s="66"/>
      <c r="D1069" s="66"/>
      <c r="E1069" s="66"/>
      <c r="F1069" s="66"/>
      <c r="G1069" s="66"/>
      <c r="H1069" s="66"/>
      <c r="I1069" s="66"/>
      <c r="J1069" s="66"/>
      <c r="K1069" s="66"/>
      <c r="L1069" s="66"/>
      <c r="M1069" s="66"/>
      <c r="N1069" s="66"/>
      <c r="O1069" s="19"/>
      <c r="P1069" s="22"/>
      <c r="Q1069" s="22"/>
      <c r="R1069" s="22"/>
    </row>
    <row r="1070" hidden="1">
      <c r="A1070" s="93"/>
      <c r="B1070" s="66"/>
      <c r="C1070" s="66"/>
      <c r="D1070" s="66"/>
      <c r="E1070" s="66"/>
      <c r="F1070" s="66"/>
      <c r="G1070" s="66"/>
      <c r="H1070" s="66"/>
      <c r="I1070" s="66"/>
      <c r="J1070" s="66"/>
      <c r="K1070" s="66"/>
      <c r="L1070" s="66"/>
      <c r="M1070" s="66"/>
      <c r="N1070" s="66"/>
      <c r="O1070" s="19"/>
      <c r="P1070" s="22"/>
      <c r="Q1070" s="22"/>
      <c r="R1070" s="22"/>
    </row>
    <row r="1071" hidden="1">
      <c r="A1071" s="93"/>
      <c r="B1071" s="66"/>
      <c r="C1071" s="66"/>
      <c r="D1071" s="66"/>
      <c r="E1071" s="66"/>
      <c r="F1071" s="66"/>
      <c r="G1071" s="66"/>
      <c r="H1071" s="66"/>
      <c r="I1071" s="66"/>
      <c r="J1071" s="66"/>
      <c r="K1071" s="66"/>
      <c r="L1071" s="66"/>
      <c r="M1071" s="66"/>
      <c r="N1071" s="66"/>
      <c r="O1071" s="19"/>
      <c r="P1071" s="22"/>
      <c r="Q1071" s="22"/>
      <c r="R1071" s="22"/>
    </row>
    <row r="1072" hidden="1">
      <c r="A1072" s="93"/>
      <c r="B1072" s="66"/>
      <c r="C1072" s="66"/>
      <c r="D1072" s="66"/>
      <c r="E1072" s="66"/>
      <c r="F1072" s="66"/>
      <c r="G1072" s="66"/>
      <c r="H1072" s="66"/>
      <c r="I1072" s="66"/>
      <c r="J1072" s="66"/>
      <c r="K1072" s="66"/>
      <c r="L1072" s="66"/>
      <c r="M1072" s="66"/>
      <c r="N1072" s="66"/>
      <c r="O1072" s="19"/>
      <c r="P1072" s="22"/>
      <c r="Q1072" s="22"/>
      <c r="R1072" s="22"/>
    </row>
    <row r="1073" hidden="1">
      <c r="A1073" s="93"/>
      <c r="B1073" s="66"/>
      <c r="C1073" s="66"/>
      <c r="D1073" s="66"/>
      <c r="E1073" s="66"/>
      <c r="F1073" s="66"/>
      <c r="G1073" s="66"/>
      <c r="H1073" s="66"/>
      <c r="I1073" s="66"/>
      <c r="J1073" s="66"/>
      <c r="K1073" s="66"/>
      <c r="L1073" s="66"/>
      <c r="M1073" s="66"/>
      <c r="N1073" s="66"/>
      <c r="O1073" s="19"/>
      <c r="P1073" s="22"/>
      <c r="Q1073" s="22"/>
      <c r="R1073" s="22"/>
    </row>
    <row r="1074" hidden="1">
      <c r="A1074" s="93"/>
      <c r="B1074" s="66"/>
      <c r="C1074" s="66"/>
      <c r="D1074" s="66"/>
      <c r="E1074" s="66"/>
      <c r="F1074" s="66"/>
      <c r="G1074" s="66"/>
      <c r="H1074" s="66"/>
      <c r="I1074" s="66"/>
      <c r="J1074" s="66"/>
      <c r="K1074" s="66"/>
      <c r="L1074" s="66"/>
      <c r="M1074" s="66"/>
      <c r="N1074" s="66"/>
      <c r="O1074" s="19"/>
      <c r="P1074" s="22"/>
      <c r="Q1074" s="22"/>
      <c r="R1074" s="22"/>
    </row>
    <row r="1075" hidden="1">
      <c r="A1075" s="93"/>
      <c r="B1075" s="66"/>
      <c r="C1075" s="66"/>
      <c r="D1075" s="66"/>
      <c r="E1075" s="66"/>
      <c r="F1075" s="66"/>
      <c r="G1075" s="66"/>
      <c r="H1075" s="66"/>
      <c r="I1075" s="66"/>
      <c r="J1075" s="66"/>
      <c r="K1075" s="66"/>
      <c r="L1075" s="66"/>
      <c r="M1075" s="66"/>
      <c r="N1075" s="66"/>
      <c r="O1075" s="19"/>
      <c r="P1075" s="22"/>
      <c r="Q1075" s="22"/>
      <c r="R1075" s="22"/>
    </row>
    <row r="1076" hidden="1">
      <c r="A1076" s="93"/>
      <c r="B1076" s="66"/>
      <c r="C1076" s="66"/>
      <c r="D1076" s="66"/>
      <c r="E1076" s="66"/>
      <c r="F1076" s="66"/>
      <c r="G1076" s="66"/>
      <c r="H1076" s="66"/>
      <c r="I1076" s="66"/>
      <c r="J1076" s="66"/>
      <c r="K1076" s="66"/>
      <c r="L1076" s="66"/>
      <c r="M1076" s="66"/>
      <c r="N1076" s="66"/>
      <c r="O1076" s="19"/>
      <c r="P1076" s="22"/>
      <c r="Q1076" s="22"/>
      <c r="R1076" s="22"/>
    </row>
    <row r="1077" hidden="1">
      <c r="A1077" s="93"/>
      <c r="B1077" s="66"/>
      <c r="C1077" s="66"/>
      <c r="D1077" s="66"/>
      <c r="E1077" s="66"/>
      <c r="F1077" s="66"/>
      <c r="G1077" s="66"/>
      <c r="H1077" s="66"/>
      <c r="I1077" s="66"/>
      <c r="J1077" s="66"/>
      <c r="K1077" s="66"/>
      <c r="L1077" s="66"/>
      <c r="M1077" s="66"/>
      <c r="N1077" s="66"/>
      <c r="O1077" s="19"/>
      <c r="P1077" s="22"/>
      <c r="Q1077" s="22"/>
      <c r="R1077" s="22"/>
    </row>
    <row r="1078" hidden="1">
      <c r="A1078" s="93"/>
      <c r="B1078" s="48"/>
      <c r="C1078" s="48"/>
      <c r="D1078" s="48"/>
      <c r="E1078" s="48"/>
      <c r="F1078" s="48"/>
      <c r="G1078" s="48"/>
      <c r="H1078" s="48"/>
      <c r="I1078" s="48"/>
      <c r="J1078" s="48"/>
      <c r="K1078" s="66"/>
      <c r="L1078" s="66"/>
      <c r="M1078" s="66"/>
      <c r="N1078" s="66"/>
      <c r="O1078" s="19"/>
      <c r="P1078" s="22"/>
      <c r="Q1078" s="22"/>
      <c r="R1078" s="22"/>
    </row>
    <row r="1079" hidden="1">
      <c r="A1079" s="93"/>
      <c r="B1079" s="48"/>
      <c r="C1079" s="48"/>
      <c r="D1079" s="48"/>
      <c r="E1079" s="48"/>
      <c r="F1079" s="48"/>
      <c r="G1079" s="48"/>
      <c r="H1079" s="48"/>
      <c r="I1079" s="48"/>
      <c r="J1079" s="48"/>
      <c r="K1079" s="66"/>
      <c r="L1079" s="66"/>
      <c r="M1079" s="66"/>
      <c r="N1079" s="66"/>
      <c r="O1079" s="19"/>
      <c r="P1079" s="22"/>
      <c r="Q1079" s="22"/>
      <c r="R1079" s="22"/>
    </row>
    <row r="1080" hidden="1">
      <c r="A1080" s="93"/>
      <c r="B1080" s="48"/>
      <c r="C1080" s="48"/>
      <c r="D1080" s="48"/>
      <c r="E1080" s="48"/>
      <c r="F1080" s="48"/>
      <c r="G1080" s="48"/>
      <c r="H1080" s="48"/>
      <c r="I1080" s="48"/>
      <c r="J1080" s="48"/>
      <c r="K1080" s="66"/>
      <c r="L1080" s="66"/>
      <c r="M1080" s="66"/>
      <c r="N1080" s="66"/>
      <c r="O1080" s="19"/>
      <c r="P1080" s="22"/>
      <c r="Q1080" s="22"/>
      <c r="R1080" s="22"/>
    </row>
  </sheetData>
  <mergeCells count="210">
    <mergeCell ref="K5:K7"/>
    <mergeCell ref="L5:L7"/>
    <mergeCell ref="M5:M7"/>
    <mergeCell ref="N5:N7"/>
    <mergeCell ref="J8:J10"/>
    <mergeCell ref="K8:K10"/>
    <mergeCell ref="L8:L10"/>
    <mergeCell ref="M8:M10"/>
    <mergeCell ref="N8:N10"/>
    <mergeCell ref="B5:B7"/>
    <mergeCell ref="E5:E7"/>
    <mergeCell ref="F5:F7"/>
    <mergeCell ref="G5:G7"/>
    <mergeCell ref="H5:H7"/>
    <mergeCell ref="J5:J7"/>
    <mergeCell ref="B8:B10"/>
    <mergeCell ref="L11:L13"/>
    <mergeCell ref="M11:M13"/>
    <mergeCell ref="N11:N13"/>
    <mergeCell ref="P11:Q11"/>
    <mergeCell ref="G8:G10"/>
    <mergeCell ref="I8:I10"/>
    <mergeCell ref="G11:G13"/>
    <mergeCell ref="H11:H13"/>
    <mergeCell ref="I11:I13"/>
    <mergeCell ref="J11:J13"/>
    <mergeCell ref="K11:K13"/>
    <mergeCell ref="D14:D16"/>
    <mergeCell ref="G14:G16"/>
    <mergeCell ref="J14:J16"/>
    <mergeCell ref="K14:K16"/>
    <mergeCell ref="L14:L16"/>
    <mergeCell ref="M14:M16"/>
    <mergeCell ref="N14:N16"/>
    <mergeCell ref="D5:D7"/>
    <mergeCell ref="D8:D10"/>
    <mergeCell ref="B11:B13"/>
    <mergeCell ref="D11:D13"/>
    <mergeCell ref="E11:E13"/>
    <mergeCell ref="F11:F13"/>
    <mergeCell ref="B14:B16"/>
    <mergeCell ref="M29:M31"/>
    <mergeCell ref="N29:N31"/>
    <mergeCell ref="H26:H28"/>
    <mergeCell ref="I26:I28"/>
    <mergeCell ref="K26:K28"/>
    <mergeCell ref="L26:L28"/>
    <mergeCell ref="M26:M28"/>
    <mergeCell ref="N26:N28"/>
    <mergeCell ref="L29:L31"/>
    <mergeCell ref="L17:L19"/>
    <mergeCell ref="M17:M19"/>
    <mergeCell ref="N17:N19"/>
    <mergeCell ref="K17:K19"/>
    <mergeCell ref="K20:K22"/>
    <mergeCell ref="L20:L22"/>
    <mergeCell ref="M20:M22"/>
    <mergeCell ref="N20:N22"/>
    <mergeCell ref="B17:B19"/>
    <mergeCell ref="F17:F19"/>
    <mergeCell ref="H17:H19"/>
    <mergeCell ref="I17:I19"/>
    <mergeCell ref="J17:J19"/>
    <mergeCell ref="B20:B22"/>
    <mergeCell ref="I20:I22"/>
    <mergeCell ref="M23:M25"/>
    <mergeCell ref="N23:N25"/>
    <mergeCell ref="F20:F22"/>
    <mergeCell ref="G20:G22"/>
    <mergeCell ref="F23:F25"/>
    <mergeCell ref="H23:H25"/>
    <mergeCell ref="J23:J25"/>
    <mergeCell ref="K23:K25"/>
    <mergeCell ref="L23:L25"/>
    <mergeCell ref="D17:D19"/>
    <mergeCell ref="D20:D22"/>
    <mergeCell ref="B23:B25"/>
    <mergeCell ref="D23:D25"/>
    <mergeCell ref="D26:D28"/>
    <mergeCell ref="E26:E28"/>
    <mergeCell ref="F26:F28"/>
    <mergeCell ref="G32:G34"/>
    <mergeCell ref="H32:H34"/>
    <mergeCell ref="J32:J34"/>
    <mergeCell ref="K32:K34"/>
    <mergeCell ref="L32:L34"/>
    <mergeCell ref="M32:M34"/>
    <mergeCell ref="N32:N34"/>
    <mergeCell ref="I41:I43"/>
    <mergeCell ref="J41:J43"/>
    <mergeCell ref="K41:K43"/>
    <mergeCell ref="L41:L43"/>
    <mergeCell ref="M41:M43"/>
    <mergeCell ref="N41:N43"/>
    <mergeCell ref="E41:E43"/>
    <mergeCell ref="F41:F43"/>
    <mergeCell ref="G44:G46"/>
    <mergeCell ref="I44:I46"/>
    <mergeCell ref="J44:J46"/>
    <mergeCell ref="K44:K46"/>
    <mergeCell ref="L44:L46"/>
    <mergeCell ref="M50:M52"/>
    <mergeCell ref="N50:N52"/>
    <mergeCell ref="D50:D52"/>
    <mergeCell ref="E50:E52"/>
    <mergeCell ref="G50:G52"/>
    <mergeCell ref="H50:H52"/>
    <mergeCell ref="J50:J52"/>
    <mergeCell ref="K50:K52"/>
    <mergeCell ref="L50:L52"/>
    <mergeCell ref="B35:B37"/>
    <mergeCell ref="D35:D37"/>
    <mergeCell ref="I35:I37"/>
    <mergeCell ref="J35:J37"/>
    <mergeCell ref="K35:K37"/>
    <mergeCell ref="L35:L37"/>
    <mergeCell ref="M35:M37"/>
    <mergeCell ref="N35:N37"/>
    <mergeCell ref="B26:B28"/>
    <mergeCell ref="B29:B31"/>
    <mergeCell ref="D29:D31"/>
    <mergeCell ref="E29:E31"/>
    <mergeCell ref="G29:G31"/>
    <mergeCell ref="H29:H31"/>
    <mergeCell ref="B32:B34"/>
    <mergeCell ref="K38:K40"/>
    <mergeCell ref="L38:L40"/>
    <mergeCell ref="M38:M40"/>
    <mergeCell ref="N38:N40"/>
    <mergeCell ref="D32:D34"/>
    <mergeCell ref="F32:F34"/>
    <mergeCell ref="B38:B40"/>
    <mergeCell ref="F38:F40"/>
    <mergeCell ref="G38:G40"/>
    <mergeCell ref="J38:J40"/>
    <mergeCell ref="B41:B43"/>
    <mergeCell ref="M44:M46"/>
    <mergeCell ref="N44:N46"/>
    <mergeCell ref="F47:F49"/>
    <mergeCell ref="H47:H49"/>
    <mergeCell ref="J47:J49"/>
    <mergeCell ref="K47:K49"/>
    <mergeCell ref="L47:L49"/>
    <mergeCell ref="M47:M49"/>
    <mergeCell ref="N47:N49"/>
    <mergeCell ref="D38:D40"/>
    <mergeCell ref="D41:D43"/>
    <mergeCell ref="B44:B46"/>
    <mergeCell ref="D44:D46"/>
    <mergeCell ref="B47:B49"/>
    <mergeCell ref="D47:D49"/>
    <mergeCell ref="B50:B52"/>
    <mergeCell ref="D62:D64"/>
    <mergeCell ref="D65:D67"/>
    <mergeCell ref="D68:D70"/>
    <mergeCell ref="B65:B67"/>
    <mergeCell ref="B68:B70"/>
    <mergeCell ref="F68:F70"/>
    <mergeCell ref="H68:H70"/>
    <mergeCell ref="J68:J70"/>
    <mergeCell ref="K68:K70"/>
    <mergeCell ref="L68:L70"/>
    <mergeCell ref="M68:M70"/>
    <mergeCell ref="N68:N70"/>
    <mergeCell ref="D53:D55"/>
    <mergeCell ref="D56:D58"/>
    <mergeCell ref="B59:B61"/>
    <mergeCell ref="D59:D61"/>
    <mergeCell ref="B62:B64"/>
    <mergeCell ref="F62:F64"/>
    <mergeCell ref="F65:F67"/>
    <mergeCell ref="J53:J55"/>
    <mergeCell ref="K53:K55"/>
    <mergeCell ref="L53:L55"/>
    <mergeCell ref="M53:M55"/>
    <mergeCell ref="N53:N55"/>
    <mergeCell ref="H56:H58"/>
    <mergeCell ref="J56:J58"/>
    <mergeCell ref="K56:K58"/>
    <mergeCell ref="L56:L58"/>
    <mergeCell ref="M56:M58"/>
    <mergeCell ref="N56:N58"/>
    <mergeCell ref="B53:B55"/>
    <mergeCell ref="E53:E55"/>
    <mergeCell ref="F53:F55"/>
    <mergeCell ref="H53:H55"/>
    <mergeCell ref="I53:I55"/>
    <mergeCell ref="B56:B58"/>
    <mergeCell ref="E56:E58"/>
    <mergeCell ref="M59:M61"/>
    <mergeCell ref="N59:N61"/>
    <mergeCell ref="J59:J61"/>
    <mergeCell ref="J62:J64"/>
    <mergeCell ref="I65:I67"/>
    <mergeCell ref="J65:J67"/>
    <mergeCell ref="K65:K67"/>
    <mergeCell ref="L65:L67"/>
    <mergeCell ref="M65:M67"/>
    <mergeCell ref="N65:N67"/>
    <mergeCell ref="K62:K64"/>
    <mergeCell ref="L62:L64"/>
    <mergeCell ref="M62:M64"/>
    <mergeCell ref="N62:N64"/>
    <mergeCell ref="G53:G55"/>
    <mergeCell ref="G56:G58"/>
    <mergeCell ref="G59:G61"/>
    <mergeCell ref="H59:H61"/>
    <mergeCell ref="K59:K61"/>
    <mergeCell ref="L59:L61"/>
    <mergeCell ref="H62:H64"/>
  </mergeCells>
  <conditionalFormatting sqref="A3:R1080">
    <cfRule type="expression" dxfId="0" priority="1">
      <formula>($B3&lt;&gt;"")*($D3="")</formula>
    </cfRule>
  </conditionalFormatting>
  <conditionalFormatting sqref="N1:N70 E5:K70 O17:O22 N72:N77 L75:L77 I78:J78 N80:N1080 J82:J1080">
    <cfRule type="cellIs" dxfId="1" priority="2" operator="lessThan">
      <formula>0</formula>
    </cfRule>
  </conditionalFormatting>
  <conditionalFormatting sqref="N5:N70">
    <cfRule type="cellIs" dxfId="2" priority="3" operator="greaterThanOrEqual">
      <formula>0</formula>
    </cfRule>
  </conditionalFormatting>
  <hyperlinks>
    <hyperlink r:id="rId1" location="gid=1619821413" ref="B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.13"/>
    <col customWidth="1" min="2" max="2" width="28.0"/>
    <col customWidth="1" min="3" max="3" width="5.75"/>
    <col customWidth="1" min="5" max="5" width="24.5"/>
    <col customWidth="1" min="6" max="6" width="25.0"/>
    <col customWidth="1" min="7" max="7" width="30.63"/>
    <col customWidth="1" min="8" max="8" width="27.63"/>
    <col customWidth="1" min="9" max="9" width="28.0"/>
    <col customWidth="1" min="10" max="10" width="28.75"/>
    <col customWidth="1" min="11" max="11" width="24.5"/>
    <col customWidth="1" min="12" max="12" width="20.25"/>
    <col customWidth="1" min="13" max="13" width="10.5"/>
    <col customWidth="1" min="14" max="14" width="15.88"/>
    <col customWidth="1" min="15" max="18" width="28.25"/>
  </cols>
  <sheetData>
    <row r="1">
      <c r="A1" s="1"/>
      <c r="B1" s="2" t="s">
        <v>0</v>
      </c>
      <c r="C1" s="3"/>
      <c r="D1" s="4"/>
      <c r="E1" s="4"/>
      <c r="F1" s="4"/>
      <c r="G1" s="4"/>
      <c r="H1" s="4"/>
      <c r="I1" s="4"/>
      <c r="J1" s="4"/>
      <c r="K1" s="4"/>
      <c r="L1" s="4"/>
      <c r="M1" s="5"/>
      <c r="N1" s="6"/>
      <c r="O1" s="4"/>
      <c r="P1" s="4"/>
      <c r="Q1" s="4"/>
      <c r="R1" s="4"/>
    </row>
    <row r="2">
      <c r="A2" s="4"/>
      <c r="B2" s="7" t="s">
        <v>1</v>
      </c>
      <c r="C2" s="7"/>
      <c r="D2" s="7" t="s">
        <v>2</v>
      </c>
      <c r="E2" s="8">
        <v>46132.0</v>
      </c>
      <c r="F2" s="8">
        <f t="shared" ref="F2:K2" si="1">E2+1</f>
        <v>46133</v>
      </c>
      <c r="G2" s="8">
        <f t="shared" si="1"/>
        <v>46134</v>
      </c>
      <c r="H2" s="8">
        <f t="shared" si="1"/>
        <v>46135</v>
      </c>
      <c r="I2" s="8">
        <f t="shared" si="1"/>
        <v>46136</v>
      </c>
      <c r="J2" s="8">
        <f t="shared" si="1"/>
        <v>46137</v>
      </c>
      <c r="K2" s="8">
        <f t="shared" si="1"/>
        <v>46138</v>
      </c>
      <c r="L2" s="7"/>
      <c r="M2" s="9" t="s">
        <v>3</v>
      </c>
      <c r="N2" s="10" t="s">
        <v>4</v>
      </c>
      <c r="O2" s="11" t="s">
        <v>5</v>
      </c>
      <c r="P2" s="11"/>
      <c r="Q2" s="11"/>
      <c r="R2" s="11"/>
    </row>
    <row r="3" ht="15.0" customHeight="1">
      <c r="A3" s="12"/>
      <c r="B3" s="13" t="s">
        <v>6</v>
      </c>
      <c r="C3" s="13"/>
      <c r="D3" s="14"/>
      <c r="E3" s="15" t="s">
        <v>7</v>
      </c>
      <c r="F3" s="15" t="s">
        <v>8</v>
      </c>
      <c r="G3" s="15" t="s">
        <v>9</v>
      </c>
      <c r="H3" s="15" t="s">
        <v>10</v>
      </c>
      <c r="I3" s="15" t="s">
        <v>11</v>
      </c>
      <c r="J3" s="15" t="s">
        <v>12</v>
      </c>
      <c r="K3" s="15" t="s">
        <v>13</v>
      </c>
      <c r="L3" s="14"/>
      <c r="M3" s="16"/>
      <c r="N3" s="16"/>
      <c r="O3" s="12"/>
      <c r="P3" s="12"/>
      <c r="Q3" s="12"/>
      <c r="R3" s="12"/>
    </row>
    <row r="4">
      <c r="A4" s="12"/>
      <c r="B4" s="17"/>
      <c r="C4" s="17"/>
      <c r="D4" s="18"/>
      <c r="E4" s="19"/>
      <c r="F4" s="19"/>
      <c r="G4" s="19"/>
      <c r="H4" s="19"/>
      <c r="I4" s="108" t="s">
        <v>14</v>
      </c>
      <c r="J4" s="108"/>
      <c r="K4" s="108"/>
      <c r="L4" s="21"/>
      <c r="M4" s="19"/>
      <c r="N4" s="19"/>
      <c r="O4" s="21"/>
      <c r="P4" s="22"/>
      <c r="Q4" s="22"/>
      <c r="R4" s="22"/>
    </row>
    <row r="5">
      <c r="A5" s="12"/>
      <c r="B5" s="23" t="s">
        <v>15</v>
      </c>
      <c r="C5" s="24" t="s">
        <v>16</v>
      </c>
      <c r="D5" s="25" t="s">
        <v>17</v>
      </c>
      <c r="E5" s="109">
        <v>6000.0</v>
      </c>
      <c r="F5" s="27" t="s">
        <v>135</v>
      </c>
      <c r="G5" s="98" t="s">
        <v>88</v>
      </c>
      <c r="H5" s="98" t="s">
        <v>88</v>
      </c>
      <c r="I5" s="98" t="s">
        <v>88</v>
      </c>
      <c r="J5" s="98" t="s">
        <v>88</v>
      </c>
      <c r="K5" s="98" t="s">
        <v>88</v>
      </c>
      <c r="L5" s="29" t="b">
        <v>0</v>
      </c>
      <c r="M5" s="30">
        <f>SUM(E5:L5)</f>
        <v>6000</v>
      </c>
      <c r="N5" s="31">
        <f>M5-8000</f>
        <v>-2000</v>
      </c>
      <c r="O5" s="32"/>
      <c r="P5" s="33"/>
      <c r="Q5" s="34"/>
      <c r="R5" s="34"/>
    </row>
    <row r="6">
      <c r="A6" s="12"/>
      <c r="B6" s="35"/>
      <c r="C6" s="24" t="s">
        <v>5</v>
      </c>
      <c r="D6" s="36"/>
      <c r="E6" s="110">
        <v>1779.0</v>
      </c>
      <c r="N6" s="36"/>
      <c r="O6" s="38">
        <f>SUM(E6:K6)</f>
        <v>1779</v>
      </c>
      <c r="P6" s="33"/>
      <c r="Q6" s="34"/>
      <c r="R6" s="34"/>
    </row>
    <row r="7">
      <c r="A7" s="12"/>
      <c r="B7" s="39"/>
      <c r="C7" s="24" t="s">
        <v>20</v>
      </c>
      <c r="D7" s="40"/>
      <c r="E7" s="111" t="s">
        <v>321</v>
      </c>
      <c r="F7" s="41"/>
      <c r="G7" s="41"/>
      <c r="H7" s="41"/>
      <c r="I7" s="41"/>
      <c r="J7" s="41"/>
      <c r="K7" s="41"/>
      <c r="L7" s="41"/>
      <c r="M7" s="41"/>
      <c r="N7" s="40"/>
      <c r="O7" s="43">
        <f>M5/O6</f>
        <v>3.372681282</v>
      </c>
      <c r="P7" s="33"/>
      <c r="Q7" s="34"/>
      <c r="R7" s="34"/>
    </row>
    <row r="8">
      <c r="A8" s="12"/>
      <c r="B8" s="23" t="s">
        <v>25</v>
      </c>
      <c r="C8" s="24" t="s">
        <v>16</v>
      </c>
      <c r="D8" s="96" t="s">
        <v>26</v>
      </c>
      <c r="E8" s="112">
        <v>1800.0</v>
      </c>
      <c r="F8" s="26" t="s">
        <v>62</v>
      </c>
      <c r="G8" s="109">
        <v>2275.0</v>
      </c>
      <c r="H8" s="113" t="s">
        <v>89</v>
      </c>
      <c r="I8" s="113" t="s">
        <v>322</v>
      </c>
      <c r="J8" s="26" t="s">
        <v>62</v>
      </c>
      <c r="K8" s="109">
        <v>2300.0</v>
      </c>
      <c r="L8" s="29" t="b">
        <v>0</v>
      </c>
      <c r="M8" s="30">
        <f>SUM(E8:L8)</f>
        <v>6375</v>
      </c>
      <c r="N8" s="31">
        <f>M8-7000</f>
        <v>-625</v>
      </c>
      <c r="O8" s="32"/>
      <c r="P8" s="33"/>
      <c r="Q8" s="34"/>
      <c r="R8" s="34"/>
    </row>
    <row r="9">
      <c r="A9" s="12"/>
      <c r="B9" s="35"/>
      <c r="C9" s="24" t="s">
        <v>5</v>
      </c>
      <c r="E9" s="114">
        <f>54+587</f>
        <v>641</v>
      </c>
      <c r="G9" s="110">
        <v>1011.0</v>
      </c>
      <c r="K9" s="110">
        <v>835.0</v>
      </c>
      <c r="N9" s="36"/>
      <c r="O9" s="38">
        <f>SUM(E9:K9)</f>
        <v>2487</v>
      </c>
      <c r="P9" s="33"/>
      <c r="Q9" s="34"/>
      <c r="R9" s="34"/>
    </row>
    <row r="10">
      <c r="A10" s="12"/>
      <c r="B10" s="39"/>
      <c r="C10" s="24" t="s">
        <v>20</v>
      </c>
      <c r="D10" s="41"/>
      <c r="E10" s="115" t="s">
        <v>323</v>
      </c>
      <c r="F10" s="41"/>
      <c r="G10" s="116" t="s">
        <v>324</v>
      </c>
      <c r="H10" s="41"/>
      <c r="I10" s="41"/>
      <c r="J10" s="41"/>
      <c r="K10" s="111" t="s">
        <v>325</v>
      </c>
      <c r="L10" s="41"/>
      <c r="M10" s="41"/>
      <c r="N10" s="40"/>
      <c r="O10" s="43">
        <f>M8/O9</f>
        <v>2.563329312</v>
      </c>
      <c r="P10" s="33"/>
      <c r="Q10" s="34"/>
      <c r="R10" s="34"/>
    </row>
    <row r="11">
      <c r="A11" s="12"/>
      <c r="B11" s="23" t="s">
        <v>29</v>
      </c>
      <c r="C11" s="24" t="s">
        <v>16</v>
      </c>
      <c r="D11" s="25" t="s">
        <v>30</v>
      </c>
      <c r="E11" s="28" t="s">
        <v>27</v>
      </c>
      <c r="F11" s="117">
        <v>2200.0</v>
      </c>
      <c r="G11" s="27" t="s">
        <v>135</v>
      </c>
      <c r="H11" s="117">
        <v>750.0</v>
      </c>
      <c r="I11" s="117">
        <v>5799.0</v>
      </c>
      <c r="J11" s="27" t="s">
        <v>135</v>
      </c>
      <c r="K11" s="27" t="s">
        <v>135</v>
      </c>
      <c r="L11" s="29" t="b">
        <v>0</v>
      </c>
      <c r="M11" s="30">
        <f>SUM(E11:L11)</f>
        <v>8749</v>
      </c>
      <c r="N11" s="31">
        <f>M11-7000</f>
        <v>1749</v>
      </c>
      <c r="O11" s="32"/>
      <c r="P11" s="45"/>
      <c r="R11" s="46"/>
    </row>
    <row r="12">
      <c r="A12" s="12"/>
      <c r="B12" s="35"/>
      <c r="C12" s="24" t="s">
        <v>5</v>
      </c>
      <c r="D12" s="36"/>
      <c r="F12" s="118">
        <f>18+1055</f>
        <v>1073</v>
      </c>
      <c r="H12" s="118">
        <f>113+225</f>
        <v>338</v>
      </c>
      <c r="I12" s="118">
        <f>100+2678</f>
        <v>2778</v>
      </c>
      <c r="N12" s="36"/>
      <c r="O12" s="38">
        <f>SUM(E12:K12)</f>
        <v>4189</v>
      </c>
      <c r="P12" s="47"/>
      <c r="Q12" s="46"/>
      <c r="R12" s="46"/>
    </row>
    <row r="13">
      <c r="A13" s="12"/>
      <c r="B13" s="39"/>
      <c r="C13" s="24" t="s">
        <v>20</v>
      </c>
      <c r="D13" s="40"/>
      <c r="E13" s="41"/>
      <c r="F13" s="111" t="s">
        <v>326</v>
      </c>
      <c r="G13" s="41"/>
      <c r="H13" s="111" t="s">
        <v>327</v>
      </c>
      <c r="I13" s="111" t="s">
        <v>328</v>
      </c>
      <c r="J13" s="41"/>
      <c r="K13" s="41"/>
      <c r="L13" s="41"/>
      <c r="M13" s="41"/>
      <c r="N13" s="40"/>
      <c r="O13" s="43">
        <f>M11/O12</f>
        <v>2.08856529</v>
      </c>
      <c r="P13" s="47"/>
      <c r="Q13" s="34"/>
      <c r="R13" s="34"/>
    </row>
    <row r="14">
      <c r="A14" s="12"/>
      <c r="B14" s="23" t="s">
        <v>34</v>
      </c>
      <c r="C14" s="24" t="s">
        <v>16</v>
      </c>
      <c r="D14" s="96" t="s">
        <v>35</v>
      </c>
      <c r="E14" s="112">
        <v>3500.0</v>
      </c>
      <c r="F14" s="27" t="s">
        <v>135</v>
      </c>
      <c r="G14" s="109">
        <v>3000.0</v>
      </c>
      <c r="H14" s="27" t="s">
        <v>135</v>
      </c>
      <c r="I14" s="109">
        <v>2750.0</v>
      </c>
      <c r="J14" s="27" t="s">
        <v>135</v>
      </c>
      <c r="K14" s="27" t="s">
        <v>135</v>
      </c>
      <c r="L14" s="29" t="b">
        <v>0</v>
      </c>
      <c r="M14" s="30">
        <f>SUM(E14:L14)</f>
        <v>9250</v>
      </c>
      <c r="N14" s="31">
        <f>M14-7000</f>
        <v>2250</v>
      </c>
      <c r="O14" s="32"/>
      <c r="P14" s="33"/>
      <c r="Q14" s="34"/>
      <c r="R14" s="34"/>
    </row>
    <row r="15">
      <c r="A15" s="12"/>
      <c r="B15" s="35"/>
      <c r="C15" s="24" t="s">
        <v>5</v>
      </c>
      <c r="E15" s="114">
        <f>198+1128</f>
        <v>1326</v>
      </c>
      <c r="G15" s="118">
        <f>106+1245</f>
        <v>1351</v>
      </c>
      <c r="I15" s="110">
        <v>1043.0</v>
      </c>
      <c r="N15" s="36"/>
      <c r="O15" s="38">
        <f>SUM(E15:K15)</f>
        <v>3720</v>
      </c>
      <c r="P15" s="33"/>
      <c r="Q15" s="34"/>
      <c r="R15" s="34"/>
    </row>
    <row r="16">
      <c r="A16" s="12"/>
      <c r="B16" s="39"/>
      <c r="C16" s="24" t="s">
        <v>20</v>
      </c>
      <c r="D16" s="41"/>
      <c r="E16" s="119" t="s">
        <v>329</v>
      </c>
      <c r="F16" s="41"/>
      <c r="G16" s="111" t="s">
        <v>330</v>
      </c>
      <c r="H16" s="41"/>
      <c r="I16" s="111" t="s">
        <v>331</v>
      </c>
      <c r="J16" s="41"/>
      <c r="K16" s="41"/>
      <c r="L16" s="41"/>
      <c r="M16" s="41"/>
      <c r="N16" s="40"/>
      <c r="O16" s="43">
        <f>M14/O15</f>
        <v>2.48655914</v>
      </c>
      <c r="P16" s="33"/>
      <c r="Q16" s="34"/>
      <c r="R16" s="34"/>
    </row>
    <row r="17">
      <c r="A17" s="12"/>
      <c r="B17" s="23" t="s">
        <v>39</v>
      </c>
      <c r="C17" s="24" t="s">
        <v>16</v>
      </c>
      <c r="D17" s="96" t="s">
        <v>40</v>
      </c>
      <c r="E17" s="112">
        <v>4400.0</v>
      </c>
      <c r="F17" s="27" t="s">
        <v>135</v>
      </c>
      <c r="G17" s="109">
        <v>2028.0</v>
      </c>
      <c r="H17" s="27" t="s">
        <v>135</v>
      </c>
      <c r="I17" s="109">
        <v>3000.0</v>
      </c>
      <c r="J17" s="27" t="s">
        <v>135</v>
      </c>
      <c r="K17" s="27" t="s">
        <v>135</v>
      </c>
      <c r="L17" s="29" t="b">
        <v>0</v>
      </c>
      <c r="M17" s="30">
        <f>SUM(E17:L17)</f>
        <v>9428</v>
      </c>
      <c r="N17" s="31">
        <f>M17-7000</f>
        <v>2428</v>
      </c>
      <c r="O17" s="32"/>
      <c r="P17" s="33"/>
      <c r="Q17" s="33"/>
      <c r="R17" s="34"/>
    </row>
    <row r="18">
      <c r="A18" s="12"/>
      <c r="B18" s="35"/>
      <c r="C18" s="24" t="s">
        <v>5</v>
      </c>
      <c r="E18" s="114">
        <f>1040+12+23</f>
        <v>1075</v>
      </c>
      <c r="G18" s="110">
        <f>1022+36</f>
        <v>1058</v>
      </c>
      <c r="I18" s="118">
        <f>906+101</f>
        <v>1007</v>
      </c>
      <c r="N18" s="36"/>
      <c r="O18" s="38">
        <f>SUM(E18:K18)</f>
        <v>3140</v>
      </c>
      <c r="P18" s="33"/>
      <c r="Q18" s="33"/>
      <c r="R18" s="34"/>
    </row>
    <row r="19">
      <c r="A19" s="12"/>
      <c r="B19" s="39"/>
      <c r="C19" s="24" t="s">
        <v>20</v>
      </c>
      <c r="D19" s="41"/>
      <c r="E19" s="119" t="s">
        <v>332</v>
      </c>
      <c r="F19" s="41"/>
      <c r="G19" s="111" t="s">
        <v>332</v>
      </c>
      <c r="H19" s="41"/>
      <c r="I19" s="111" t="s">
        <v>333</v>
      </c>
      <c r="J19" s="41"/>
      <c r="K19" s="41"/>
      <c r="L19" s="41"/>
      <c r="M19" s="41"/>
      <c r="N19" s="40"/>
      <c r="O19" s="43">
        <f>M17/O18</f>
        <v>3.002547771</v>
      </c>
      <c r="P19" s="48"/>
      <c r="Q19" s="33"/>
      <c r="R19" s="34"/>
    </row>
    <row r="20">
      <c r="A20" s="12"/>
      <c r="B20" s="23" t="s">
        <v>45</v>
      </c>
      <c r="C20" s="24" t="s">
        <v>16</v>
      </c>
      <c r="D20" s="96" t="s">
        <v>46</v>
      </c>
      <c r="E20" s="112">
        <v>3150.0</v>
      </c>
      <c r="F20" s="27" t="s">
        <v>135</v>
      </c>
      <c r="G20" s="109">
        <v>1200.0</v>
      </c>
      <c r="H20" s="109">
        <v>1400.0</v>
      </c>
      <c r="I20" s="109">
        <v>2400.0</v>
      </c>
      <c r="J20" s="27" t="s">
        <v>135</v>
      </c>
      <c r="K20" s="27" t="s">
        <v>135</v>
      </c>
      <c r="L20" s="29" t="b">
        <v>0</v>
      </c>
      <c r="M20" s="30">
        <f>SUM(E20:L20)</f>
        <v>8150</v>
      </c>
      <c r="N20" s="31">
        <f>M20-7000</f>
        <v>1150</v>
      </c>
      <c r="O20" s="32"/>
      <c r="P20" s="33"/>
      <c r="Q20" s="33"/>
      <c r="R20" s="34"/>
    </row>
    <row r="21">
      <c r="A21" s="12"/>
      <c r="B21" s="35"/>
      <c r="C21" s="24" t="s">
        <v>5</v>
      </c>
      <c r="E21" s="114">
        <f>1124+47</f>
        <v>1171</v>
      </c>
      <c r="G21" s="118">
        <f>485+40</f>
        <v>525</v>
      </c>
      <c r="H21" s="110">
        <f>417+25</f>
        <v>442</v>
      </c>
      <c r="I21" s="110">
        <f>1194+270</f>
        <v>1464</v>
      </c>
      <c r="N21" s="36"/>
      <c r="O21" s="38">
        <f>SUM(E21:K21)</f>
        <v>3602</v>
      </c>
      <c r="P21" s="33"/>
      <c r="Q21" s="33"/>
      <c r="R21" s="34"/>
    </row>
    <row r="22">
      <c r="A22" s="12"/>
      <c r="B22" s="39"/>
      <c r="C22" s="24" t="s">
        <v>20</v>
      </c>
      <c r="D22" s="41"/>
      <c r="E22" s="119" t="s">
        <v>334</v>
      </c>
      <c r="F22" s="41"/>
      <c r="G22" s="111" t="s">
        <v>335</v>
      </c>
      <c r="H22" s="111" t="s">
        <v>336</v>
      </c>
      <c r="I22" s="111" t="s">
        <v>337</v>
      </c>
      <c r="J22" s="41"/>
      <c r="K22" s="41"/>
      <c r="L22" s="41"/>
      <c r="M22" s="41"/>
      <c r="N22" s="40"/>
      <c r="O22" s="43">
        <f>M20/O21</f>
        <v>2.262631871</v>
      </c>
      <c r="P22" s="48"/>
      <c r="Q22" s="33"/>
      <c r="R22" s="34"/>
    </row>
    <row r="23">
      <c r="A23" s="12"/>
      <c r="B23" s="23" t="s">
        <v>50</v>
      </c>
      <c r="C23" s="24" t="s">
        <v>16</v>
      </c>
      <c r="D23" s="96" t="s">
        <v>51</v>
      </c>
      <c r="E23" s="120" t="s">
        <v>135</v>
      </c>
      <c r="F23" s="109">
        <v>2500.0</v>
      </c>
      <c r="G23" s="27" t="s">
        <v>135</v>
      </c>
      <c r="H23" s="109">
        <v>3000.0</v>
      </c>
      <c r="I23" s="121" t="s">
        <v>181</v>
      </c>
      <c r="J23" s="109">
        <v>4500.0</v>
      </c>
      <c r="K23" s="63" t="s">
        <v>135</v>
      </c>
      <c r="L23" s="29" t="b">
        <v>0</v>
      </c>
      <c r="M23" s="30">
        <f>SUM(E23:L23)</f>
        <v>10000</v>
      </c>
      <c r="N23" s="31">
        <f>M23-7000</f>
        <v>3000</v>
      </c>
      <c r="O23" s="32"/>
      <c r="P23" s="33"/>
      <c r="Q23" s="34"/>
      <c r="R23" s="34"/>
    </row>
    <row r="24">
      <c r="A24" s="12"/>
      <c r="B24" s="35"/>
      <c r="C24" s="24" t="s">
        <v>5</v>
      </c>
      <c r="E24" s="99"/>
      <c r="F24" s="110">
        <v>1079.0</v>
      </c>
      <c r="H24" s="110">
        <v>1096.0</v>
      </c>
      <c r="J24" s="110">
        <v>2607.0</v>
      </c>
      <c r="N24" s="36"/>
      <c r="O24" s="38">
        <f>SUM(E24:K24)</f>
        <v>4782</v>
      </c>
      <c r="P24" s="48"/>
      <c r="Q24" s="34"/>
      <c r="R24" s="34"/>
    </row>
    <row r="25" ht="15.0" customHeight="1">
      <c r="A25" s="12"/>
      <c r="B25" s="39"/>
      <c r="C25" s="24" t="s">
        <v>20</v>
      </c>
      <c r="D25" s="41"/>
      <c r="E25" s="100"/>
      <c r="F25" s="111" t="s">
        <v>338</v>
      </c>
      <c r="G25" s="41"/>
      <c r="H25" s="111" t="s">
        <v>339</v>
      </c>
      <c r="I25" s="41"/>
      <c r="J25" s="111" t="s">
        <v>340</v>
      </c>
      <c r="K25" s="41"/>
      <c r="L25" s="41"/>
      <c r="M25" s="41"/>
      <c r="N25" s="40"/>
      <c r="O25" s="43">
        <f>M23/O24</f>
        <v>2.09117524</v>
      </c>
      <c r="P25" s="22"/>
      <c r="Q25" s="34"/>
      <c r="R25" s="34"/>
    </row>
    <row r="26">
      <c r="A26" s="12"/>
      <c r="B26" s="23" t="s">
        <v>56</v>
      </c>
      <c r="C26" s="24" t="s">
        <v>16</v>
      </c>
      <c r="D26" s="96" t="s">
        <v>57</v>
      </c>
      <c r="E26" s="120" t="s">
        <v>135</v>
      </c>
      <c r="F26" s="27" t="s">
        <v>135</v>
      </c>
      <c r="G26" s="98" t="s">
        <v>88</v>
      </c>
      <c r="H26" s="109">
        <v>2900.0</v>
      </c>
      <c r="I26" s="27" t="s">
        <v>135</v>
      </c>
      <c r="J26" s="27" t="s">
        <v>135</v>
      </c>
      <c r="K26" s="109">
        <v>3400.0</v>
      </c>
      <c r="L26" s="29" t="b">
        <v>0</v>
      </c>
      <c r="M26" s="30">
        <f>SUM(E26:L26)</f>
        <v>6300</v>
      </c>
      <c r="N26" s="31">
        <f>M26-7000</f>
        <v>-700</v>
      </c>
      <c r="O26" s="32"/>
      <c r="P26" s="33"/>
      <c r="Q26" s="34"/>
      <c r="R26" s="34"/>
    </row>
    <row r="27">
      <c r="A27" s="12"/>
      <c r="B27" s="35"/>
      <c r="C27" s="24" t="s">
        <v>5</v>
      </c>
      <c r="E27" s="99"/>
      <c r="H27" s="118">
        <f>1455+9+121</f>
        <v>1585</v>
      </c>
      <c r="K27" s="110">
        <f>1301+105</f>
        <v>1406</v>
      </c>
      <c r="N27" s="36"/>
      <c r="O27" s="38">
        <f>SUM(E27:K27)</f>
        <v>2991</v>
      </c>
      <c r="P27" s="33"/>
      <c r="Q27" s="34"/>
      <c r="R27" s="34"/>
    </row>
    <row r="28">
      <c r="A28" s="12"/>
      <c r="B28" s="39"/>
      <c r="C28" s="24" t="s">
        <v>20</v>
      </c>
      <c r="D28" s="41"/>
      <c r="E28" s="100"/>
      <c r="F28" s="41"/>
      <c r="G28" s="41"/>
      <c r="H28" s="111" t="s">
        <v>341</v>
      </c>
      <c r="I28" s="41"/>
      <c r="J28" s="41"/>
      <c r="K28" s="116" t="s">
        <v>342</v>
      </c>
      <c r="L28" s="41"/>
      <c r="M28" s="41"/>
      <c r="N28" s="40"/>
      <c r="O28" s="43">
        <f>M26/O27</f>
        <v>2.106318957</v>
      </c>
      <c r="P28" s="33"/>
      <c r="Q28" s="34"/>
      <c r="R28" s="34"/>
    </row>
    <row r="29">
      <c r="A29" s="12"/>
      <c r="B29" s="23" t="s">
        <v>60</v>
      </c>
      <c r="C29" s="24" t="s">
        <v>16</v>
      </c>
      <c r="D29" s="96" t="s">
        <v>61</v>
      </c>
      <c r="E29" s="112">
        <v>700.0</v>
      </c>
      <c r="F29" s="109">
        <v>685.0</v>
      </c>
      <c r="G29" s="109">
        <f>700+800</f>
        <v>1500</v>
      </c>
      <c r="H29" s="109">
        <v>750.0</v>
      </c>
      <c r="I29" s="109">
        <v>750.0</v>
      </c>
      <c r="J29" s="109">
        <f>750+725</f>
        <v>1475</v>
      </c>
      <c r="K29" s="117">
        <v>250.0</v>
      </c>
      <c r="L29" s="29" t="b">
        <v>0</v>
      </c>
      <c r="M29" s="30">
        <f>SUM(E29:L29)</f>
        <v>6110</v>
      </c>
      <c r="N29" s="31">
        <f>M29-7000</f>
        <v>-890</v>
      </c>
      <c r="O29" s="32"/>
      <c r="P29" s="33"/>
      <c r="Q29" s="34"/>
      <c r="R29" s="34"/>
    </row>
    <row r="30">
      <c r="A30" s="12"/>
      <c r="B30" s="35"/>
      <c r="C30" s="24" t="s">
        <v>5</v>
      </c>
      <c r="E30" s="122">
        <v>15.0</v>
      </c>
      <c r="F30" s="110">
        <v>30.0</v>
      </c>
      <c r="G30" s="110">
        <f>27+52</f>
        <v>79</v>
      </c>
      <c r="H30" s="110">
        <v>27.0</v>
      </c>
      <c r="I30" s="110">
        <v>27.0</v>
      </c>
      <c r="J30" s="110">
        <f>27+27</f>
        <v>54</v>
      </c>
      <c r="K30" s="110" t="s">
        <v>343</v>
      </c>
      <c r="N30" s="36"/>
      <c r="O30" s="38">
        <f>SUM(E30:K30)</f>
        <v>232</v>
      </c>
      <c r="P30" s="33"/>
      <c r="Q30" s="34"/>
      <c r="R30" s="34"/>
    </row>
    <row r="31">
      <c r="A31" s="12"/>
      <c r="B31" s="39"/>
      <c r="C31" s="24" t="s">
        <v>20</v>
      </c>
      <c r="D31" s="41"/>
      <c r="E31" s="119" t="s">
        <v>344</v>
      </c>
      <c r="F31" s="111" t="s">
        <v>345</v>
      </c>
      <c r="G31" s="111" t="s">
        <v>346</v>
      </c>
      <c r="H31" s="111" t="s">
        <v>347</v>
      </c>
      <c r="I31" s="111" t="s">
        <v>348</v>
      </c>
      <c r="J31" s="111" t="s">
        <v>349</v>
      </c>
      <c r="K31" s="116" t="s">
        <v>350</v>
      </c>
      <c r="L31" s="41"/>
      <c r="M31" s="41"/>
      <c r="N31" s="40"/>
      <c r="O31" s="43">
        <f>M29/O30</f>
        <v>26.3362069</v>
      </c>
      <c r="P31" s="33"/>
      <c r="Q31" s="34"/>
      <c r="R31" s="34"/>
    </row>
    <row r="32">
      <c r="A32" s="12"/>
      <c r="B32" s="23" t="s">
        <v>219</v>
      </c>
      <c r="C32" s="24" t="s">
        <v>16</v>
      </c>
      <c r="D32" s="96" t="s">
        <v>220</v>
      </c>
      <c r="E32" s="112">
        <v>1750.0</v>
      </c>
      <c r="F32" s="27" t="s">
        <v>135</v>
      </c>
      <c r="G32" s="109">
        <v>2600.0</v>
      </c>
      <c r="H32" s="27" t="s">
        <v>135</v>
      </c>
      <c r="I32" s="109">
        <v>5800.0</v>
      </c>
      <c r="J32" s="27" t="s">
        <v>135</v>
      </c>
      <c r="K32" s="63" t="s">
        <v>135</v>
      </c>
      <c r="L32" s="29" t="b">
        <v>0</v>
      </c>
      <c r="M32" s="30">
        <f>SUM(E32:L32)</f>
        <v>10150</v>
      </c>
      <c r="N32" s="31">
        <f>M32-7000</f>
        <v>3150</v>
      </c>
      <c r="O32" s="32"/>
      <c r="P32" s="33"/>
      <c r="Q32" s="34"/>
      <c r="R32" s="34"/>
    </row>
    <row r="33">
      <c r="A33" s="12"/>
      <c r="B33" s="35"/>
      <c r="C33" s="24" t="s">
        <v>5</v>
      </c>
      <c r="E33" s="122">
        <v>709.0</v>
      </c>
      <c r="G33" s="110">
        <v>923.0</v>
      </c>
      <c r="I33" s="110">
        <v>2030.0</v>
      </c>
      <c r="N33" s="36"/>
      <c r="O33" s="38">
        <f>SUM(E33:K33)</f>
        <v>3662</v>
      </c>
      <c r="P33" s="33"/>
      <c r="Q33" s="34"/>
      <c r="R33" s="34"/>
    </row>
    <row r="34">
      <c r="A34" s="12"/>
      <c r="B34" s="39"/>
      <c r="C34" s="24" t="s">
        <v>20</v>
      </c>
      <c r="D34" s="41"/>
      <c r="E34" s="119" t="s">
        <v>351</v>
      </c>
      <c r="F34" s="41"/>
      <c r="G34" s="111" t="s">
        <v>352</v>
      </c>
      <c r="H34" s="41"/>
      <c r="I34" s="111" t="s">
        <v>353</v>
      </c>
      <c r="J34" s="41"/>
      <c r="K34" s="41"/>
      <c r="L34" s="41"/>
      <c r="M34" s="41"/>
      <c r="N34" s="40"/>
      <c r="O34" s="43">
        <f>M32/O33</f>
        <v>2.771709448</v>
      </c>
      <c r="P34" s="33"/>
      <c r="Q34" s="34"/>
      <c r="R34" s="34"/>
    </row>
    <row r="35">
      <c r="A35" s="12"/>
      <c r="B35" s="23" t="s">
        <v>73</v>
      </c>
      <c r="C35" s="24" t="s">
        <v>16</v>
      </c>
      <c r="D35" s="96" t="s">
        <v>74</v>
      </c>
      <c r="E35" s="112">
        <v>3200.0</v>
      </c>
      <c r="F35" s="27" t="s">
        <v>135</v>
      </c>
      <c r="G35" s="109">
        <v>600.0</v>
      </c>
      <c r="H35" s="28" t="s">
        <v>27</v>
      </c>
      <c r="I35" s="28" t="s">
        <v>27</v>
      </c>
      <c r="J35" s="28" t="s">
        <v>27</v>
      </c>
      <c r="K35" s="28" t="s">
        <v>27</v>
      </c>
      <c r="L35" s="29" t="b">
        <v>0</v>
      </c>
      <c r="M35" s="30">
        <f>SUM(E35:L35)</f>
        <v>3800</v>
      </c>
      <c r="N35" s="31">
        <f>M35-7000</f>
        <v>-3200</v>
      </c>
      <c r="O35" s="32"/>
      <c r="P35" s="33"/>
      <c r="Q35" s="34"/>
      <c r="R35" s="34"/>
    </row>
    <row r="36">
      <c r="A36" s="12"/>
      <c r="B36" s="35"/>
      <c r="C36" s="24" t="s">
        <v>5</v>
      </c>
      <c r="E36" s="122">
        <v>826.0</v>
      </c>
      <c r="G36" s="110">
        <v>207.0</v>
      </c>
      <c r="N36" s="36"/>
      <c r="O36" s="38">
        <f>SUM(E36:K36)</f>
        <v>1033</v>
      </c>
      <c r="P36" s="33"/>
      <c r="Q36" s="34"/>
      <c r="R36" s="34"/>
    </row>
    <row r="37">
      <c r="A37" s="12"/>
      <c r="B37" s="39"/>
      <c r="C37" s="24" t="s">
        <v>20</v>
      </c>
      <c r="D37" s="41"/>
      <c r="E37" s="119" t="s">
        <v>354</v>
      </c>
      <c r="F37" s="41"/>
      <c r="G37" s="111" t="s">
        <v>355</v>
      </c>
      <c r="H37" s="41"/>
      <c r="I37" s="41"/>
      <c r="J37" s="41"/>
      <c r="K37" s="41"/>
      <c r="L37" s="41"/>
      <c r="M37" s="41"/>
      <c r="N37" s="40"/>
      <c r="O37" s="43">
        <f>M35/O36</f>
        <v>3.678606002</v>
      </c>
      <c r="P37" s="33"/>
      <c r="Q37" s="34"/>
      <c r="R37" s="34"/>
    </row>
    <row r="38">
      <c r="A38" s="12"/>
      <c r="B38" s="23" t="s">
        <v>76</v>
      </c>
      <c r="C38" s="24" t="s">
        <v>16</v>
      </c>
      <c r="D38" s="96" t="s">
        <v>77</v>
      </c>
      <c r="E38" s="112">
        <v>2500.0</v>
      </c>
      <c r="F38" s="109">
        <v>5000.0</v>
      </c>
      <c r="G38" s="27" t="s">
        <v>135</v>
      </c>
      <c r="H38" s="27" t="s">
        <v>135</v>
      </c>
      <c r="I38" s="27" t="s">
        <v>135</v>
      </c>
      <c r="J38" s="28" t="s">
        <v>288</v>
      </c>
      <c r="K38" s="117">
        <v>2900.0</v>
      </c>
      <c r="L38" s="29" t="b">
        <v>0</v>
      </c>
      <c r="M38" s="30">
        <f>SUM(E38:L38)</f>
        <v>10400</v>
      </c>
      <c r="N38" s="31">
        <f>M38-7000</f>
        <v>3400</v>
      </c>
      <c r="O38" s="32"/>
      <c r="P38" s="33"/>
      <c r="Q38" s="34"/>
      <c r="R38" s="34"/>
    </row>
    <row r="39">
      <c r="A39" s="12"/>
      <c r="B39" s="35"/>
      <c r="C39" s="24" t="s">
        <v>5</v>
      </c>
      <c r="E39" s="122">
        <v>666.0</v>
      </c>
      <c r="F39" s="110">
        <v>1915.0</v>
      </c>
      <c r="K39" s="110">
        <v>1097.0</v>
      </c>
      <c r="N39" s="36"/>
      <c r="O39" s="38">
        <f>SUM(E39:K39)</f>
        <v>3678</v>
      </c>
      <c r="P39" s="33"/>
      <c r="Q39" s="34"/>
      <c r="R39" s="34"/>
    </row>
    <row r="40">
      <c r="A40" s="12"/>
      <c r="B40" s="39"/>
      <c r="C40" s="24" t="s">
        <v>20</v>
      </c>
      <c r="D40" s="41"/>
      <c r="E40" s="119" t="s">
        <v>356</v>
      </c>
      <c r="F40" s="111" t="s">
        <v>357</v>
      </c>
      <c r="G40" s="41"/>
      <c r="H40" s="41"/>
      <c r="I40" s="41"/>
      <c r="J40" s="41"/>
      <c r="K40" s="116" t="s">
        <v>358</v>
      </c>
      <c r="L40" s="41"/>
      <c r="M40" s="41"/>
      <c r="N40" s="40"/>
      <c r="O40" s="43">
        <f>M38/O39</f>
        <v>2.827623709</v>
      </c>
      <c r="P40" s="33"/>
      <c r="Q40" s="34"/>
      <c r="R40" s="34"/>
    </row>
    <row r="41">
      <c r="A41" s="12"/>
      <c r="B41" s="23" t="s">
        <v>82</v>
      </c>
      <c r="C41" s="24" t="s">
        <v>16</v>
      </c>
      <c r="D41" s="96" t="s">
        <v>83</v>
      </c>
      <c r="E41" s="112">
        <v>1700.0</v>
      </c>
      <c r="F41" s="98" t="s">
        <v>88</v>
      </c>
      <c r="G41" s="109">
        <v>4600.0</v>
      </c>
      <c r="H41" s="27" t="s">
        <v>135</v>
      </c>
      <c r="I41" s="109">
        <v>3200.0</v>
      </c>
      <c r="J41" s="27" t="s">
        <v>135</v>
      </c>
      <c r="K41" s="63" t="s">
        <v>135</v>
      </c>
      <c r="L41" s="29" t="b">
        <v>0</v>
      </c>
      <c r="M41" s="30">
        <f>SUM(E41:L41)</f>
        <v>9500</v>
      </c>
      <c r="N41" s="31">
        <f>M41-7000</f>
        <v>2500</v>
      </c>
      <c r="O41" s="32"/>
      <c r="P41" s="33"/>
      <c r="Q41" s="34"/>
      <c r="R41" s="34"/>
    </row>
    <row r="42">
      <c r="A42" s="12"/>
      <c r="B42" s="35"/>
      <c r="C42" s="24" t="s">
        <v>5</v>
      </c>
      <c r="E42" s="114">
        <f>596+221</f>
        <v>817</v>
      </c>
      <c r="G42" s="118">
        <f>7+1308+225</f>
        <v>1540</v>
      </c>
      <c r="I42" s="110">
        <v>1141.0</v>
      </c>
      <c r="N42" s="36"/>
      <c r="O42" s="38">
        <f>SUM(E42:K42)</f>
        <v>3498</v>
      </c>
      <c r="P42" s="33"/>
      <c r="Q42" s="34"/>
      <c r="R42" s="34"/>
    </row>
    <row r="43">
      <c r="A43" s="12"/>
      <c r="B43" s="39"/>
      <c r="C43" s="24" t="s">
        <v>20</v>
      </c>
      <c r="D43" s="41"/>
      <c r="E43" s="119" t="s">
        <v>359</v>
      </c>
      <c r="F43" s="41"/>
      <c r="G43" s="111" t="s">
        <v>360</v>
      </c>
      <c r="H43" s="41"/>
      <c r="I43" s="111" t="s">
        <v>361</v>
      </c>
      <c r="J43" s="41"/>
      <c r="K43" s="41"/>
      <c r="L43" s="41"/>
      <c r="M43" s="41"/>
      <c r="N43" s="40"/>
      <c r="O43" s="43">
        <f>M41/O42</f>
        <v>2.715837621</v>
      </c>
      <c r="P43" s="33"/>
      <c r="Q43" s="34"/>
      <c r="R43" s="34"/>
    </row>
    <row r="44">
      <c r="A44" s="12"/>
      <c r="B44" s="23" t="s">
        <v>86</v>
      </c>
      <c r="C44" s="24" t="s">
        <v>16</v>
      </c>
      <c r="D44" s="96" t="s">
        <v>87</v>
      </c>
      <c r="E44" s="112">
        <v>2400.0</v>
      </c>
      <c r="F44" s="26" t="s">
        <v>62</v>
      </c>
      <c r="G44" s="26" t="s">
        <v>62</v>
      </c>
      <c r="H44" s="109">
        <v>1800.0</v>
      </c>
      <c r="I44" s="109">
        <v>1300.0</v>
      </c>
      <c r="J44" s="27" t="s">
        <v>135</v>
      </c>
      <c r="K44" s="63" t="s">
        <v>135</v>
      </c>
      <c r="L44" s="29" t="b">
        <v>0</v>
      </c>
      <c r="M44" s="30">
        <f>SUM(E44:L44)</f>
        <v>5500</v>
      </c>
      <c r="N44" s="31">
        <f>M44-7000</f>
        <v>-1500</v>
      </c>
      <c r="O44" s="32"/>
      <c r="P44" s="33"/>
      <c r="Q44" s="34"/>
      <c r="R44" s="34"/>
    </row>
    <row r="45">
      <c r="A45" s="12"/>
      <c r="B45" s="35"/>
      <c r="C45" s="24" t="s">
        <v>5</v>
      </c>
      <c r="E45" s="114">
        <f>799</f>
        <v>799</v>
      </c>
      <c r="H45" s="110">
        <v>556.0</v>
      </c>
      <c r="I45" s="110">
        <v>300.0</v>
      </c>
      <c r="N45" s="36"/>
      <c r="O45" s="38">
        <f>SUM(E45:K45)</f>
        <v>1655</v>
      </c>
      <c r="P45" s="33"/>
      <c r="Q45" s="34"/>
      <c r="R45" s="34"/>
    </row>
    <row r="46">
      <c r="A46" s="12"/>
      <c r="B46" s="39"/>
      <c r="C46" s="24" t="s">
        <v>20</v>
      </c>
      <c r="D46" s="41"/>
      <c r="E46" s="119" t="s">
        <v>362</v>
      </c>
      <c r="F46" s="41"/>
      <c r="G46" s="41"/>
      <c r="H46" s="111" t="s">
        <v>363</v>
      </c>
      <c r="I46" s="111" t="s">
        <v>364</v>
      </c>
      <c r="J46" s="41"/>
      <c r="K46" s="41"/>
      <c r="L46" s="41"/>
      <c r="M46" s="41"/>
      <c r="N46" s="40"/>
      <c r="O46" s="43">
        <f>M44/O45</f>
        <v>3.32326284</v>
      </c>
      <c r="P46" s="33"/>
      <c r="Q46" s="34"/>
      <c r="R46" s="34"/>
    </row>
    <row r="47">
      <c r="A47" s="12"/>
      <c r="B47" s="23" t="s">
        <v>94</v>
      </c>
      <c r="C47" s="24" t="s">
        <v>16</v>
      </c>
      <c r="D47" s="96" t="s">
        <v>95</v>
      </c>
      <c r="E47" s="112">
        <v>2900.0</v>
      </c>
      <c r="F47" s="27" t="s">
        <v>135</v>
      </c>
      <c r="G47" s="109">
        <v>2500.0</v>
      </c>
      <c r="H47" s="27" t="s">
        <v>135</v>
      </c>
      <c r="I47" s="109">
        <v>3800.0</v>
      </c>
      <c r="J47" s="27" t="s">
        <v>135</v>
      </c>
      <c r="K47" s="27" t="s">
        <v>135</v>
      </c>
      <c r="L47" s="29" t="b">
        <v>0</v>
      </c>
      <c r="M47" s="30">
        <f>SUM(E47:L47)</f>
        <v>9200</v>
      </c>
      <c r="N47" s="31">
        <f>M47-7000</f>
        <v>2200</v>
      </c>
      <c r="O47" s="32"/>
      <c r="P47" s="33"/>
      <c r="Q47" s="34"/>
      <c r="R47" s="34"/>
    </row>
    <row r="48">
      <c r="A48" s="12"/>
      <c r="B48" s="35"/>
      <c r="C48" s="24" t="s">
        <v>5</v>
      </c>
      <c r="E48" s="122">
        <v>758.0</v>
      </c>
      <c r="G48" s="110">
        <v>846.0</v>
      </c>
      <c r="I48" s="110">
        <v>1621.0</v>
      </c>
      <c r="N48" s="36"/>
      <c r="O48" s="38">
        <f>SUM(E48:K48)</f>
        <v>3225</v>
      </c>
      <c r="P48" s="33"/>
      <c r="Q48" s="34"/>
      <c r="R48" s="34"/>
    </row>
    <row r="49">
      <c r="A49" s="12"/>
      <c r="B49" s="39"/>
      <c r="C49" s="24" t="s">
        <v>20</v>
      </c>
      <c r="D49" s="41"/>
      <c r="E49" s="119" t="s">
        <v>365</v>
      </c>
      <c r="F49" s="41"/>
      <c r="G49" s="111" t="s">
        <v>366</v>
      </c>
      <c r="H49" s="41"/>
      <c r="I49" s="111" t="s">
        <v>367</v>
      </c>
      <c r="J49" s="41"/>
      <c r="K49" s="41"/>
      <c r="L49" s="41"/>
      <c r="M49" s="41"/>
      <c r="N49" s="40"/>
      <c r="O49" s="43">
        <f>M47/O48</f>
        <v>2.852713178</v>
      </c>
      <c r="P49" s="33"/>
      <c r="Q49" s="34"/>
      <c r="R49" s="34"/>
    </row>
    <row r="50">
      <c r="A50" s="12"/>
      <c r="B50" s="23" t="s">
        <v>98</v>
      </c>
      <c r="C50" s="24" t="s">
        <v>16</v>
      </c>
      <c r="D50" s="96" t="s">
        <v>99</v>
      </c>
      <c r="E50" s="112">
        <v>4600.0</v>
      </c>
      <c r="F50" s="27" t="s">
        <v>135</v>
      </c>
      <c r="G50" s="27" t="s">
        <v>135</v>
      </c>
      <c r="H50" s="98" t="s">
        <v>88</v>
      </c>
      <c r="I50" s="109">
        <v>650.0</v>
      </c>
      <c r="J50" s="28" t="s">
        <v>27</v>
      </c>
      <c r="K50" s="28" t="s">
        <v>27</v>
      </c>
      <c r="L50" s="29" t="b">
        <v>0</v>
      </c>
      <c r="M50" s="30">
        <f>SUM(E50:L50)</f>
        <v>5250</v>
      </c>
      <c r="N50" s="31">
        <f>M50-7000</f>
        <v>-1750</v>
      </c>
      <c r="O50" s="32"/>
      <c r="P50" s="33"/>
      <c r="Q50" s="34"/>
      <c r="R50" s="34"/>
    </row>
    <row r="51">
      <c r="A51" s="12"/>
      <c r="B51" s="35"/>
      <c r="C51" s="24" t="s">
        <v>5</v>
      </c>
      <c r="E51" s="122">
        <v>2155.0</v>
      </c>
      <c r="I51" s="110">
        <v>358.0</v>
      </c>
      <c r="N51" s="36"/>
      <c r="O51" s="38">
        <f>SUM(E51:K51)</f>
        <v>2513</v>
      </c>
      <c r="P51" s="33"/>
      <c r="Q51" s="34"/>
      <c r="R51" s="34"/>
    </row>
    <row r="52">
      <c r="A52" s="12"/>
      <c r="B52" s="39"/>
      <c r="C52" s="24" t="s">
        <v>20</v>
      </c>
      <c r="D52" s="41"/>
      <c r="E52" s="119" t="s">
        <v>368</v>
      </c>
      <c r="F52" s="41"/>
      <c r="G52" s="41"/>
      <c r="H52" s="41"/>
      <c r="I52" s="111" t="s">
        <v>369</v>
      </c>
      <c r="J52" s="41"/>
      <c r="K52" s="41"/>
      <c r="L52" s="41"/>
      <c r="M52" s="41"/>
      <c r="N52" s="40"/>
      <c r="O52" s="43">
        <f>M50/O51</f>
        <v>2.08913649</v>
      </c>
      <c r="P52" s="33"/>
      <c r="Q52" s="34"/>
      <c r="R52" s="34"/>
    </row>
    <row r="53">
      <c r="A53" s="12"/>
      <c r="B53" s="23" t="s">
        <v>104</v>
      </c>
      <c r="C53" s="24" t="s">
        <v>16</v>
      </c>
      <c r="D53" s="96" t="s">
        <v>105</v>
      </c>
      <c r="E53" s="112">
        <v>3200.0</v>
      </c>
      <c r="F53" s="109">
        <v>4700.0</v>
      </c>
      <c r="G53" s="27" t="s">
        <v>135</v>
      </c>
      <c r="H53" s="27" t="s">
        <v>135</v>
      </c>
      <c r="I53" s="109">
        <v>5000.0</v>
      </c>
      <c r="J53" s="27" t="s">
        <v>135</v>
      </c>
      <c r="K53" s="27" t="s">
        <v>135</v>
      </c>
      <c r="L53" s="29" t="b">
        <v>0</v>
      </c>
      <c r="M53" s="30">
        <f>SUM(E53:L53)</f>
        <v>12900</v>
      </c>
      <c r="N53" s="31">
        <f>M53-7000</f>
        <v>5900</v>
      </c>
      <c r="O53" s="32"/>
      <c r="P53" s="33"/>
      <c r="Q53" s="34"/>
      <c r="R53" s="34"/>
    </row>
    <row r="54">
      <c r="A54" s="12"/>
      <c r="B54" s="35"/>
      <c r="C54" s="24" t="s">
        <v>5</v>
      </c>
      <c r="E54" s="122">
        <v>1044.0</v>
      </c>
      <c r="F54" s="110">
        <v>1845.0</v>
      </c>
      <c r="I54" s="110">
        <v>2346.0</v>
      </c>
      <c r="N54" s="36"/>
      <c r="O54" s="38">
        <f>SUM(E54:K54)</f>
        <v>5235</v>
      </c>
      <c r="P54" s="33"/>
      <c r="Q54" s="34"/>
      <c r="R54" s="34"/>
    </row>
    <row r="55">
      <c r="A55" s="12"/>
      <c r="B55" s="39"/>
      <c r="C55" s="24" t="s">
        <v>20</v>
      </c>
      <c r="D55" s="41"/>
      <c r="E55" s="119" t="s">
        <v>370</v>
      </c>
      <c r="F55" s="111" t="s">
        <v>371</v>
      </c>
      <c r="G55" s="41"/>
      <c r="H55" s="41"/>
      <c r="I55" s="111" t="s">
        <v>372</v>
      </c>
      <c r="J55" s="41"/>
      <c r="K55" s="41"/>
      <c r="L55" s="41"/>
      <c r="M55" s="41"/>
      <c r="N55" s="40"/>
      <c r="O55" s="43">
        <f>M53/O54</f>
        <v>2.464183381</v>
      </c>
      <c r="P55" s="33"/>
      <c r="Q55" s="34"/>
      <c r="R55" s="34"/>
    </row>
    <row r="56">
      <c r="A56" s="12"/>
      <c r="B56" s="23" t="s">
        <v>108</v>
      </c>
      <c r="C56" s="24" t="s">
        <v>16</v>
      </c>
      <c r="D56" s="96" t="s">
        <v>109</v>
      </c>
      <c r="E56" s="112">
        <v>1200.0</v>
      </c>
      <c r="F56" s="109">
        <v>2300.0</v>
      </c>
      <c r="G56" s="109">
        <v>2300.0</v>
      </c>
      <c r="H56" s="27" t="s">
        <v>135</v>
      </c>
      <c r="I56" s="109">
        <v>2650.0</v>
      </c>
      <c r="J56" s="27" t="s">
        <v>135</v>
      </c>
      <c r="K56" s="109">
        <v>1649.0</v>
      </c>
      <c r="L56" s="29" t="b">
        <v>0</v>
      </c>
      <c r="M56" s="30">
        <f>SUM(E56:L56)</f>
        <v>10099</v>
      </c>
      <c r="N56" s="31">
        <f>M56-7000</f>
        <v>3099</v>
      </c>
      <c r="O56" s="32"/>
      <c r="P56" s="33"/>
      <c r="Q56" s="34"/>
      <c r="R56" s="34"/>
    </row>
    <row r="57">
      <c r="A57" s="12"/>
      <c r="B57" s="35"/>
      <c r="C57" s="24" t="s">
        <v>5</v>
      </c>
      <c r="E57" s="114">
        <f>399+45</f>
        <v>444</v>
      </c>
      <c r="F57" s="118">
        <f>734+45</f>
        <v>779</v>
      </c>
      <c r="G57" s="118">
        <f>935+27</f>
        <v>962</v>
      </c>
      <c r="I57" s="110">
        <f>939+6</f>
        <v>945</v>
      </c>
      <c r="K57" s="110">
        <v>890.0</v>
      </c>
      <c r="N57" s="36"/>
      <c r="O57" s="38">
        <f>SUM(E57:K57)</f>
        <v>4020</v>
      </c>
      <c r="P57" s="33"/>
      <c r="Q57" s="34"/>
      <c r="R57" s="34"/>
    </row>
    <row r="58">
      <c r="A58" s="12"/>
      <c r="B58" s="39"/>
      <c r="C58" s="24" t="s">
        <v>20</v>
      </c>
      <c r="D58" s="41"/>
      <c r="E58" s="119" t="s">
        <v>373</v>
      </c>
      <c r="F58" s="111" t="s">
        <v>374</v>
      </c>
      <c r="G58" s="111" t="s">
        <v>375</v>
      </c>
      <c r="H58" s="41"/>
      <c r="I58" s="111" t="s">
        <v>376</v>
      </c>
      <c r="J58" s="41"/>
      <c r="K58" s="116" t="s">
        <v>377</v>
      </c>
      <c r="L58" s="41"/>
      <c r="M58" s="41"/>
      <c r="N58" s="40"/>
      <c r="O58" s="43">
        <f>M56/O57</f>
        <v>2.512189055</v>
      </c>
      <c r="P58" s="33"/>
      <c r="Q58" s="34"/>
      <c r="R58" s="34"/>
    </row>
    <row r="59">
      <c r="A59" s="12"/>
      <c r="B59" s="23" t="s">
        <v>249</v>
      </c>
      <c r="C59" s="24" t="s">
        <v>16</v>
      </c>
      <c r="D59" s="96" t="s">
        <v>250</v>
      </c>
      <c r="E59" s="112">
        <v>3000.0</v>
      </c>
      <c r="F59" s="27" t="s">
        <v>135</v>
      </c>
      <c r="G59" s="109">
        <v>1500.0</v>
      </c>
      <c r="H59" s="26" t="s">
        <v>62</v>
      </c>
      <c r="I59" s="109">
        <v>2900.0</v>
      </c>
      <c r="J59" s="27" t="s">
        <v>135</v>
      </c>
      <c r="K59" s="63" t="s">
        <v>135</v>
      </c>
      <c r="L59" s="29" t="b">
        <v>0</v>
      </c>
      <c r="M59" s="30">
        <f>SUM(E59:L59)</f>
        <v>7400</v>
      </c>
      <c r="N59" s="31">
        <f>M59-7000</f>
        <v>400</v>
      </c>
      <c r="O59" s="32"/>
      <c r="P59" s="33"/>
      <c r="Q59" s="34"/>
      <c r="R59" s="34"/>
    </row>
    <row r="60">
      <c r="A60" s="12"/>
      <c r="B60" s="35"/>
      <c r="C60" s="24" t="s">
        <v>5</v>
      </c>
      <c r="E60" s="123">
        <v>1199.0</v>
      </c>
      <c r="G60" s="110">
        <v>608.0</v>
      </c>
      <c r="I60" s="110">
        <v>796.0</v>
      </c>
      <c r="N60" s="36"/>
      <c r="O60" s="38">
        <f>SUM(E60:K60)</f>
        <v>2603</v>
      </c>
      <c r="P60" s="33"/>
      <c r="Q60" s="34"/>
      <c r="R60" s="34"/>
    </row>
    <row r="61">
      <c r="A61" s="12"/>
      <c r="B61" s="39"/>
      <c r="C61" s="24" t="s">
        <v>20</v>
      </c>
      <c r="D61" s="41"/>
      <c r="E61" s="119" t="s">
        <v>378</v>
      </c>
      <c r="F61" s="41"/>
      <c r="G61" s="111" t="s">
        <v>379</v>
      </c>
      <c r="H61" s="41"/>
      <c r="I61" s="111" t="s">
        <v>380</v>
      </c>
      <c r="J61" s="41"/>
      <c r="K61" s="41"/>
      <c r="L61" s="41"/>
      <c r="M61" s="41"/>
      <c r="N61" s="40"/>
      <c r="O61" s="43">
        <f>M59/O60</f>
        <v>2.842873607</v>
      </c>
      <c r="P61" s="33"/>
      <c r="Q61" s="34"/>
      <c r="R61" s="34"/>
    </row>
    <row r="62" ht="16.5" customHeight="1">
      <c r="A62" s="12"/>
      <c r="B62" s="23" t="s">
        <v>308</v>
      </c>
      <c r="C62" s="24" t="s">
        <v>16</v>
      </c>
      <c r="D62" s="96" t="s">
        <v>309</v>
      </c>
      <c r="E62" s="120" t="s">
        <v>135</v>
      </c>
      <c r="F62" s="109">
        <v>3000.0</v>
      </c>
      <c r="G62" s="109">
        <v>4100.0</v>
      </c>
      <c r="H62" s="27" t="s">
        <v>135</v>
      </c>
      <c r="I62" s="28" t="s">
        <v>27</v>
      </c>
      <c r="J62" s="28" t="s">
        <v>27</v>
      </c>
      <c r="K62" s="28" t="s">
        <v>27</v>
      </c>
      <c r="L62" s="29" t="b">
        <v>0</v>
      </c>
      <c r="M62" s="30">
        <f>SUM(E62:L62)</f>
        <v>7100</v>
      </c>
      <c r="N62" s="31">
        <f>M62-7000</f>
        <v>100</v>
      </c>
      <c r="O62" s="32"/>
      <c r="P62" s="33"/>
      <c r="Q62" s="34"/>
      <c r="R62" s="34"/>
    </row>
    <row r="63" ht="16.5" customHeight="1">
      <c r="A63" s="12"/>
      <c r="B63" s="35"/>
      <c r="C63" s="24" t="s">
        <v>5</v>
      </c>
      <c r="E63" s="99"/>
      <c r="F63" s="110">
        <v>870.0</v>
      </c>
      <c r="G63" s="110">
        <v>1258.0</v>
      </c>
      <c r="N63" s="36"/>
      <c r="O63" s="38">
        <f>SUM(E63:K63)</f>
        <v>2128</v>
      </c>
      <c r="P63" s="33"/>
      <c r="Q63" s="34"/>
      <c r="R63" s="34"/>
    </row>
    <row r="64" ht="16.5" customHeight="1">
      <c r="A64" s="12"/>
      <c r="B64" s="39"/>
      <c r="C64" s="24" t="s">
        <v>20</v>
      </c>
      <c r="D64" s="41"/>
      <c r="E64" s="100"/>
      <c r="F64" s="111" t="s">
        <v>381</v>
      </c>
      <c r="G64" s="111" t="s">
        <v>382</v>
      </c>
      <c r="H64" s="41"/>
      <c r="I64" s="41"/>
      <c r="J64" s="41"/>
      <c r="K64" s="41"/>
      <c r="L64" s="41"/>
      <c r="M64" s="41"/>
      <c r="N64" s="40"/>
      <c r="O64" s="43">
        <f>M62/O63</f>
        <v>3.336466165</v>
      </c>
      <c r="P64" s="33"/>
      <c r="Q64" s="34"/>
      <c r="R64" s="34"/>
    </row>
    <row r="65" ht="16.5" customHeight="1">
      <c r="A65" s="12"/>
      <c r="B65" s="23" t="s">
        <v>313</v>
      </c>
      <c r="C65" s="24" t="s">
        <v>16</v>
      </c>
      <c r="D65" s="25" t="s">
        <v>314</v>
      </c>
      <c r="E65" s="27" t="s">
        <v>135</v>
      </c>
      <c r="F65" s="109">
        <v>1500.0</v>
      </c>
      <c r="G65" s="113" t="s">
        <v>71</v>
      </c>
      <c r="H65" s="113" t="s">
        <v>71</v>
      </c>
      <c r="I65" s="113" t="s">
        <v>71</v>
      </c>
      <c r="J65" s="113" t="s">
        <v>71</v>
      </c>
      <c r="K65" s="113" t="s">
        <v>71</v>
      </c>
      <c r="L65" s="29" t="b">
        <v>0</v>
      </c>
      <c r="M65" s="30">
        <f>SUM(E65:L65)</f>
        <v>1500</v>
      </c>
      <c r="N65" s="31">
        <f>M65-7000</f>
        <v>-5500</v>
      </c>
      <c r="O65" s="32"/>
      <c r="P65" s="33"/>
      <c r="Q65" s="34"/>
      <c r="R65" s="34"/>
    </row>
    <row r="66" ht="16.5" customHeight="1">
      <c r="A66" s="12"/>
      <c r="B66" s="35"/>
      <c r="C66" s="24" t="s">
        <v>5</v>
      </c>
      <c r="D66" s="36"/>
      <c r="F66" s="110">
        <v>327.0</v>
      </c>
      <c r="N66" s="36"/>
      <c r="O66" s="38">
        <f>SUM(E66:K66)</f>
        <v>327</v>
      </c>
      <c r="P66" s="33"/>
      <c r="Q66" s="34"/>
      <c r="R66" s="34"/>
    </row>
    <row r="67" ht="16.5" customHeight="1">
      <c r="A67" s="12"/>
      <c r="B67" s="39"/>
      <c r="C67" s="24" t="s">
        <v>20</v>
      </c>
      <c r="D67" s="40"/>
      <c r="E67" s="41"/>
      <c r="F67" s="111" t="s">
        <v>383</v>
      </c>
      <c r="L67" s="41"/>
      <c r="M67" s="41"/>
      <c r="N67" s="40"/>
      <c r="O67" s="43">
        <f>M65/O66</f>
        <v>4.587155963</v>
      </c>
      <c r="P67" s="33"/>
      <c r="Q67" s="34"/>
      <c r="R67" s="34"/>
    </row>
    <row r="68" ht="16.5" customHeight="1">
      <c r="A68" s="12"/>
      <c r="B68" s="23" t="s">
        <v>114</v>
      </c>
      <c r="C68" s="24" t="s">
        <v>16</v>
      </c>
      <c r="D68" s="96" t="s">
        <v>115</v>
      </c>
      <c r="E68" s="112">
        <v>5300.0</v>
      </c>
      <c r="F68" s="27" t="s">
        <v>135</v>
      </c>
      <c r="G68" s="27" t="s">
        <v>135</v>
      </c>
      <c r="H68" s="109">
        <v>1300.0</v>
      </c>
      <c r="I68" s="109">
        <v>2150.0</v>
      </c>
      <c r="J68" s="27" t="s">
        <v>135</v>
      </c>
      <c r="K68" s="109">
        <v>1500.0</v>
      </c>
      <c r="L68" s="29" t="b">
        <v>0</v>
      </c>
      <c r="M68" s="30">
        <f>SUM(E68:L68)</f>
        <v>10250</v>
      </c>
      <c r="N68" s="31">
        <f>M68-7000</f>
        <v>3250</v>
      </c>
      <c r="O68" s="32"/>
      <c r="P68" s="33"/>
      <c r="Q68" s="34"/>
      <c r="R68" s="34"/>
    </row>
    <row r="69">
      <c r="A69" s="12"/>
      <c r="B69" s="35"/>
      <c r="C69" s="24" t="s">
        <v>5</v>
      </c>
      <c r="E69" s="114">
        <f>2368+8.6</f>
        <v>2376.6</v>
      </c>
      <c r="H69" s="118">
        <f>589+21</f>
        <v>610</v>
      </c>
      <c r="I69" s="110">
        <f>708+25</f>
        <v>733</v>
      </c>
      <c r="K69" s="110">
        <f>663+119</f>
        <v>782</v>
      </c>
      <c r="N69" s="36"/>
      <c r="O69" s="38">
        <f>SUM(E69:K69)</f>
        <v>4501.6</v>
      </c>
      <c r="P69" s="33"/>
      <c r="Q69" s="34"/>
      <c r="R69" s="34"/>
    </row>
    <row r="70">
      <c r="A70" s="12"/>
      <c r="B70" s="39"/>
      <c r="C70" s="24" t="s">
        <v>20</v>
      </c>
      <c r="D70" s="41"/>
      <c r="E70" s="115" t="s">
        <v>384</v>
      </c>
      <c r="F70" s="41"/>
      <c r="G70" s="41"/>
      <c r="H70" s="116" t="s">
        <v>385</v>
      </c>
      <c r="I70" s="116" t="s">
        <v>386</v>
      </c>
      <c r="J70" s="41"/>
      <c r="K70" s="116" t="s">
        <v>387</v>
      </c>
      <c r="L70" s="41"/>
      <c r="M70" s="41"/>
      <c r="N70" s="40"/>
      <c r="O70" s="43">
        <f>M68/O69</f>
        <v>2.276968189</v>
      </c>
      <c r="P70" s="33"/>
      <c r="Q70" s="34"/>
      <c r="R70" s="34"/>
    </row>
    <row r="71" ht="14.25" customHeight="1">
      <c r="A71" s="51"/>
      <c r="B71" s="52"/>
      <c r="C71" s="53"/>
      <c r="D71" s="54">
        <f>counta(D5:D70)</f>
        <v>22</v>
      </c>
      <c r="E71" s="37">
        <f t="shared" ref="E71:K71" si="2">$D$71-(COUNTIF(E5:E70, "TRUCK ISSUE") + COUNTIF(E5:E70, "NEW DRIVER") + COUNTIF(E5:E70, "LEFT") + COUNTIF(E5:E70, "YARD"))</f>
        <v>22</v>
      </c>
      <c r="F71" s="37">
        <f t="shared" si="2"/>
        <v>21</v>
      </c>
      <c r="G71" s="37">
        <f t="shared" si="2"/>
        <v>19</v>
      </c>
      <c r="H71" s="37">
        <f t="shared" si="2"/>
        <v>19</v>
      </c>
      <c r="I71" s="37">
        <f t="shared" si="2"/>
        <v>20</v>
      </c>
      <c r="J71" s="37">
        <f t="shared" si="2"/>
        <v>20</v>
      </c>
      <c r="K71" s="37">
        <f t="shared" si="2"/>
        <v>20</v>
      </c>
      <c r="L71" s="55"/>
      <c r="M71" s="55"/>
      <c r="N71" s="55"/>
      <c r="O71" s="55"/>
      <c r="P71" s="55"/>
      <c r="Q71" s="56"/>
      <c r="R71" s="56"/>
    </row>
    <row r="72" ht="14.25" customHeight="1">
      <c r="A72" s="51"/>
      <c r="B72" s="55"/>
      <c r="C72" s="55"/>
      <c r="D72" s="48"/>
      <c r="E72" s="48"/>
      <c r="F72" s="48"/>
      <c r="G72" s="48"/>
      <c r="H72" s="48"/>
      <c r="I72" s="48"/>
      <c r="J72" s="48"/>
      <c r="K72" s="48"/>
      <c r="L72" s="55"/>
      <c r="M72" s="55"/>
      <c r="N72" s="55"/>
      <c r="O72" s="55"/>
      <c r="P72" s="55"/>
      <c r="Q72" s="56"/>
      <c r="R72" s="56"/>
    </row>
    <row r="73">
      <c r="A73" s="12"/>
      <c r="B73" s="57" t="s">
        <v>120</v>
      </c>
      <c r="C73" s="58"/>
      <c r="D73" s="59" t="s">
        <v>121</v>
      </c>
      <c r="E73" s="60">
        <f t="shared" ref="E73:K73" si="3">SUM(E68,E56,E53,E50,E47,E44,E41,E38,E35,E32,E29,E26,E23,E20,E17,E14,E11,E8,E5,E59,E65,E62)</f>
        <v>51300</v>
      </c>
      <c r="F73" s="60">
        <f t="shared" si="3"/>
        <v>21885</v>
      </c>
      <c r="G73" s="60">
        <f t="shared" si="3"/>
        <v>28203</v>
      </c>
      <c r="H73" s="60">
        <f t="shared" si="3"/>
        <v>11900</v>
      </c>
      <c r="I73" s="60">
        <f t="shared" si="3"/>
        <v>42149</v>
      </c>
      <c r="J73" s="60">
        <f t="shared" si="3"/>
        <v>5975</v>
      </c>
      <c r="K73" s="60">
        <f t="shared" si="3"/>
        <v>11999</v>
      </c>
      <c r="L73" s="61" t="s">
        <v>122</v>
      </c>
      <c r="M73" s="62">
        <f>SUM(E73:L73)</f>
        <v>173411</v>
      </c>
      <c r="N73" s="63"/>
      <c r="O73" s="64" t="s">
        <v>123</v>
      </c>
      <c r="P73" s="65">
        <f>COUNTIF(E5:K70, "No loads")</f>
        <v>0</v>
      </c>
      <c r="Q73" s="66"/>
      <c r="R73" s="66"/>
    </row>
    <row r="74">
      <c r="A74" s="12"/>
      <c r="B74" s="67">
        <f>D71</f>
        <v>22</v>
      </c>
      <c r="C74" s="68"/>
      <c r="D74" s="69" t="s">
        <v>124</v>
      </c>
      <c r="E74" s="70">
        <f t="shared" ref="E74:K74" si="4">E71</f>
        <v>22</v>
      </c>
      <c r="F74" s="70">
        <f t="shared" si="4"/>
        <v>21</v>
      </c>
      <c r="G74" s="70">
        <f t="shared" si="4"/>
        <v>19</v>
      </c>
      <c r="H74" s="70">
        <f t="shared" si="4"/>
        <v>19</v>
      </c>
      <c r="I74" s="70">
        <f t="shared" si="4"/>
        <v>20</v>
      </c>
      <c r="J74" s="70">
        <f t="shared" si="4"/>
        <v>20</v>
      </c>
      <c r="K74" s="70">
        <f t="shared" si="4"/>
        <v>20</v>
      </c>
      <c r="L74" s="71" t="s">
        <v>125</v>
      </c>
      <c r="M74" s="72">
        <f t="shared" ref="M74:M75" si="6">AVERAGE(E74:L74)</f>
        <v>20.14285714</v>
      </c>
      <c r="N74" s="63"/>
      <c r="O74" s="73" t="s">
        <v>27</v>
      </c>
      <c r="P74" s="74">
        <f>COUNTIF(E5:K70, "Home")</f>
        <v>10</v>
      </c>
      <c r="Q74" s="66"/>
      <c r="R74" s="66"/>
    </row>
    <row r="75">
      <c r="A75" s="12"/>
      <c r="B75" s="75"/>
      <c r="C75" s="75"/>
      <c r="D75" s="69" t="s">
        <v>124</v>
      </c>
      <c r="E75" s="76">
        <f t="shared" ref="E75:J75" si="5">$D$71-(COUNTIF(E5:E70, "TRUCK ISSUE") + COUNTIF(E5:E70, "NEW DRIVER") + COUNTIF(E5:E70, "LEFT") + COUNTIF(E5:E70, "YARD")+ COUNTIF(E5:E70, "HOME"))</f>
        <v>21</v>
      </c>
      <c r="F75" s="76">
        <f t="shared" si="5"/>
        <v>21</v>
      </c>
      <c r="G75" s="76">
        <f t="shared" si="5"/>
        <v>19</v>
      </c>
      <c r="H75" s="76">
        <f t="shared" si="5"/>
        <v>18</v>
      </c>
      <c r="I75" s="76">
        <f t="shared" si="5"/>
        <v>18</v>
      </c>
      <c r="J75" s="76">
        <f t="shared" si="5"/>
        <v>17</v>
      </c>
      <c r="K75" s="76">
        <f>$D$71-(COUNTIF(K5:K70, "TRUCK ISSUE") + COUNTIF(K5:K70, "NEW DRIVER") + COUNTIF(K5:K70, "LEFT") + COUNTIF(K5:K70, "YARD")+ COUNTIF(K5:K70, "HOME")+COUNTIF(K5:K70, "REST"))</f>
        <v>17</v>
      </c>
      <c r="L75" s="71" t="s">
        <v>126</v>
      </c>
      <c r="M75" s="72">
        <f t="shared" si="6"/>
        <v>18.71428571</v>
      </c>
      <c r="N75" s="66"/>
      <c r="O75" s="77" t="s">
        <v>62</v>
      </c>
      <c r="P75" s="74">
        <f>COUNTIF(E6:K71, "Rest")</f>
        <v>5</v>
      </c>
      <c r="Q75" s="66"/>
      <c r="R75" s="66"/>
    </row>
    <row r="76" ht="24.75" customHeight="1">
      <c r="A76" s="12"/>
      <c r="B76" s="75"/>
      <c r="C76" s="75"/>
      <c r="D76" s="78" t="s">
        <v>127</v>
      </c>
      <c r="E76" s="79">
        <f t="shared" ref="E76:K76" si="7">SUM(E69,E57,E54,E51,E48,E45,E42,E39,E36,E33,E30,E27,E24,E21,E18,E15,E12,E9,E6,E60)</f>
        <v>17800.6</v>
      </c>
      <c r="F76" s="79">
        <f t="shared" si="7"/>
        <v>6721</v>
      </c>
      <c r="G76" s="79">
        <f t="shared" si="7"/>
        <v>9110</v>
      </c>
      <c r="H76" s="79">
        <f t="shared" si="7"/>
        <v>4654</v>
      </c>
      <c r="I76" s="79">
        <f t="shared" si="7"/>
        <v>16589</v>
      </c>
      <c r="J76" s="79">
        <f t="shared" si="7"/>
        <v>2661</v>
      </c>
      <c r="K76" s="79">
        <f t="shared" si="7"/>
        <v>5010</v>
      </c>
      <c r="L76" s="80" t="s">
        <v>128</v>
      </c>
      <c r="M76" s="81">
        <f>SUM(E76:K76)</f>
        <v>62545.6</v>
      </c>
      <c r="N76" s="66"/>
      <c r="O76" s="82" t="s">
        <v>88</v>
      </c>
      <c r="P76" s="74">
        <f>COUNTIF(E5:K70, "TRUCK ISSUE")</f>
        <v>8</v>
      </c>
      <c r="Q76" s="75"/>
      <c r="R76" s="75"/>
    </row>
    <row r="77">
      <c r="A77" s="12"/>
      <c r="B77" s="75"/>
      <c r="C77" s="75"/>
      <c r="D77" s="78" t="s">
        <v>129</v>
      </c>
      <c r="E77" s="83">
        <f t="shared" ref="E77:K77" si="8">E73/E76</f>
        <v>2.881925328</v>
      </c>
      <c r="F77" s="83">
        <f t="shared" si="8"/>
        <v>3.256211873</v>
      </c>
      <c r="G77" s="83">
        <f t="shared" si="8"/>
        <v>3.09582876</v>
      </c>
      <c r="H77" s="83">
        <f t="shared" si="8"/>
        <v>2.556940266</v>
      </c>
      <c r="I77" s="83">
        <f t="shared" si="8"/>
        <v>2.540780035</v>
      </c>
      <c r="J77" s="83">
        <f t="shared" si="8"/>
        <v>2.245396467</v>
      </c>
      <c r="K77" s="83">
        <f t="shared" si="8"/>
        <v>2.39500998</v>
      </c>
      <c r="L77" s="80" t="s">
        <v>130</v>
      </c>
      <c r="M77" s="84">
        <f>M73/M76</f>
        <v>2.772553145</v>
      </c>
      <c r="N77" s="63"/>
      <c r="O77" s="82" t="s">
        <v>71</v>
      </c>
      <c r="P77" s="74">
        <f>COUNTIF(E5:K70, "YARD")</f>
        <v>5</v>
      </c>
      <c r="Q77" s="66"/>
      <c r="R77" s="66"/>
    </row>
    <row r="78">
      <c r="A78" s="12"/>
      <c r="B78" s="75"/>
      <c r="C78" s="75"/>
      <c r="D78" s="85" t="s">
        <v>131</v>
      </c>
      <c r="E78" s="86">
        <f t="shared" ref="E78:K78" si="9">E73/E74</f>
        <v>2331.818182</v>
      </c>
      <c r="F78" s="86">
        <f t="shared" si="9"/>
        <v>1042.142857</v>
      </c>
      <c r="G78" s="86">
        <f t="shared" si="9"/>
        <v>1484.368421</v>
      </c>
      <c r="H78" s="86">
        <f t="shared" si="9"/>
        <v>626.3157895</v>
      </c>
      <c r="I78" s="86">
        <f t="shared" si="9"/>
        <v>2107.45</v>
      </c>
      <c r="J78" s="86">
        <f t="shared" si="9"/>
        <v>298.75</v>
      </c>
      <c r="K78" s="86">
        <f t="shared" si="9"/>
        <v>599.95</v>
      </c>
      <c r="L78" s="80" t="s">
        <v>132</v>
      </c>
      <c r="M78" s="84">
        <f>M73/M74</f>
        <v>8609.056738</v>
      </c>
      <c r="N78" s="63"/>
      <c r="O78" s="87" t="s">
        <v>133</v>
      </c>
      <c r="P78" s="88">
        <f>COUNTIF(E5:K70, "MISSED APPOINMENT TIME")+COUNTIF(E5:K70, "CANCELLED")</f>
        <v>0</v>
      </c>
      <c r="Q78" s="48"/>
      <c r="R78" s="48"/>
    </row>
    <row r="79">
      <c r="A79" s="12"/>
      <c r="B79" s="66"/>
      <c r="C79" s="66"/>
      <c r="D79" s="66"/>
      <c r="E79" s="66"/>
      <c r="F79" s="66"/>
      <c r="G79" s="66"/>
      <c r="H79" s="66"/>
      <c r="I79" s="66"/>
      <c r="J79" s="66"/>
      <c r="K79" s="89"/>
      <c r="L79" s="90" t="s">
        <v>134</v>
      </c>
      <c r="M79" s="91">
        <f>M73/M75</f>
        <v>9266.236641</v>
      </c>
      <c r="N79" s="92"/>
      <c r="O79" s="92"/>
      <c r="P79" s="92"/>
      <c r="Q79" s="48"/>
      <c r="R79" s="48"/>
    </row>
    <row r="80">
      <c r="A80" s="93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3"/>
      <c r="P80" s="92"/>
      <c r="Q80" s="22"/>
      <c r="R80" s="22"/>
    </row>
    <row r="81">
      <c r="A81" s="93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19"/>
      <c r="P81" s="22"/>
      <c r="Q81" s="22"/>
      <c r="R81" s="22"/>
    </row>
    <row r="82">
      <c r="A82" s="93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19"/>
      <c r="P82" s="22"/>
      <c r="Q82" s="22"/>
      <c r="R82" s="22"/>
    </row>
    <row r="83" hidden="1">
      <c r="A83" s="93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19"/>
      <c r="P83" s="22"/>
      <c r="Q83" s="22"/>
      <c r="R83" s="22"/>
    </row>
    <row r="84" hidden="1">
      <c r="A84" s="93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19"/>
      <c r="P84" s="22"/>
      <c r="Q84" s="22"/>
      <c r="R84" s="22"/>
    </row>
    <row r="85" hidden="1">
      <c r="A85" s="93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19"/>
      <c r="P85" s="22"/>
      <c r="Q85" s="22"/>
      <c r="R85" s="22"/>
    </row>
    <row r="86" hidden="1">
      <c r="A86" s="93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19"/>
      <c r="P86" s="22"/>
      <c r="Q86" s="22"/>
      <c r="R86" s="22"/>
    </row>
    <row r="87" hidden="1">
      <c r="A87" s="93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19"/>
      <c r="P87" s="22"/>
      <c r="Q87" s="22"/>
      <c r="R87" s="22"/>
    </row>
    <row r="88" hidden="1">
      <c r="A88" s="93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19"/>
      <c r="P88" s="22"/>
      <c r="Q88" s="22"/>
      <c r="R88" s="22"/>
    </row>
    <row r="89" hidden="1">
      <c r="A89" s="93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19"/>
      <c r="P89" s="22"/>
      <c r="Q89" s="22"/>
      <c r="R89" s="22"/>
    </row>
    <row r="90" hidden="1">
      <c r="A90" s="93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19"/>
      <c r="P90" s="22"/>
      <c r="Q90" s="22"/>
      <c r="R90" s="22"/>
    </row>
    <row r="91" hidden="1">
      <c r="A91" s="93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19"/>
      <c r="P91" s="22"/>
      <c r="Q91" s="22"/>
      <c r="R91" s="22"/>
    </row>
    <row r="92" hidden="1">
      <c r="A92" s="93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19"/>
      <c r="P92" s="22"/>
      <c r="Q92" s="22"/>
      <c r="R92" s="22"/>
    </row>
    <row r="93" hidden="1">
      <c r="A93" s="93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19"/>
      <c r="P93" s="22"/>
      <c r="Q93" s="22"/>
      <c r="R93" s="22"/>
    </row>
    <row r="94" hidden="1">
      <c r="A94" s="93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19"/>
      <c r="P94" s="22"/>
      <c r="Q94" s="22"/>
      <c r="R94" s="22"/>
    </row>
    <row r="95" hidden="1">
      <c r="A95" s="93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19"/>
      <c r="P95" s="22"/>
      <c r="Q95" s="22"/>
      <c r="R95" s="22"/>
    </row>
    <row r="96" hidden="1">
      <c r="A96" s="93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19"/>
      <c r="P96" s="22"/>
      <c r="Q96" s="22"/>
      <c r="R96" s="22"/>
    </row>
    <row r="97" hidden="1">
      <c r="A97" s="93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19"/>
      <c r="P97" s="22"/>
      <c r="Q97" s="22"/>
      <c r="R97" s="22"/>
    </row>
    <row r="98" hidden="1">
      <c r="A98" s="93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19"/>
      <c r="P98" s="22"/>
      <c r="Q98" s="22"/>
      <c r="R98" s="22"/>
    </row>
    <row r="99" hidden="1">
      <c r="A99" s="93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19"/>
      <c r="P99" s="22"/>
      <c r="Q99" s="22"/>
      <c r="R99" s="22"/>
    </row>
    <row r="100" hidden="1">
      <c r="A100" s="93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19"/>
      <c r="P100" s="22"/>
      <c r="Q100" s="22"/>
      <c r="R100" s="22"/>
    </row>
    <row r="101" hidden="1">
      <c r="A101" s="93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19"/>
      <c r="P101" s="22"/>
      <c r="Q101" s="22"/>
      <c r="R101" s="22"/>
    </row>
    <row r="102" hidden="1">
      <c r="A102" s="93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19"/>
      <c r="P102" s="22"/>
      <c r="Q102" s="22"/>
      <c r="R102" s="22"/>
    </row>
    <row r="103" hidden="1">
      <c r="A103" s="93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19"/>
      <c r="P103" s="22"/>
      <c r="Q103" s="22"/>
      <c r="R103" s="22"/>
    </row>
    <row r="104" hidden="1">
      <c r="A104" s="93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19"/>
      <c r="P104" s="22"/>
      <c r="Q104" s="22"/>
      <c r="R104" s="22"/>
    </row>
    <row r="105" hidden="1">
      <c r="A105" s="93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19"/>
      <c r="P105" s="22"/>
      <c r="Q105" s="22"/>
      <c r="R105" s="22"/>
    </row>
    <row r="106" hidden="1">
      <c r="A106" s="93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19"/>
      <c r="P106" s="22"/>
      <c r="Q106" s="22"/>
      <c r="R106" s="22"/>
    </row>
    <row r="107" hidden="1">
      <c r="A107" s="93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19"/>
      <c r="P107" s="22"/>
      <c r="Q107" s="22"/>
      <c r="R107" s="22"/>
    </row>
    <row r="108" hidden="1">
      <c r="A108" s="93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19"/>
      <c r="P108" s="22"/>
      <c r="Q108" s="22"/>
      <c r="R108" s="22"/>
    </row>
    <row r="109" hidden="1">
      <c r="A109" s="93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19"/>
      <c r="P109" s="22"/>
      <c r="Q109" s="22"/>
      <c r="R109" s="22"/>
    </row>
    <row r="110" hidden="1">
      <c r="A110" s="93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19"/>
      <c r="P110" s="22"/>
      <c r="Q110" s="22"/>
      <c r="R110" s="22"/>
    </row>
    <row r="111" hidden="1">
      <c r="A111" s="93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19"/>
      <c r="P111" s="22"/>
      <c r="Q111" s="22"/>
      <c r="R111" s="22"/>
    </row>
    <row r="112" hidden="1">
      <c r="A112" s="93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19"/>
      <c r="P112" s="22"/>
      <c r="Q112" s="22"/>
      <c r="R112" s="22"/>
    </row>
    <row r="113" hidden="1">
      <c r="A113" s="93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19"/>
      <c r="P113" s="22"/>
      <c r="Q113" s="22"/>
      <c r="R113" s="22"/>
    </row>
    <row r="114" hidden="1">
      <c r="A114" s="93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19"/>
      <c r="P114" s="22"/>
      <c r="Q114" s="22"/>
      <c r="R114" s="22"/>
    </row>
    <row r="115" hidden="1">
      <c r="A115" s="93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19"/>
      <c r="P115" s="22"/>
      <c r="Q115" s="22"/>
      <c r="R115" s="22"/>
    </row>
    <row r="116" hidden="1">
      <c r="A116" s="93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19"/>
      <c r="P116" s="22"/>
      <c r="Q116" s="22"/>
      <c r="R116" s="22"/>
    </row>
    <row r="117" hidden="1">
      <c r="A117" s="93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19"/>
      <c r="P117" s="22"/>
      <c r="Q117" s="22"/>
      <c r="R117" s="22"/>
    </row>
    <row r="118" hidden="1">
      <c r="A118" s="93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19"/>
      <c r="P118" s="22"/>
      <c r="Q118" s="22"/>
      <c r="R118" s="22"/>
    </row>
    <row r="119" hidden="1">
      <c r="A119" s="93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19"/>
      <c r="P119" s="22"/>
      <c r="Q119" s="22"/>
      <c r="R119" s="22"/>
    </row>
    <row r="120" hidden="1">
      <c r="A120" s="93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19"/>
      <c r="P120" s="22"/>
      <c r="Q120" s="22"/>
      <c r="R120" s="22"/>
    </row>
    <row r="121" hidden="1">
      <c r="A121" s="93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19"/>
      <c r="P121" s="22"/>
      <c r="Q121" s="22"/>
      <c r="R121" s="22"/>
    </row>
    <row r="122" hidden="1">
      <c r="A122" s="93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19"/>
      <c r="P122" s="22"/>
      <c r="Q122" s="22"/>
      <c r="R122" s="22"/>
    </row>
    <row r="123" hidden="1">
      <c r="A123" s="93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19"/>
      <c r="P123" s="22"/>
      <c r="Q123" s="22"/>
      <c r="R123" s="22"/>
    </row>
    <row r="124" hidden="1">
      <c r="A124" s="93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19"/>
      <c r="P124" s="22"/>
      <c r="Q124" s="22"/>
      <c r="R124" s="22"/>
    </row>
    <row r="125" hidden="1">
      <c r="A125" s="93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19"/>
      <c r="P125" s="22"/>
      <c r="Q125" s="22"/>
      <c r="R125" s="22"/>
    </row>
    <row r="126" hidden="1">
      <c r="A126" s="93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19"/>
      <c r="P126" s="22"/>
      <c r="Q126" s="22"/>
      <c r="R126" s="22"/>
    </row>
    <row r="127" hidden="1">
      <c r="A127" s="93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19"/>
      <c r="P127" s="22"/>
      <c r="Q127" s="22"/>
      <c r="R127" s="22"/>
    </row>
    <row r="128" hidden="1">
      <c r="A128" s="93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19"/>
      <c r="P128" s="22"/>
      <c r="Q128" s="22"/>
      <c r="R128" s="22"/>
    </row>
    <row r="129" hidden="1">
      <c r="A129" s="93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19"/>
      <c r="P129" s="22"/>
      <c r="Q129" s="22"/>
      <c r="R129" s="22"/>
    </row>
    <row r="130" hidden="1">
      <c r="A130" s="93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19"/>
      <c r="P130" s="22"/>
      <c r="Q130" s="22"/>
      <c r="R130" s="22"/>
    </row>
    <row r="131" hidden="1">
      <c r="A131" s="93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19"/>
      <c r="P131" s="22"/>
      <c r="Q131" s="22"/>
      <c r="R131" s="22"/>
    </row>
    <row r="132" hidden="1">
      <c r="A132" s="93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19"/>
      <c r="P132" s="22"/>
      <c r="Q132" s="22"/>
      <c r="R132" s="22"/>
    </row>
    <row r="133" hidden="1">
      <c r="A133" s="93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19"/>
      <c r="P133" s="22"/>
      <c r="Q133" s="22"/>
      <c r="R133" s="22"/>
    </row>
    <row r="134" hidden="1">
      <c r="A134" s="93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19"/>
      <c r="P134" s="22"/>
      <c r="Q134" s="22"/>
      <c r="R134" s="22"/>
    </row>
    <row r="135" hidden="1">
      <c r="A135" s="93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19"/>
      <c r="P135" s="22"/>
      <c r="Q135" s="22"/>
      <c r="R135" s="22"/>
    </row>
    <row r="136" hidden="1">
      <c r="A136" s="93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19"/>
      <c r="P136" s="22"/>
      <c r="Q136" s="22"/>
      <c r="R136" s="22"/>
    </row>
    <row r="137" hidden="1">
      <c r="A137" s="93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19"/>
      <c r="P137" s="22"/>
      <c r="Q137" s="22"/>
      <c r="R137" s="22"/>
    </row>
    <row r="138" hidden="1">
      <c r="A138" s="93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19"/>
      <c r="P138" s="22"/>
      <c r="Q138" s="22"/>
      <c r="R138" s="22"/>
    </row>
    <row r="139" hidden="1">
      <c r="A139" s="93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19"/>
      <c r="P139" s="22"/>
      <c r="Q139" s="22"/>
      <c r="R139" s="22"/>
    </row>
    <row r="140" hidden="1">
      <c r="A140" s="93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19"/>
      <c r="P140" s="22"/>
      <c r="Q140" s="22"/>
      <c r="R140" s="22"/>
    </row>
    <row r="141" hidden="1">
      <c r="A141" s="93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19"/>
      <c r="P141" s="22"/>
      <c r="Q141" s="22"/>
      <c r="R141" s="22"/>
    </row>
    <row r="142" hidden="1">
      <c r="A142" s="93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19"/>
      <c r="P142" s="22"/>
      <c r="Q142" s="22"/>
      <c r="R142" s="22"/>
    </row>
    <row r="143" hidden="1">
      <c r="A143" s="93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19"/>
      <c r="P143" s="22"/>
      <c r="Q143" s="22"/>
      <c r="R143" s="22"/>
    </row>
    <row r="144" hidden="1">
      <c r="A144" s="93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19"/>
      <c r="P144" s="22"/>
      <c r="Q144" s="22"/>
      <c r="R144" s="22"/>
    </row>
    <row r="145" hidden="1">
      <c r="A145" s="93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19"/>
      <c r="P145" s="22"/>
      <c r="Q145" s="22"/>
      <c r="R145" s="22"/>
    </row>
    <row r="146" hidden="1">
      <c r="A146" s="93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19"/>
      <c r="P146" s="22"/>
      <c r="Q146" s="22"/>
      <c r="R146" s="22"/>
    </row>
    <row r="147" hidden="1">
      <c r="A147" s="93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19"/>
      <c r="P147" s="22"/>
      <c r="Q147" s="22"/>
      <c r="R147" s="22"/>
    </row>
    <row r="148" hidden="1">
      <c r="A148" s="93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19"/>
      <c r="P148" s="22"/>
      <c r="Q148" s="22"/>
      <c r="R148" s="22"/>
    </row>
    <row r="149" hidden="1">
      <c r="A149" s="93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19"/>
      <c r="P149" s="22"/>
      <c r="Q149" s="22"/>
      <c r="R149" s="22"/>
    </row>
    <row r="150" hidden="1">
      <c r="A150" s="93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19"/>
      <c r="P150" s="22"/>
      <c r="Q150" s="22"/>
      <c r="R150" s="22"/>
    </row>
    <row r="151" hidden="1">
      <c r="A151" s="93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19"/>
      <c r="P151" s="22"/>
      <c r="Q151" s="22"/>
      <c r="R151" s="22"/>
    </row>
    <row r="152" hidden="1">
      <c r="A152" s="93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19"/>
      <c r="P152" s="22"/>
      <c r="Q152" s="22"/>
      <c r="R152" s="22"/>
    </row>
    <row r="153" hidden="1">
      <c r="A153" s="93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19"/>
      <c r="P153" s="22"/>
      <c r="Q153" s="22"/>
      <c r="R153" s="22"/>
    </row>
    <row r="154" hidden="1">
      <c r="A154" s="93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19"/>
      <c r="P154" s="22"/>
      <c r="Q154" s="22"/>
      <c r="R154" s="22"/>
    </row>
    <row r="155" hidden="1">
      <c r="A155" s="93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19"/>
      <c r="P155" s="22"/>
      <c r="Q155" s="22"/>
      <c r="R155" s="22"/>
    </row>
    <row r="156" hidden="1">
      <c r="A156" s="93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19"/>
      <c r="P156" s="22"/>
      <c r="Q156" s="22"/>
      <c r="R156" s="22"/>
    </row>
    <row r="157" hidden="1">
      <c r="A157" s="93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19"/>
      <c r="P157" s="22"/>
      <c r="Q157" s="22"/>
      <c r="R157" s="22"/>
    </row>
    <row r="158" hidden="1">
      <c r="A158" s="93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19"/>
      <c r="P158" s="22"/>
      <c r="Q158" s="22"/>
      <c r="R158" s="22"/>
    </row>
    <row r="159" hidden="1">
      <c r="A159" s="93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19"/>
      <c r="P159" s="22"/>
      <c r="Q159" s="22"/>
      <c r="R159" s="22"/>
    </row>
    <row r="160" hidden="1">
      <c r="A160" s="93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19"/>
      <c r="P160" s="22"/>
      <c r="Q160" s="22"/>
      <c r="R160" s="22"/>
    </row>
    <row r="161" hidden="1">
      <c r="A161" s="93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19"/>
      <c r="P161" s="22"/>
      <c r="Q161" s="22"/>
      <c r="R161" s="22"/>
    </row>
    <row r="162" hidden="1">
      <c r="A162" s="93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19"/>
      <c r="P162" s="22"/>
      <c r="Q162" s="22"/>
      <c r="R162" s="22"/>
    </row>
    <row r="163" hidden="1">
      <c r="A163" s="93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19"/>
      <c r="P163" s="22"/>
      <c r="Q163" s="22"/>
      <c r="R163" s="22"/>
    </row>
    <row r="164" hidden="1">
      <c r="A164" s="93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19"/>
      <c r="P164" s="22"/>
      <c r="Q164" s="22"/>
      <c r="R164" s="22"/>
    </row>
    <row r="165" hidden="1">
      <c r="A165" s="93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19"/>
      <c r="P165" s="22"/>
      <c r="Q165" s="22"/>
      <c r="R165" s="22"/>
    </row>
    <row r="166" hidden="1">
      <c r="A166" s="93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19"/>
      <c r="P166" s="22"/>
      <c r="Q166" s="22"/>
      <c r="R166" s="22"/>
    </row>
    <row r="167" hidden="1">
      <c r="A167" s="93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19"/>
      <c r="P167" s="22"/>
      <c r="Q167" s="22"/>
      <c r="R167" s="22"/>
    </row>
    <row r="168" hidden="1">
      <c r="A168" s="93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19"/>
      <c r="P168" s="22"/>
      <c r="Q168" s="22"/>
      <c r="R168" s="22"/>
    </row>
    <row r="169" hidden="1">
      <c r="A169" s="93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19"/>
      <c r="P169" s="22"/>
      <c r="Q169" s="22"/>
      <c r="R169" s="22"/>
    </row>
    <row r="170" hidden="1">
      <c r="A170" s="93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19"/>
      <c r="P170" s="22"/>
      <c r="Q170" s="22"/>
      <c r="R170" s="22"/>
    </row>
    <row r="171" hidden="1">
      <c r="A171" s="93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19"/>
      <c r="P171" s="22"/>
      <c r="Q171" s="22"/>
      <c r="R171" s="22"/>
    </row>
    <row r="172" hidden="1">
      <c r="A172" s="93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19"/>
      <c r="P172" s="22"/>
      <c r="Q172" s="22"/>
      <c r="R172" s="22"/>
    </row>
    <row r="173" hidden="1">
      <c r="A173" s="93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19"/>
      <c r="P173" s="22"/>
      <c r="Q173" s="22"/>
      <c r="R173" s="22"/>
    </row>
    <row r="174" hidden="1">
      <c r="A174" s="93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19"/>
      <c r="P174" s="22"/>
      <c r="Q174" s="22"/>
      <c r="R174" s="22"/>
    </row>
    <row r="175" hidden="1">
      <c r="A175" s="93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19"/>
      <c r="P175" s="22"/>
      <c r="Q175" s="22"/>
      <c r="R175" s="22"/>
    </row>
    <row r="176" hidden="1">
      <c r="A176" s="93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19"/>
      <c r="P176" s="22"/>
      <c r="Q176" s="22"/>
      <c r="R176" s="22"/>
    </row>
    <row r="177" hidden="1">
      <c r="A177" s="93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19"/>
      <c r="P177" s="22"/>
      <c r="Q177" s="22"/>
      <c r="R177" s="22"/>
    </row>
    <row r="178" hidden="1">
      <c r="A178" s="93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19"/>
      <c r="P178" s="22"/>
      <c r="Q178" s="22"/>
      <c r="R178" s="22"/>
    </row>
    <row r="179" hidden="1">
      <c r="A179" s="93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19"/>
      <c r="P179" s="22"/>
      <c r="Q179" s="22"/>
      <c r="R179" s="22"/>
    </row>
    <row r="180" hidden="1">
      <c r="A180" s="93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19"/>
      <c r="P180" s="22"/>
      <c r="Q180" s="22"/>
      <c r="R180" s="22"/>
    </row>
    <row r="181" hidden="1">
      <c r="A181" s="93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19"/>
      <c r="P181" s="22"/>
      <c r="Q181" s="22"/>
      <c r="R181" s="22"/>
    </row>
    <row r="182" hidden="1">
      <c r="A182" s="93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19"/>
      <c r="P182" s="22"/>
      <c r="Q182" s="22"/>
      <c r="R182" s="22"/>
    </row>
    <row r="183" hidden="1">
      <c r="A183" s="93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19"/>
      <c r="P183" s="22"/>
      <c r="Q183" s="22"/>
      <c r="R183" s="22"/>
    </row>
    <row r="184" hidden="1">
      <c r="A184" s="93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19"/>
      <c r="P184" s="22"/>
      <c r="Q184" s="22"/>
      <c r="R184" s="22"/>
    </row>
    <row r="185" hidden="1">
      <c r="A185" s="93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19"/>
      <c r="P185" s="22"/>
      <c r="Q185" s="22"/>
      <c r="R185" s="22"/>
    </row>
    <row r="186" hidden="1">
      <c r="A186" s="93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19"/>
      <c r="P186" s="22"/>
      <c r="Q186" s="22"/>
      <c r="R186" s="22"/>
    </row>
    <row r="187" hidden="1">
      <c r="A187" s="93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19"/>
      <c r="P187" s="22"/>
      <c r="Q187" s="22"/>
      <c r="R187" s="22"/>
    </row>
    <row r="188" hidden="1">
      <c r="A188" s="93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19"/>
      <c r="P188" s="22"/>
      <c r="Q188" s="22"/>
      <c r="R188" s="22"/>
    </row>
    <row r="189" hidden="1">
      <c r="A189" s="93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19"/>
      <c r="P189" s="22"/>
      <c r="Q189" s="22"/>
      <c r="R189" s="22"/>
    </row>
    <row r="190" hidden="1">
      <c r="A190" s="93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19"/>
      <c r="P190" s="22"/>
      <c r="Q190" s="22"/>
      <c r="R190" s="22"/>
    </row>
    <row r="191" hidden="1">
      <c r="A191" s="93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19"/>
      <c r="P191" s="22"/>
      <c r="Q191" s="22"/>
      <c r="R191" s="22"/>
    </row>
    <row r="192" hidden="1">
      <c r="A192" s="93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19"/>
      <c r="P192" s="22"/>
      <c r="Q192" s="22"/>
      <c r="R192" s="22"/>
    </row>
    <row r="193" hidden="1">
      <c r="A193" s="93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19"/>
      <c r="P193" s="22"/>
      <c r="Q193" s="22"/>
      <c r="R193" s="22"/>
    </row>
    <row r="194" hidden="1">
      <c r="A194" s="93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19"/>
      <c r="P194" s="22"/>
      <c r="Q194" s="22"/>
      <c r="R194" s="22"/>
    </row>
    <row r="195" hidden="1">
      <c r="A195" s="93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19"/>
      <c r="P195" s="22"/>
      <c r="Q195" s="22"/>
      <c r="R195" s="22"/>
    </row>
    <row r="196" hidden="1">
      <c r="A196" s="93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19"/>
      <c r="P196" s="22"/>
      <c r="Q196" s="22"/>
      <c r="R196" s="22"/>
    </row>
    <row r="197" hidden="1">
      <c r="A197" s="93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19"/>
      <c r="P197" s="22"/>
      <c r="Q197" s="22"/>
      <c r="R197" s="22"/>
    </row>
    <row r="198" hidden="1">
      <c r="A198" s="93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19"/>
      <c r="P198" s="22"/>
      <c r="Q198" s="22"/>
      <c r="R198" s="22"/>
    </row>
    <row r="199" hidden="1">
      <c r="A199" s="93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19"/>
      <c r="P199" s="22"/>
      <c r="Q199" s="22"/>
      <c r="R199" s="22"/>
    </row>
    <row r="200" hidden="1">
      <c r="A200" s="93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19"/>
      <c r="P200" s="22"/>
      <c r="Q200" s="22"/>
      <c r="R200" s="22"/>
    </row>
    <row r="201" hidden="1">
      <c r="A201" s="93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19"/>
      <c r="P201" s="22"/>
      <c r="Q201" s="22"/>
      <c r="R201" s="22"/>
    </row>
    <row r="202" hidden="1">
      <c r="A202" s="93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19"/>
      <c r="P202" s="22"/>
      <c r="Q202" s="22"/>
      <c r="R202" s="22"/>
    </row>
    <row r="203" hidden="1">
      <c r="A203" s="93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19"/>
      <c r="P203" s="22"/>
      <c r="Q203" s="22"/>
      <c r="R203" s="22"/>
    </row>
    <row r="204" hidden="1">
      <c r="A204" s="93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19"/>
      <c r="P204" s="22"/>
      <c r="Q204" s="22"/>
      <c r="R204" s="22"/>
    </row>
    <row r="205" hidden="1">
      <c r="A205" s="93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19"/>
      <c r="P205" s="22"/>
      <c r="Q205" s="22"/>
      <c r="R205" s="22"/>
    </row>
    <row r="206" hidden="1">
      <c r="A206" s="93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19"/>
      <c r="P206" s="22"/>
      <c r="Q206" s="22"/>
      <c r="R206" s="22"/>
    </row>
    <row r="207" hidden="1">
      <c r="A207" s="93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19"/>
      <c r="P207" s="22"/>
      <c r="Q207" s="22"/>
      <c r="R207" s="22"/>
    </row>
    <row r="208" hidden="1">
      <c r="A208" s="93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19"/>
      <c r="P208" s="22"/>
      <c r="Q208" s="22"/>
      <c r="R208" s="22"/>
    </row>
    <row r="209" hidden="1">
      <c r="A209" s="93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19"/>
      <c r="P209" s="22"/>
      <c r="Q209" s="22"/>
      <c r="R209" s="22"/>
    </row>
    <row r="210" hidden="1">
      <c r="A210" s="93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19"/>
      <c r="P210" s="22"/>
      <c r="Q210" s="22"/>
      <c r="R210" s="22"/>
    </row>
    <row r="211" hidden="1">
      <c r="A211" s="93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19"/>
      <c r="P211" s="22"/>
      <c r="Q211" s="22"/>
      <c r="R211" s="22"/>
    </row>
    <row r="212" hidden="1">
      <c r="A212" s="93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19"/>
      <c r="P212" s="22"/>
      <c r="Q212" s="22"/>
      <c r="R212" s="22"/>
    </row>
    <row r="213" hidden="1">
      <c r="A213" s="93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19"/>
      <c r="P213" s="22"/>
      <c r="Q213" s="22"/>
      <c r="R213" s="22"/>
    </row>
    <row r="214" hidden="1">
      <c r="A214" s="93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19"/>
      <c r="P214" s="22"/>
      <c r="Q214" s="22"/>
      <c r="R214" s="22"/>
    </row>
    <row r="215" hidden="1">
      <c r="A215" s="93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19"/>
      <c r="P215" s="22"/>
      <c r="Q215" s="22"/>
      <c r="R215" s="22"/>
    </row>
    <row r="216" hidden="1">
      <c r="A216" s="93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19"/>
      <c r="P216" s="22"/>
      <c r="Q216" s="22"/>
      <c r="R216" s="22"/>
    </row>
    <row r="217" hidden="1">
      <c r="A217" s="93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19"/>
      <c r="P217" s="22"/>
      <c r="Q217" s="22"/>
      <c r="R217" s="22"/>
    </row>
    <row r="218" hidden="1">
      <c r="A218" s="93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19"/>
      <c r="P218" s="22"/>
      <c r="Q218" s="22"/>
      <c r="R218" s="22"/>
    </row>
    <row r="219" hidden="1">
      <c r="A219" s="93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19"/>
      <c r="P219" s="22"/>
      <c r="Q219" s="22"/>
      <c r="R219" s="22"/>
    </row>
    <row r="220" hidden="1">
      <c r="A220" s="93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19"/>
      <c r="P220" s="22"/>
      <c r="Q220" s="22"/>
      <c r="R220" s="22"/>
    </row>
    <row r="221" hidden="1">
      <c r="A221" s="93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19"/>
      <c r="P221" s="22"/>
      <c r="Q221" s="22"/>
      <c r="R221" s="22"/>
    </row>
    <row r="222" hidden="1">
      <c r="A222" s="93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19"/>
      <c r="P222" s="22"/>
      <c r="Q222" s="22"/>
      <c r="R222" s="22"/>
    </row>
    <row r="223" hidden="1">
      <c r="A223" s="93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19"/>
      <c r="P223" s="22"/>
      <c r="Q223" s="22"/>
      <c r="R223" s="22"/>
    </row>
    <row r="224" hidden="1">
      <c r="A224" s="93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19"/>
      <c r="P224" s="22"/>
      <c r="Q224" s="22"/>
      <c r="R224" s="22"/>
    </row>
    <row r="225" hidden="1">
      <c r="A225" s="93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19"/>
      <c r="P225" s="22"/>
      <c r="Q225" s="22"/>
      <c r="R225" s="22"/>
    </row>
    <row r="226" hidden="1">
      <c r="A226" s="93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19"/>
      <c r="P226" s="22"/>
      <c r="Q226" s="22"/>
      <c r="R226" s="22"/>
    </row>
    <row r="227" hidden="1">
      <c r="A227" s="93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19"/>
      <c r="P227" s="22"/>
      <c r="Q227" s="22"/>
      <c r="R227" s="22"/>
    </row>
    <row r="228" hidden="1">
      <c r="A228" s="93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19"/>
      <c r="P228" s="22"/>
      <c r="Q228" s="22"/>
      <c r="R228" s="22"/>
    </row>
    <row r="229" hidden="1">
      <c r="A229" s="93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19"/>
      <c r="P229" s="22"/>
      <c r="Q229" s="22"/>
      <c r="R229" s="22"/>
    </row>
    <row r="230" hidden="1">
      <c r="A230" s="93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19"/>
      <c r="P230" s="22"/>
      <c r="Q230" s="22"/>
      <c r="R230" s="22"/>
    </row>
    <row r="231" hidden="1">
      <c r="A231" s="93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19"/>
      <c r="P231" s="22"/>
      <c r="Q231" s="22"/>
      <c r="R231" s="22"/>
    </row>
    <row r="232" hidden="1">
      <c r="A232" s="93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19"/>
      <c r="P232" s="22"/>
      <c r="Q232" s="22"/>
      <c r="R232" s="22"/>
    </row>
    <row r="233" hidden="1">
      <c r="A233" s="93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19"/>
      <c r="P233" s="22"/>
      <c r="Q233" s="22"/>
      <c r="R233" s="22"/>
    </row>
    <row r="234" hidden="1">
      <c r="A234" s="93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19"/>
      <c r="P234" s="22"/>
      <c r="Q234" s="22"/>
      <c r="R234" s="22"/>
    </row>
    <row r="235" hidden="1">
      <c r="A235" s="93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19"/>
      <c r="P235" s="22"/>
      <c r="Q235" s="22"/>
      <c r="R235" s="22"/>
    </row>
    <row r="236" hidden="1">
      <c r="A236" s="93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19"/>
      <c r="P236" s="22"/>
      <c r="Q236" s="22"/>
      <c r="R236" s="22"/>
    </row>
    <row r="237" hidden="1">
      <c r="A237" s="93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19"/>
      <c r="P237" s="22"/>
      <c r="Q237" s="22"/>
      <c r="R237" s="22"/>
    </row>
    <row r="238" hidden="1">
      <c r="A238" s="93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19"/>
      <c r="P238" s="22"/>
      <c r="Q238" s="22"/>
      <c r="R238" s="22"/>
    </row>
    <row r="239" hidden="1">
      <c r="A239" s="93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19"/>
      <c r="P239" s="22"/>
      <c r="Q239" s="22"/>
      <c r="R239" s="22"/>
    </row>
    <row r="240" hidden="1">
      <c r="A240" s="93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19"/>
      <c r="P240" s="22"/>
      <c r="Q240" s="22"/>
      <c r="R240" s="22"/>
    </row>
    <row r="241" hidden="1">
      <c r="A241" s="93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19"/>
      <c r="P241" s="22"/>
      <c r="Q241" s="22"/>
      <c r="R241" s="22"/>
    </row>
    <row r="242" hidden="1">
      <c r="A242" s="93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19"/>
      <c r="P242" s="22"/>
      <c r="Q242" s="22"/>
      <c r="R242" s="22"/>
    </row>
    <row r="243" hidden="1">
      <c r="A243" s="93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19"/>
      <c r="P243" s="22"/>
      <c r="Q243" s="22"/>
      <c r="R243" s="22"/>
    </row>
    <row r="244" hidden="1">
      <c r="A244" s="93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19"/>
      <c r="P244" s="22"/>
      <c r="Q244" s="22"/>
      <c r="R244" s="22"/>
    </row>
    <row r="245" hidden="1">
      <c r="A245" s="93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19"/>
      <c r="P245" s="22"/>
      <c r="Q245" s="22"/>
      <c r="R245" s="22"/>
    </row>
    <row r="246" hidden="1">
      <c r="A246" s="93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19"/>
      <c r="P246" s="22"/>
      <c r="Q246" s="22"/>
      <c r="R246" s="22"/>
    </row>
    <row r="247" hidden="1">
      <c r="A247" s="93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19"/>
      <c r="P247" s="22"/>
      <c r="Q247" s="22"/>
      <c r="R247" s="22"/>
    </row>
    <row r="248" hidden="1">
      <c r="A248" s="93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19"/>
      <c r="P248" s="22"/>
      <c r="Q248" s="22"/>
      <c r="R248" s="22"/>
    </row>
    <row r="249" hidden="1">
      <c r="A249" s="93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19"/>
      <c r="P249" s="22"/>
      <c r="Q249" s="22"/>
      <c r="R249" s="22"/>
    </row>
    <row r="250" hidden="1">
      <c r="A250" s="93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19"/>
      <c r="P250" s="22"/>
      <c r="Q250" s="22"/>
      <c r="R250" s="22"/>
    </row>
    <row r="251" hidden="1">
      <c r="A251" s="93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19"/>
      <c r="P251" s="22"/>
      <c r="Q251" s="22"/>
      <c r="R251" s="22"/>
    </row>
    <row r="252" hidden="1">
      <c r="A252" s="93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19"/>
      <c r="P252" s="22"/>
      <c r="Q252" s="22"/>
      <c r="R252" s="22"/>
    </row>
    <row r="253" hidden="1">
      <c r="A253" s="93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19"/>
      <c r="P253" s="22"/>
      <c r="Q253" s="22"/>
      <c r="R253" s="22"/>
    </row>
    <row r="254" hidden="1">
      <c r="A254" s="93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19"/>
      <c r="P254" s="22"/>
      <c r="Q254" s="22"/>
      <c r="R254" s="22"/>
    </row>
    <row r="255" hidden="1">
      <c r="A255" s="93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19"/>
      <c r="P255" s="22"/>
      <c r="Q255" s="22"/>
      <c r="R255" s="22"/>
    </row>
    <row r="256" hidden="1">
      <c r="A256" s="93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19"/>
      <c r="P256" s="22"/>
      <c r="Q256" s="22"/>
      <c r="R256" s="22"/>
    </row>
    <row r="257" hidden="1">
      <c r="A257" s="93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19"/>
      <c r="P257" s="22"/>
      <c r="Q257" s="22"/>
      <c r="R257" s="22"/>
    </row>
    <row r="258" hidden="1">
      <c r="A258" s="93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19"/>
      <c r="P258" s="22"/>
      <c r="Q258" s="22"/>
      <c r="R258" s="22"/>
    </row>
    <row r="259" hidden="1">
      <c r="A259" s="93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19"/>
      <c r="P259" s="22"/>
      <c r="Q259" s="22"/>
      <c r="R259" s="22"/>
    </row>
    <row r="260" hidden="1">
      <c r="A260" s="93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19"/>
      <c r="P260" s="22"/>
      <c r="Q260" s="22"/>
      <c r="R260" s="22"/>
    </row>
    <row r="261" hidden="1">
      <c r="A261" s="93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19"/>
      <c r="P261" s="22"/>
      <c r="Q261" s="22"/>
      <c r="R261" s="22"/>
    </row>
    <row r="262" hidden="1">
      <c r="A262" s="93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19"/>
      <c r="P262" s="22"/>
      <c r="Q262" s="22"/>
      <c r="R262" s="22"/>
    </row>
    <row r="263" hidden="1">
      <c r="A263" s="93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19"/>
      <c r="P263" s="22"/>
      <c r="Q263" s="22"/>
      <c r="R263" s="22"/>
    </row>
    <row r="264" hidden="1">
      <c r="A264" s="93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19"/>
      <c r="P264" s="22"/>
      <c r="Q264" s="22"/>
      <c r="R264" s="22"/>
    </row>
    <row r="265" hidden="1">
      <c r="A265" s="93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19"/>
      <c r="P265" s="22"/>
      <c r="Q265" s="22"/>
      <c r="R265" s="22"/>
    </row>
    <row r="266" hidden="1">
      <c r="A266" s="93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19"/>
      <c r="P266" s="22"/>
      <c r="Q266" s="22"/>
      <c r="R266" s="22"/>
    </row>
    <row r="267" hidden="1">
      <c r="A267" s="93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19"/>
      <c r="P267" s="22"/>
      <c r="Q267" s="22"/>
      <c r="R267" s="22"/>
    </row>
    <row r="268" hidden="1">
      <c r="A268" s="93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19"/>
      <c r="P268" s="22"/>
      <c r="Q268" s="22"/>
      <c r="R268" s="22"/>
    </row>
    <row r="269" hidden="1">
      <c r="A269" s="93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19"/>
      <c r="P269" s="22"/>
      <c r="Q269" s="22"/>
      <c r="R269" s="22"/>
    </row>
    <row r="270" hidden="1">
      <c r="A270" s="93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19"/>
      <c r="P270" s="22"/>
      <c r="Q270" s="22"/>
      <c r="R270" s="22"/>
    </row>
    <row r="271" hidden="1">
      <c r="A271" s="93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19"/>
      <c r="P271" s="22"/>
      <c r="Q271" s="22"/>
      <c r="R271" s="22"/>
    </row>
    <row r="272" hidden="1">
      <c r="A272" s="93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19"/>
      <c r="P272" s="22"/>
      <c r="Q272" s="22"/>
      <c r="R272" s="22"/>
    </row>
    <row r="273" hidden="1">
      <c r="A273" s="93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19"/>
      <c r="P273" s="22"/>
      <c r="Q273" s="22"/>
      <c r="R273" s="22"/>
    </row>
    <row r="274" hidden="1">
      <c r="A274" s="93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19"/>
      <c r="P274" s="22"/>
      <c r="Q274" s="22"/>
      <c r="R274" s="22"/>
    </row>
    <row r="275" hidden="1">
      <c r="A275" s="93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19"/>
      <c r="P275" s="22"/>
      <c r="Q275" s="22"/>
      <c r="R275" s="22"/>
    </row>
    <row r="276" hidden="1">
      <c r="A276" s="93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19"/>
      <c r="P276" s="22"/>
      <c r="Q276" s="22"/>
      <c r="R276" s="22"/>
    </row>
    <row r="277" hidden="1">
      <c r="A277" s="93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19"/>
      <c r="P277" s="22"/>
      <c r="Q277" s="22"/>
      <c r="R277" s="22"/>
    </row>
    <row r="278" hidden="1">
      <c r="A278" s="93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19"/>
      <c r="P278" s="22"/>
      <c r="Q278" s="22"/>
      <c r="R278" s="22"/>
    </row>
    <row r="279" hidden="1">
      <c r="A279" s="93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19"/>
      <c r="P279" s="22"/>
      <c r="Q279" s="22"/>
      <c r="R279" s="22"/>
    </row>
    <row r="280" hidden="1">
      <c r="A280" s="93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19"/>
      <c r="P280" s="22"/>
      <c r="Q280" s="22"/>
      <c r="R280" s="22"/>
    </row>
    <row r="281" hidden="1">
      <c r="A281" s="93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19"/>
      <c r="P281" s="22"/>
      <c r="Q281" s="22"/>
      <c r="R281" s="22"/>
    </row>
    <row r="282" hidden="1">
      <c r="A282" s="93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19"/>
      <c r="P282" s="22"/>
      <c r="Q282" s="22"/>
      <c r="R282" s="22"/>
    </row>
    <row r="283" hidden="1">
      <c r="A283" s="93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19"/>
      <c r="P283" s="22"/>
      <c r="Q283" s="22"/>
      <c r="R283" s="22"/>
    </row>
    <row r="284" hidden="1">
      <c r="A284" s="93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19"/>
      <c r="P284" s="22"/>
      <c r="Q284" s="22"/>
      <c r="R284" s="22"/>
    </row>
    <row r="285" hidden="1">
      <c r="A285" s="93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19"/>
      <c r="P285" s="22"/>
      <c r="Q285" s="22"/>
      <c r="R285" s="22"/>
    </row>
    <row r="286" hidden="1">
      <c r="A286" s="93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19"/>
      <c r="P286" s="22"/>
      <c r="Q286" s="22"/>
      <c r="R286" s="22"/>
    </row>
    <row r="287" hidden="1">
      <c r="A287" s="93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19"/>
      <c r="P287" s="22"/>
      <c r="Q287" s="22"/>
      <c r="R287" s="22"/>
    </row>
    <row r="288" hidden="1">
      <c r="A288" s="93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19"/>
      <c r="P288" s="22"/>
      <c r="Q288" s="22"/>
      <c r="R288" s="22"/>
    </row>
    <row r="289" hidden="1">
      <c r="A289" s="93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19"/>
      <c r="P289" s="22"/>
      <c r="Q289" s="22"/>
      <c r="R289" s="22"/>
    </row>
    <row r="290" hidden="1">
      <c r="A290" s="93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19"/>
      <c r="P290" s="22"/>
      <c r="Q290" s="22"/>
      <c r="R290" s="22"/>
    </row>
    <row r="291" hidden="1">
      <c r="A291" s="93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19"/>
      <c r="P291" s="22"/>
      <c r="Q291" s="22"/>
      <c r="R291" s="22"/>
    </row>
    <row r="292" hidden="1">
      <c r="A292" s="93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19"/>
      <c r="P292" s="22"/>
      <c r="Q292" s="22"/>
      <c r="R292" s="22"/>
    </row>
    <row r="293" hidden="1">
      <c r="A293" s="93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19"/>
      <c r="P293" s="22"/>
      <c r="Q293" s="22"/>
      <c r="R293" s="22"/>
    </row>
    <row r="294" hidden="1">
      <c r="A294" s="93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19"/>
      <c r="P294" s="22"/>
      <c r="Q294" s="22"/>
      <c r="R294" s="22"/>
    </row>
    <row r="295" hidden="1">
      <c r="A295" s="93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19"/>
      <c r="P295" s="22"/>
      <c r="Q295" s="22"/>
      <c r="R295" s="22"/>
    </row>
    <row r="296" hidden="1">
      <c r="A296" s="93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19"/>
      <c r="P296" s="22"/>
      <c r="Q296" s="22"/>
      <c r="R296" s="22"/>
    </row>
    <row r="297" hidden="1">
      <c r="A297" s="93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19"/>
      <c r="P297" s="22"/>
      <c r="Q297" s="22"/>
      <c r="R297" s="22"/>
    </row>
    <row r="298" hidden="1">
      <c r="A298" s="93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19"/>
      <c r="P298" s="22"/>
      <c r="Q298" s="22"/>
      <c r="R298" s="22"/>
    </row>
    <row r="299" hidden="1">
      <c r="A299" s="93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19"/>
      <c r="P299" s="22"/>
      <c r="Q299" s="22"/>
      <c r="R299" s="22"/>
    </row>
    <row r="300" hidden="1">
      <c r="A300" s="93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19"/>
      <c r="P300" s="22"/>
      <c r="Q300" s="22"/>
      <c r="R300" s="22"/>
    </row>
    <row r="301" hidden="1">
      <c r="A301" s="93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19"/>
      <c r="P301" s="22"/>
      <c r="Q301" s="22"/>
      <c r="R301" s="22"/>
    </row>
    <row r="302" hidden="1">
      <c r="A302" s="93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19"/>
      <c r="P302" s="22"/>
      <c r="Q302" s="22"/>
      <c r="R302" s="22"/>
    </row>
    <row r="303" hidden="1">
      <c r="A303" s="93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19"/>
      <c r="P303" s="22"/>
      <c r="Q303" s="22"/>
      <c r="R303" s="22"/>
    </row>
    <row r="304" hidden="1">
      <c r="A304" s="93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19"/>
      <c r="P304" s="22"/>
      <c r="Q304" s="22"/>
      <c r="R304" s="22"/>
    </row>
    <row r="305" hidden="1">
      <c r="A305" s="93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19"/>
      <c r="P305" s="22"/>
      <c r="Q305" s="22"/>
      <c r="R305" s="22"/>
    </row>
    <row r="306" hidden="1">
      <c r="A306" s="93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19"/>
      <c r="P306" s="22"/>
      <c r="Q306" s="22"/>
      <c r="R306" s="22"/>
    </row>
    <row r="307" hidden="1">
      <c r="A307" s="93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19"/>
      <c r="P307" s="22"/>
      <c r="Q307" s="22"/>
      <c r="R307" s="22"/>
    </row>
    <row r="308" hidden="1">
      <c r="A308" s="93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19"/>
      <c r="P308" s="22"/>
      <c r="Q308" s="22"/>
      <c r="R308" s="22"/>
    </row>
    <row r="309" hidden="1">
      <c r="A309" s="93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19"/>
      <c r="P309" s="22"/>
      <c r="Q309" s="22"/>
      <c r="R309" s="22"/>
    </row>
    <row r="310" hidden="1">
      <c r="A310" s="93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19"/>
      <c r="P310" s="22"/>
      <c r="Q310" s="22"/>
      <c r="R310" s="22"/>
    </row>
    <row r="311" hidden="1">
      <c r="A311" s="93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19"/>
      <c r="P311" s="22"/>
      <c r="Q311" s="22"/>
      <c r="R311" s="22"/>
    </row>
    <row r="312" hidden="1">
      <c r="A312" s="93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19"/>
      <c r="P312" s="22"/>
      <c r="Q312" s="22"/>
      <c r="R312" s="22"/>
    </row>
    <row r="313" hidden="1">
      <c r="A313" s="93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19"/>
      <c r="P313" s="22"/>
      <c r="Q313" s="22"/>
      <c r="R313" s="22"/>
    </row>
    <row r="314" hidden="1">
      <c r="A314" s="93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19"/>
      <c r="P314" s="22"/>
      <c r="Q314" s="22"/>
      <c r="R314" s="22"/>
    </row>
    <row r="315" hidden="1">
      <c r="A315" s="93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19"/>
      <c r="P315" s="22"/>
      <c r="Q315" s="22"/>
      <c r="R315" s="22"/>
    </row>
    <row r="316" hidden="1">
      <c r="A316" s="93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19"/>
      <c r="P316" s="22"/>
      <c r="Q316" s="22"/>
      <c r="R316" s="22"/>
    </row>
    <row r="317" hidden="1">
      <c r="A317" s="93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19"/>
      <c r="P317" s="22"/>
      <c r="Q317" s="22"/>
      <c r="R317" s="22"/>
    </row>
    <row r="318" hidden="1">
      <c r="A318" s="93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19"/>
      <c r="P318" s="22"/>
      <c r="Q318" s="22"/>
      <c r="R318" s="22"/>
    </row>
    <row r="319" hidden="1">
      <c r="A319" s="93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19"/>
      <c r="P319" s="22"/>
      <c r="Q319" s="22"/>
      <c r="R319" s="22"/>
    </row>
    <row r="320" hidden="1">
      <c r="A320" s="93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19"/>
      <c r="P320" s="22"/>
      <c r="Q320" s="22"/>
      <c r="R320" s="22"/>
    </row>
    <row r="321" hidden="1">
      <c r="A321" s="93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19"/>
      <c r="P321" s="22"/>
      <c r="Q321" s="22"/>
      <c r="R321" s="22"/>
    </row>
    <row r="322" hidden="1">
      <c r="A322" s="93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19"/>
      <c r="P322" s="22"/>
      <c r="Q322" s="22"/>
      <c r="R322" s="22"/>
    </row>
    <row r="323" hidden="1">
      <c r="A323" s="93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19"/>
      <c r="P323" s="22"/>
      <c r="Q323" s="22"/>
      <c r="R323" s="22"/>
    </row>
    <row r="324" hidden="1">
      <c r="A324" s="93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19"/>
      <c r="P324" s="22"/>
      <c r="Q324" s="22"/>
      <c r="R324" s="22"/>
    </row>
    <row r="325" hidden="1">
      <c r="A325" s="93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19"/>
      <c r="P325" s="22"/>
      <c r="Q325" s="22"/>
      <c r="R325" s="22"/>
    </row>
    <row r="326" hidden="1">
      <c r="A326" s="93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19"/>
      <c r="P326" s="22"/>
      <c r="Q326" s="22"/>
      <c r="R326" s="22"/>
    </row>
    <row r="327" hidden="1">
      <c r="A327" s="93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19"/>
      <c r="P327" s="22"/>
      <c r="Q327" s="22"/>
      <c r="R327" s="22"/>
    </row>
    <row r="328" hidden="1">
      <c r="A328" s="93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19"/>
      <c r="P328" s="22"/>
      <c r="Q328" s="22"/>
      <c r="R328" s="22"/>
    </row>
    <row r="329" hidden="1">
      <c r="A329" s="93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19"/>
      <c r="P329" s="22"/>
      <c r="Q329" s="22"/>
      <c r="R329" s="22"/>
    </row>
    <row r="330" hidden="1">
      <c r="A330" s="93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19"/>
      <c r="P330" s="22"/>
      <c r="Q330" s="22"/>
      <c r="R330" s="22"/>
    </row>
    <row r="331" hidden="1">
      <c r="A331" s="93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19"/>
      <c r="P331" s="22"/>
      <c r="Q331" s="22"/>
      <c r="R331" s="22"/>
    </row>
    <row r="332" hidden="1">
      <c r="A332" s="93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19"/>
      <c r="P332" s="22"/>
      <c r="Q332" s="22"/>
      <c r="R332" s="22"/>
    </row>
    <row r="333" hidden="1">
      <c r="A333" s="93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19"/>
      <c r="P333" s="22"/>
      <c r="Q333" s="22"/>
      <c r="R333" s="22"/>
    </row>
    <row r="334" hidden="1">
      <c r="A334" s="93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19"/>
      <c r="P334" s="22"/>
      <c r="Q334" s="22"/>
      <c r="R334" s="22"/>
    </row>
    <row r="335" hidden="1">
      <c r="A335" s="93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19"/>
      <c r="P335" s="22"/>
      <c r="Q335" s="22"/>
      <c r="R335" s="22"/>
    </row>
    <row r="336" hidden="1">
      <c r="A336" s="93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19"/>
      <c r="P336" s="22"/>
      <c r="Q336" s="22"/>
      <c r="R336" s="22"/>
    </row>
    <row r="337" hidden="1">
      <c r="A337" s="93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19"/>
      <c r="P337" s="22"/>
      <c r="Q337" s="22"/>
      <c r="R337" s="22"/>
    </row>
    <row r="338" hidden="1">
      <c r="A338" s="93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19"/>
      <c r="P338" s="22"/>
      <c r="Q338" s="22"/>
      <c r="R338" s="22"/>
    </row>
    <row r="339" hidden="1">
      <c r="A339" s="93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19"/>
      <c r="P339" s="22"/>
      <c r="Q339" s="22"/>
      <c r="R339" s="22"/>
    </row>
    <row r="340" hidden="1">
      <c r="A340" s="93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19"/>
      <c r="P340" s="22"/>
      <c r="Q340" s="22"/>
      <c r="R340" s="22"/>
    </row>
    <row r="341" hidden="1">
      <c r="A341" s="93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19"/>
      <c r="P341" s="22"/>
      <c r="Q341" s="22"/>
      <c r="R341" s="22"/>
    </row>
    <row r="342" hidden="1">
      <c r="A342" s="93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19"/>
      <c r="P342" s="22"/>
      <c r="Q342" s="22"/>
      <c r="R342" s="22"/>
    </row>
    <row r="343" hidden="1">
      <c r="A343" s="93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19"/>
      <c r="P343" s="22"/>
      <c r="Q343" s="22"/>
      <c r="R343" s="22"/>
    </row>
    <row r="344" hidden="1">
      <c r="A344" s="93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19"/>
      <c r="P344" s="22"/>
      <c r="Q344" s="22"/>
      <c r="R344" s="22"/>
    </row>
    <row r="345" hidden="1">
      <c r="A345" s="93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19"/>
      <c r="P345" s="22"/>
      <c r="Q345" s="22"/>
      <c r="R345" s="22"/>
    </row>
    <row r="346" hidden="1">
      <c r="A346" s="93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19"/>
      <c r="P346" s="22"/>
      <c r="Q346" s="22"/>
      <c r="R346" s="22"/>
    </row>
    <row r="347" hidden="1">
      <c r="A347" s="93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19"/>
      <c r="P347" s="22"/>
      <c r="Q347" s="22"/>
      <c r="R347" s="22"/>
    </row>
    <row r="348" hidden="1">
      <c r="A348" s="93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19"/>
      <c r="P348" s="22"/>
      <c r="Q348" s="22"/>
      <c r="R348" s="22"/>
    </row>
    <row r="349" hidden="1">
      <c r="A349" s="93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19"/>
      <c r="P349" s="22"/>
      <c r="Q349" s="22"/>
      <c r="R349" s="22"/>
    </row>
    <row r="350" hidden="1">
      <c r="A350" s="93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19"/>
      <c r="P350" s="22"/>
      <c r="Q350" s="22"/>
      <c r="R350" s="22"/>
    </row>
    <row r="351" hidden="1">
      <c r="A351" s="93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19"/>
      <c r="P351" s="22"/>
      <c r="Q351" s="22"/>
      <c r="R351" s="22"/>
    </row>
    <row r="352" hidden="1">
      <c r="A352" s="93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19"/>
      <c r="P352" s="22"/>
      <c r="Q352" s="22"/>
      <c r="R352" s="22"/>
    </row>
    <row r="353" hidden="1">
      <c r="A353" s="93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19"/>
      <c r="P353" s="22"/>
      <c r="Q353" s="22"/>
      <c r="R353" s="22"/>
    </row>
    <row r="354" hidden="1">
      <c r="A354" s="93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19"/>
      <c r="P354" s="22"/>
      <c r="Q354" s="22"/>
      <c r="R354" s="22"/>
    </row>
    <row r="355" hidden="1">
      <c r="A355" s="93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19"/>
      <c r="P355" s="22"/>
      <c r="Q355" s="22"/>
      <c r="R355" s="22"/>
    </row>
    <row r="356" hidden="1">
      <c r="A356" s="93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19"/>
      <c r="P356" s="22"/>
      <c r="Q356" s="22"/>
      <c r="R356" s="22"/>
    </row>
    <row r="357" hidden="1">
      <c r="A357" s="93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19"/>
      <c r="P357" s="22"/>
      <c r="Q357" s="22"/>
      <c r="R357" s="22"/>
    </row>
    <row r="358" hidden="1">
      <c r="A358" s="93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19"/>
      <c r="P358" s="22"/>
      <c r="Q358" s="22"/>
      <c r="R358" s="22"/>
    </row>
    <row r="359" hidden="1">
      <c r="A359" s="93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19"/>
      <c r="P359" s="22"/>
      <c r="Q359" s="22"/>
      <c r="R359" s="22"/>
    </row>
    <row r="360" hidden="1">
      <c r="A360" s="93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19"/>
      <c r="P360" s="22"/>
      <c r="Q360" s="22"/>
      <c r="R360" s="22"/>
    </row>
    <row r="361" hidden="1">
      <c r="A361" s="93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19"/>
      <c r="P361" s="22"/>
      <c r="Q361" s="22"/>
      <c r="R361" s="22"/>
    </row>
    <row r="362" hidden="1">
      <c r="A362" s="93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19"/>
      <c r="P362" s="22"/>
      <c r="Q362" s="22"/>
      <c r="R362" s="22"/>
    </row>
    <row r="363" hidden="1">
      <c r="A363" s="93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19"/>
      <c r="P363" s="22"/>
      <c r="Q363" s="22"/>
      <c r="R363" s="22"/>
    </row>
    <row r="364" hidden="1">
      <c r="A364" s="93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19"/>
      <c r="P364" s="22"/>
      <c r="Q364" s="22"/>
      <c r="R364" s="22"/>
    </row>
    <row r="365" hidden="1">
      <c r="A365" s="93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19"/>
      <c r="P365" s="22"/>
      <c r="Q365" s="22"/>
      <c r="R365" s="22"/>
    </row>
    <row r="366" hidden="1">
      <c r="A366" s="93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19"/>
      <c r="P366" s="22"/>
      <c r="Q366" s="22"/>
      <c r="R366" s="22"/>
    </row>
    <row r="367" hidden="1">
      <c r="A367" s="93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19"/>
      <c r="P367" s="22"/>
      <c r="Q367" s="22"/>
      <c r="R367" s="22"/>
    </row>
    <row r="368" hidden="1">
      <c r="A368" s="93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19"/>
      <c r="P368" s="22"/>
      <c r="Q368" s="22"/>
      <c r="R368" s="22"/>
    </row>
    <row r="369" hidden="1">
      <c r="A369" s="93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19"/>
      <c r="P369" s="22"/>
      <c r="Q369" s="22"/>
      <c r="R369" s="22"/>
    </row>
    <row r="370" hidden="1">
      <c r="A370" s="93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19"/>
      <c r="P370" s="22"/>
      <c r="Q370" s="22"/>
      <c r="R370" s="22"/>
    </row>
    <row r="371" hidden="1">
      <c r="A371" s="93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19"/>
      <c r="P371" s="22"/>
      <c r="Q371" s="22"/>
      <c r="R371" s="22"/>
    </row>
    <row r="372" hidden="1">
      <c r="A372" s="93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19"/>
      <c r="P372" s="22"/>
      <c r="Q372" s="22"/>
      <c r="R372" s="22"/>
    </row>
    <row r="373" hidden="1">
      <c r="A373" s="93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19"/>
      <c r="P373" s="22"/>
      <c r="Q373" s="22"/>
      <c r="R373" s="22"/>
    </row>
    <row r="374" hidden="1">
      <c r="A374" s="93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19"/>
      <c r="P374" s="22"/>
      <c r="Q374" s="22"/>
      <c r="R374" s="22"/>
    </row>
    <row r="375" hidden="1">
      <c r="A375" s="93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19"/>
      <c r="P375" s="22"/>
      <c r="Q375" s="22"/>
      <c r="R375" s="22"/>
    </row>
    <row r="376" hidden="1">
      <c r="A376" s="93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19"/>
      <c r="P376" s="22"/>
      <c r="Q376" s="22"/>
      <c r="R376" s="22"/>
    </row>
    <row r="377" hidden="1">
      <c r="A377" s="93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19"/>
      <c r="P377" s="22"/>
      <c r="Q377" s="22"/>
      <c r="R377" s="22"/>
    </row>
    <row r="378" hidden="1">
      <c r="A378" s="93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19"/>
      <c r="P378" s="22"/>
      <c r="Q378" s="22"/>
      <c r="R378" s="22"/>
    </row>
    <row r="379" hidden="1">
      <c r="A379" s="93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19"/>
      <c r="P379" s="22"/>
      <c r="Q379" s="22"/>
      <c r="R379" s="22"/>
    </row>
    <row r="380" hidden="1">
      <c r="A380" s="93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19"/>
      <c r="P380" s="22"/>
      <c r="Q380" s="22"/>
      <c r="R380" s="22"/>
    </row>
    <row r="381" hidden="1">
      <c r="A381" s="93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19"/>
      <c r="P381" s="22"/>
      <c r="Q381" s="22"/>
      <c r="R381" s="22"/>
    </row>
    <row r="382" hidden="1">
      <c r="A382" s="93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19"/>
      <c r="P382" s="22"/>
      <c r="Q382" s="22"/>
      <c r="R382" s="22"/>
    </row>
    <row r="383" hidden="1">
      <c r="A383" s="93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19"/>
      <c r="P383" s="22"/>
      <c r="Q383" s="22"/>
      <c r="R383" s="22"/>
    </row>
    <row r="384" hidden="1">
      <c r="A384" s="93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19"/>
      <c r="P384" s="22"/>
      <c r="Q384" s="22"/>
      <c r="R384" s="22"/>
    </row>
    <row r="385" hidden="1">
      <c r="A385" s="93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19"/>
      <c r="P385" s="22"/>
      <c r="Q385" s="22"/>
      <c r="R385" s="22"/>
    </row>
    <row r="386" hidden="1">
      <c r="A386" s="93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19"/>
      <c r="P386" s="22"/>
      <c r="Q386" s="22"/>
      <c r="R386" s="22"/>
    </row>
    <row r="387" hidden="1">
      <c r="A387" s="93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19"/>
      <c r="P387" s="22"/>
      <c r="Q387" s="22"/>
      <c r="R387" s="22"/>
    </row>
    <row r="388" hidden="1">
      <c r="A388" s="93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19"/>
      <c r="P388" s="22"/>
      <c r="Q388" s="22"/>
      <c r="R388" s="22"/>
    </row>
    <row r="389" hidden="1">
      <c r="A389" s="93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19"/>
      <c r="P389" s="22"/>
      <c r="Q389" s="22"/>
      <c r="R389" s="22"/>
    </row>
    <row r="390" hidden="1">
      <c r="A390" s="93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19"/>
      <c r="P390" s="22"/>
      <c r="Q390" s="22"/>
      <c r="R390" s="22"/>
    </row>
    <row r="391" hidden="1">
      <c r="A391" s="93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19"/>
      <c r="P391" s="22"/>
      <c r="Q391" s="22"/>
      <c r="R391" s="22"/>
    </row>
    <row r="392" hidden="1">
      <c r="A392" s="93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19"/>
      <c r="P392" s="22"/>
      <c r="Q392" s="22"/>
      <c r="R392" s="22"/>
    </row>
    <row r="393" hidden="1">
      <c r="A393" s="93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19"/>
      <c r="P393" s="22"/>
      <c r="Q393" s="22"/>
      <c r="R393" s="22"/>
    </row>
    <row r="394" hidden="1">
      <c r="A394" s="93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19"/>
      <c r="P394" s="22"/>
      <c r="Q394" s="22"/>
      <c r="R394" s="22"/>
    </row>
    <row r="395" hidden="1">
      <c r="A395" s="93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19"/>
      <c r="P395" s="22"/>
      <c r="Q395" s="22"/>
      <c r="R395" s="22"/>
    </row>
    <row r="396" hidden="1">
      <c r="A396" s="93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19"/>
      <c r="P396" s="22"/>
      <c r="Q396" s="22"/>
      <c r="R396" s="22"/>
    </row>
    <row r="397" hidden="1">
      <c r="A397" s="93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19"/>
      <c r="P397" s="22"/>
      <c r="Q397" s="22"/>
      <c r="R397" s="22"/>
    </row>
    <row r="398" hidden="1">
      <c r="A398" s="93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19"/>
      <c r="P398" s="22"/>
      <c r="Q398" s="22"/>
      <c r="R398" s="22"/>
    </row>
    <row r="399" hidden="1">
      <c r="A399" s="93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19"/>
      <c r="P399" s="22"/>
      <c r="Q399" s="22"/>
      <c r="R399" s="22"/>
    </row>
    <row r="400" hidden="1">
      <c r="A400" s="93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19"/>
      <c r="P400" s="22"/>
      <c r="Q400" s="22"/>
      <c r="R400" s="22"/>
    </row>
    <row r="401" hidden="1">
      <c r="A401" s="93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19"/>
      <c r="P401" s="22"/>
      <c r="Q401" s="22"/>
      <c r="R401" s="22"/>
    </row>
    <row r="402" hidden="1">
      <c r="A402" s="93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19"/>
      <c r="P402" s="22"/>
      <c r="Q402" s="22"/>
      <c r="R402" s="22"/>
    </row>
    <row r="403" hidden="1">
      <c r="A403" s="93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19"/>
      <c r="P403" s="22"/>
      <c r="Q403" s="22"/>
      <c r="R403" s="22"/>
    </row>
    <row r="404" hidden="1">
      <c r="A404" s="93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19"/>
      <c r="P404" s="22"/>
      <c r="Q404" s="22"/>
      <c r="R404" s="22"/>
    </row>
    <row r="405" hidden="1">
      <c r="A405" s="93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19"/>
      <c r="P405" s="22"/>
      <c r="Q405" s="22"/>
      <c r="R405" s="22"/>
    </row>
    <row r="406" hidden="1">
      <c r="A406" s="93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19"/>
      <c r="P406" s="22"/>
      <c r="Q406" s="22"/>
      <c r="R406" s="22"/>
    </row>
    <row r="407" hidden="1">
      <c r="A407" s="93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19"/>
      <c r="P407" s="22"/>
      <c r="Q407" s="22"/>
      <c r="R407" s="22"/>
    </row>
    <row r="408" hidden="1">
      <c r="A408" s="93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19"/>
      <c r="P408" s="22"/>
      <c r="Q408" s="22"/>
      <c r="R408" s="22"/>
    </row>
    <row r="409" hidden="1">
      <c r="A409" s="93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19"/>
      <c r="P409" s="22"/>
      <c r="Q409" s="22"/>
      <c r="R409" s="22"/>
    </row>
    <row r="410" hidden="1">
      <c r="A410" s="93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19"/>
      <c r="P410" s="22"/>
      <c r="Q410" s="22"/>
      <c r="R410" s="22"/>
    </row>
    <row r="411" hidden="1">
      <c r="A411" s="93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19"/>
      <c r="P411" s="22"/>
      <c r="Q411" s="22"/>
      <c r="R411" s="22"/>
    </row>
    <row r="412" hidden="1">
      <c r="A412" s="93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19"/>
      <c r="P412" s="22"/>
      <c r="Q412" s="22"/>
      <c r="R412" s="22"/>
    </row>
    <row r="413" hidden="1">
      <c r="A413" s="93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19"/>
      <c r="P413" s="22"/>
      <c r="Q413" s="22"/>
      <c r="R413" s="22"/>
    </row>
    <row r="414" hidden="1">
      <c r="A414" s="93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19"/>
      <c r="P414" s="22"/>
      <c r="Q414" s="22"/>
      <c r="R414" s="22"/>
    </row>
    <row r="415" hidden="1">
      <c r="A415" s="93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19"/>
      <c r="P415" s="22"/>
      <c r="Q415" s="22"/>
      <c r="R415" s="22"/>
    </row>
    <row r="416" hidden="1">
      <c r="A416" s="93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19"/>
      <c r="P416" s="22"/>
      <c r="Q416" s="22"/>
      <c r="R416" s="22"/>
    </row>
    <row r="417" hidden="1">
      <c r="A417" s="93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19"/>
      <c r="P417" s="22"/>
      <c r="Q417" s="22"/>
      <c r="R417" s="22"/>
    </row>
    <row r="418" hidden="1">
      <c r="A418" s="93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19"/>
      <c r="P418" s="22"/>
      <c r="Q418" s="22"/>
      <c r="R418" s="22"/>
    </row>
    <row r="419" hidden="1">
      <c r="A419" s="93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19"/>
      <c r="P419" s="22"/>
      <c r="Q419" s="22"/>
      <c r="R419" s="22"/>
    </row>
    <row r="420" hidden="1">
      <c r="A420" s="93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19"/>
      <c r="P420" s="22"/>
      <c r="Q420" s="22"/>
      <c r="R420" s="22"/>
    </row>
    <row r="421" hidden="1">
      <c r="A421" s="93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19"/>
      <c r="P421" s="22"/>
      <c r="Q421" s="22"/>
      <c r="R421" s="22"/>
    </row>
    <row r="422" hidden="1">
      <c r="A422" s="93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19"/>
      <c r="P422" s="22"/>
      <c r="Q422" s="22"/>
      <c r="R422" s="22"/>
    </row>
    <row r="423" hidden="1">
      <c r="A423" s="93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19"/>
      <c r="P423" s="22"/>
      <c r="Q423" s="22"/>
      <c r="R423" s="22"/>
    </row>
    <row r="424" hidden="1">
      <c r="A424" s="93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19"/>
      <c r="P424" s="22"/>
      <c r="Q424" s="22"/>
      <c r="R424" s="22"/>
    </row>
    <row r="425" hidden="1">
      <c r="A425" s="93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19"/>
      <c r="P425" s="22"/>
      <c r="Q425" s="22"/>
      <c r="R425" s="22"/>
    </row>
    <row r="426" hidden="1">
      <c r="A426" s="93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19"/>
      <c r="P426" s="22"/>
      <c r="Q426" s="22"/>
      <c r="R426" s="22"/>
    </row>
    <row r="427" hidden="1">
      <c r="A427" s="93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19"/>
      <c r="P427" s="22"/>
      <c r="Q427" s="22"/>
      <c r="R427" s="22"/>
    </row>
    <row r="428" hidden="1">
      <c r="A428" s="93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19"/>
      <c r="P428" s="22"/>
      <c r="Q428" s="22"/>
      <c r="R428" s="22"/>
    </row>
    <row r="429" hidden="1">
      <c r="A429" s="93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19"/>
      <c r="P429" s="22"/>
      <c r="Q429" s="22"/>
      <c r="R429" s="22"/>
    </row>
    <row r="430" hidden="1">
      <c r="A430" s="93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19"/>
      <c r="P430" s="22"/>
      <c r="Q430" s="22"/>
      <c r="R430" s="22"/>
    </row>
    <row r="431" hidden="1">
      <c r="A431" s="93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19"/>
      <c r="P431" s="22"/>
      <c r="Q431" s="22"/>
      <c r="R431" s="22"/>
    </row>
    <row r="432" hidden="1">
      <c r="A432" s="93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19"/>
      <c r="P432" s="22"/>
      <c r="Q432" s="22"/>
      <c r="R432" s="22"/>
    </row>
    <row r="433" hidden="1">
      <c r="A433" s="93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19"/>
      <c r="P433" s="22"/>
      <c r="Q433" s="22"/>
      <c r="R433" s="22"/>
    </row>
    <row r="434" hidden="1">
      <c r="A434" s="93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19"/>
      <c r="P434" s="22"/>
      <c r="Q434" s="22"/>
      <c r="R434" s="22"/>
    </row>
    <row r="435" hidden="1">
      <c r="A435" s="93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19"/>
      <c r="P435" s="22"/>
      <c r="Q435" s="22"/>
      <c r="R435" s="22"/>
    </row>
    <row r="436" hidden="1">
      <c r="A436" s="93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19"/>
      <c r="P436" s="22"/>
      <c r="Q436" s="22"/>
      <c r="R436" s="22"/>
    </row>
    <row r="437" hidden="1">
      <c r="A437" s="93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19"/>
      <c r="P437" s="22"/>
      <c r="Q437" s="22"/>
      <c r="R437" s="22"/>
    </row>
    <row r="438" hidden="1">
      <c r="A438" s="93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19"/>
      <c r="P438" s="22"/>
      <c r="Q438" s="22"/>
      <c r="R438" s="22"/>
    </row>
    <row r="439" hidden="1">
      <c r="A439" s="93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19"/>
      <c r="P439" s="22"/>
      <c r="Q439" s="22"/>
      <c r="R439" s="22"/>
    </row>
    <row r="440" hidden="1">
      <c r="A440" s="93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19"/>
      <c r="P440" s="22"/>
      <c r="Q440" s="22"/>
      <c r="R440" s="22"/>
    </row>
    <row r="441" hidden="1">
      <c r="A441" s="93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19"/>
      <c r="P441" s="22"/>
      <c r="Q441" s="22"/>
      <c r="R441" s="22"/>
    </row>
    <row r="442" hidden="1">
      <c r="A442" s="93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19"/>
      <c r="P442" s="22"/>
      <c r="Q442" s="22"/>
      <c r="R442" s="22"/>
    </row>
    <row r="443" hidden="1">
      <c r="A443" s="93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19"/>
      <c r="P443" s="22"/>
      <c r="Q443" s="22"/>
      <c r="R443" s="22"/>
    </row>
    <row r="444" hidden="1">
      <c r="A444" s="93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19"/>
      <c r="P444" s="22"/>
      <c r="Q444" s="22"/>
      <c r="R444" s="22"/>
    </row>
    <row r="445" hidden="1">
      <c r="A445" s="93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19"/>
      <c r="P445" s="22"/>
      <c r="Q445" s="22"/>
      <c r="R445" s="22"/>
    </row>
    <row r="446" hidden="1">
      <c r="A446" s="93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19"/>
      <c r="P446" s="22"/>
      <c r="Q446" s="22"/>
      <c r="R446" s="22"/>
    </row>
    <row r="447" hidden="1">
      <c r="A447" s="93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19"/>
      <c r="P447" s="22"/>
      <c r="Q447" s="22"/>
      <c r="R447" s="22"/>
    </row>
    <row r="448" hidden="1">
      <c r="A448" s="93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19"/>
      <c r="P448" s="22"/>
      <c r="Q448" s="22"/>
      <c r="R448" s="22"/>
    </row>
    <row r="449" hidden="1">
      <c r="A449" s="93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19"/>
      <c r="P449" s="22"/>
      <c r="Q449" s="22"/>
      <c r="R449" s="22"/>
    </row>
    <row r="450" hidden="1">
      <c r="A450" s="93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19"/>
      <c r="P450" s="22"/>
      <c r="Q450" s="22"/>
      <c r="R450" s="22"/>
    </row>
    <row r="451" hidden="1">
      <c r="A451" s="93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19"/>
      <c r="P451" s="22"/>
      <c r="Q451" s="22"/>
      <c r="R451" s="22"/>
    </row>
    <row r="452" hidden="1">
      <c r="A452" s="93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19"/>
      <c r="P452" s="22"/>
      <c r="Q452" s="22"/>
      <c r="R452" s="22"/>
    </row>
    <row r="453" hidden="1">
      <c r="A453" s="93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19"/>
      <c r="P453" s="22"/>
      <c r="Q453" s="22"/>
      <c r="R453" s="22"/>
    </row>
    <row r="454" hidden="1">
      <c r="A454" s="93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19"/>
      <c r="P454" s="22"/>
      <c r="Q454" s="22"/>
      <c r="R454" s="22"/>
    </row>
    <row r="455" hidden="1">
      <c r="A455" s="93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19"/>
      <c r="P455" s="22"/>
      <c r="Q455" s="22"/>
      <c r="R455" s="22"/>
    </row>
    <row r="456" hidden="1">
      <c r="A456" s="93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19"/>
      <c r="P456" s="22"/>
      <c r="Q456" s="22"/>
      <c r="R456" s="22"/>
    </row>
    <row r="457" hidden="1">
      <c r="A457" s="93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19"/>
      <c r="P457" s="22"/>
      <c r="Q457" s="22"/>
      <c r="R457" s="22"/>
    </row>
    <row r="458" hidden="1">
      <c r="A458" s="93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19"/>
      <c r="P458" s="22"/>
      <c r="Q458" s="22"/>
      <c r="R458" s="22"/>
    </row>
    <row r="459" hidden="1">
      <c r="A459" s="93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19"/>
      <c r="P459" s="22"/>
      <c r="Q459" s="22"/>
      <c r="R459" s="22"/>
    </row>
    <row r="460" hidden="1">
      <c r="A460" s="93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19"/>
      <c r="P460" s="22"/>
      <c r="Q460" s="22"/>
      <c r="R460" s="22"/>
    </row>
    <row r="461" hidden="1">
      <c r="A461" s="93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19"/>
      <c r="P461" s="22"/>
      <c r="Q461" s="22"/>
      <c r="R461" s="22"/>
    </row>
    <row r="462" hidden="1">
      <c r="A462" s="93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19"/>
      <c r="P462" s="22"/>
      <c r="Q462" s="22"/>
      <c r="R462" s="22"/>
    </row>
    <row r="463" hidden="1">
      <c r="A463" s="93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19"/>
      <c r="P463" s="22"/>
      <c r="Q463" s="22"/>
      <c r="R463" s="22"/>
    </row>
    <row r="464" hidden="1">
      <c r="A464" s="93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19"/>
      <c r="P464" s="22"/>
      <c r="Q464" s="22"/>
      <c r="R464" s="22"/>
    </row>
    <row r="465" hidden="1">
      <c r="A465" s="93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19"/>
      <c r="P465" s="22"/>
      <c r="Q465" s="22"/>
      <c r="R465" s="22"/>
    </row>
    <row r="466" hidden="1">
      <c r="A466" s="93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19"/>
      <c r="P466" s="22"/>
      <c r="Q466" s="22"/>
      <c r="R466" s="22"/>
    </row>
    <row r="467" hidden="1">
      <c r="A467" s="93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19"/>
      <c r="P467" s="22"/>
      <c r="Q467" s="22"/>
      <c r="R467" s="22"/>
    </row>
    <row r="468" hidden="1">
      <c r="A468" s="93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19"/>
      <c r="P468" s="22"/>
      <c r="Q468" s="22"/>
      <c r="R468" s="22"/>
    </row>
    <row r="469" hidden="1">
      <c r="A469" s="93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19"/>
      <c r="P469" s="22"/>
      <c r="Q469" s="22"/>
      <c r="R469" s="22"/>
    </row>
    <row r="470" hidden="1">
      <c r="A470" s="93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19"/>
      <c r="P470" s="22"/>
      <c r="Q470" s="22"/>
      <c r="R470" s="22"/>
    </row>
    <row r="471" hidden="1">
      <c r="A471" s="93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19"/>
      <c r="P471" s="22"/>
      <c r="Q471" s="22"/>
      <c r="R471" s="22"/>
    </row>
    <row r="472" hidden="1">
      <c r="A472" s="93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19"/>
      <c r="P472" s="22"/>
      <c r="Q472" s="22"/>
      <c r="R472" s="22"/>
    </row>
    <row r="473" hidden="1">
      <c r="A473" s="93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19"/>
      <c r="P473" s="22"/>
      <c r="Q473" s="22"/>
      <c r="R473" s="22"/>
    </row>
    <row r="474" hidden="1">
      <c r="A474" s="93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19"/>
      <c r="P474" s="22"/>
      <c r="Q474" s="22"/>
      <c r="R474" s="22"/>
    </row>
    <row r="475" hidden="1">
      <c r="A475" s="93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19"/>
      <c r="P475" s="22"/>
      <c r="Q475" s="22"/>
      <c r="R475" s="22"/>
    </row>
    <row r="476" hidden="1">
      <c r="A476" s="93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19"/>
      <c r="P476" s="22"/>
      <c r="Q476" s="22"/>
      <c r="R476" s="22"/>
    </row>
    <row r="477" hidden="1">
      <c r="A477" s="93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19"/>
      <c r="P477" s="22"/>
      <c r="Q477" s="22"/>
      <c r="R477" s="22"/>
    </row>
    <row r="478" hidden="1">
      <c r="A478" s="93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19"/>
      <c r="P478" s="22"/>
      <c r="Q478" s="22"/>
      <c r="R478" s="22"/>
    </row>
    <row r="479" hidden="1">
      <c r="A479" s="93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19"/>
      <c r="P479" s="22"/>
      <c r="Q479" s="22"/>
      <c r="R479" s="22"/>
    </row>
    <row r="480" hidden="1">
      <c r="A480" s="93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19"/>
      <c r="P480" s="22"/>
      <c r="Q480" s="22"/>
      <c r="R480" s="22"/>
    </row>
    <row r="481" hidden="1">
      <c r="A481" s="93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19"/>
      <c r="P481" s="22"/>
      <c r="Q481" s="22"/>
      <c r="R481" s="22"/>
    </row>
    <row r="482" hidden="1">
      <c r="A482" s="93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19"/>
      <c r="P482" s="22"/>
      <c r="Q482" s="22"/>
      <c r="R482" s="22"/>
    </row>
    <row r="483" hidden="1">
      <c r="A483" s="93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19"/>
      <c r="P483" s="22"/>
      <c r="Q483" s="22"/>
      <c r="R483" s="22"/>
    </row>
    <row r="484" hidden="1">
      <c r="A484" s="93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19"/>
      <c r="P484" s="22"/>
      <c r="Q484" s="22"/>
      <c r="R484" s="22"/>
    </row>
    <row r="485" hidden="1">
      <c r="A485" s="93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19"/>
      <c r="P485" s="22"/>
      <c r="Q485" s="22"/>
      <c r="R485" s="22"/>
    </row>
    <row r="486" hidden="1">
      <c r="A486" s="93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19"/>
      <c r="P486" s="22"/>
      <c r="Q486" s="22"/>
      <c r="R486" s="22"/>
    </row>
    <row r="487" hidden="1">
      <c r="A487" s="93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19"/>
      <c r="P487" s="22"/>
      <c r="Q487" s="22"/>
      <c r="R487" s="22"/>
    </row>
    <row r="488" hidden="1">
      <c r="A488" s="93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19"/>
      <c r="P488" s="22"/>
      <c r="Q488" s="22"/>
      <c r="R488" s="22"/>
    </row>
    <row r="489" hidden="1">
      <c r="A489" s="93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19"/>
      <c r="P489" s="22"/>
      <c r="Q489" s="22"/>
      <c r="R489" s="22"/>
    </row>
    <row r="490" hidden="1">
      <c r="A490" s="93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19"/>
      <c r="P490" s="22"/>
      <c r="Q490" s="22"/>
      <c r="R490" s="22"/>
    </row>
    <row r="491" hidden="1">
      <c r="A491" s="93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19"/>
      <c r="P491" s="22"/>
      <c r="Q491" s="22"/>
      <c r="R491" s="22"/>
    </row>
    <row r="492" hidden="1">
      <c r="A492" s="93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19"/>
      <c r="P492" s="22"/>
      <c r="Q492" s="22"/>
      <c r="R492" s="22"/>
    </row>
    <row r="493" hidden="1">
      <c r="A493" s="93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19"/>
      <c r="P493" s="22"/>
      <c r="Q493" s="22"/>
      <c r="R493" s="22"/>
    </row>
    <row r="494" hidden="1">
      <c r="A494" s="93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19"/>
      <c r="P494" s="22"/>
      <c r="Q494" s="22"/>
      <c r="R494" s="22"/>
    </row>
    <row r="495" hidden="1">
      <c r="A495" s="93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19"/>
      <c r="P495" s="22"/>
      <c r="Q495" s="22"/>
      <c r="R495" s="22"/>
    </row>
    <row r="496" hidden="1">
      <c r="A496" s="93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19"/>
      <c r="P496" s="22"/>
      <c r="Q496" s="22"/>
      <c r="R496" s="22"/>
    </row>
    <row r="497" hidden="1">
      <c r="A497" s="93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19"/>
      <c r="P497" s="22"/>
      <c r="Q497" s="22"/>
      <c r="R497" s="22"/>
    </row>
    <row r="498" hidden="1">
      <c r="A498" s="93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19"/>
      <c r="P498" s="22"/>
      <c r="Q498" s="22"/>
      <c r="R498" s="22"/>
    </row>
    <row r="499" hidden="1">
      <c r="A499" s="93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19"/>
      <c r="P499" s="22"/>
      <c r="Q499" s="22"/>
      <c r="R499" s="22"/>
    </row>
    <row r="500" hidden="1">
      <c r="A500" s="93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19"/>
      <c r="P500" s="22"/>
      <c r="Q500" s="22"/>
      <c r="R500" s="22"/>
    </row>
    <row r="501" hidden="1">
      <c r="A501" s="93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19"/>
      <c r="P501" s="22"/>
      <c r="Q501" s="22"/>
      <c r="R501" s="22"/>
    </row>
    <row r="502" hidden="1">
      <c r="A502" s="93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19"/>
      <c r="P502" s="22"/>
      <c r="Q502" s="22"/>
      <c r="R502" s="22"/>
    </row>
    <row r="503" hidden="1">
      <c r="A503" s="93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19"/>
      <c r="P503" s="22"/>
      <c r="Q503" s="22"/>
      <c r="R503" s="22"/>
    </row>
    <row r="504" hidden="1">
      <c r="A504" s="93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19"/>
      <c r="P504" s="22"/>
      <c r="Q504" s="22"/>
      <c r="R504" s="22"/>
    </row>
    <row r="505" hidden="1">
      <c r="A505" s="93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19"/>
      <c r="P505" s="22"/>
      <c r="Q505" s="22"/>
      <c r="R505" s="22"/>
    </row>
    <row r="506" hidden="1">
      <c r="A506" s="93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19"/>
      <c r="P506" s="22"/>
      <c r="Q506" s="22"/>
      <c r="R506" s="22"/>
    </row>
    <row r="507" hidden="1">
      <c r="A507" s="93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19"/>
      <c r="P507" s="22"/>
      <c r="Q507" s="22"/>
      <c r="R507" s="22"/>
    </row>
    <row r="508" hidden="1">
      <c r="A508" s="93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19"/>
      <c r="P508" s="22"/>
      <c r="Q508" s="22"/>
      <c r="R508" s="22"/>
    </row>
    <row r="509" hidden="1">
      <c r="A509" s="93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19"/>
      <c r="P509" s="22"/>
      <c r="Q509" s="22"/>
      <c r="R509" s="22"/>
    </row>
    <row r="510" hidden="1">
      <c r="A510" s="93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19"/>
      <c r="P510" s="22"/>
      <c r="Q510" s="22"/>
      <c r="R510" s="22"/>
    </row>
    <row r="511" hidden="1">
      <c r="A511" s="93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19"/>
      <c r="P511" s="22"/>
      <c r="Q511" s="22"/>
      <c r="R511" s="22"/>
    </row>
    <row r="512" hidden="1">
      <c r="A512" s="93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19"/>
      <c r="P512" s="22"/>
      <c r="Q512" s="22"/>
      <c r="R512" s="22"/>
    </row>
    <row r="513" hidden="1">
      <c r="A513" s="93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19"/>
      <c r="P513" s="22"/>
      <c r="Q513" s="22"/>
      <c r="R513" s="22"/>
    </row>
    <row r="514" hidden="1">
      <c r="A514" s="93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19"/>
      <c r="P514" s="22"/>
      <c r="Q514" s="22"/>
      <c r="R514" s="22"/>
    </row>
    <row r="515" hidden="1">
      <c r="A515" s="93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19"/>
      <c r="P515" s="22"/>
      <c r="Q515" s="22"/>
      <c r="R515" s="22"/>
    </row>
    <row r="516" hidden="1">
      <c r="A516" s="93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19"/>
      <c r="P516" s="22"/>
      <c r="Q516" s="22"/>
      <c r="R516" s="22"/>
    </row>
    <row r="517" hidden="1">
      <c r="A517" s="93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19"/>
      <c r="P517" s="22"/>
      <c r="Q517" s="22"/>
      <c r="R517" s="22"/>
    </row>
    <row r="518" hidden="1">
      <c r="A518" s="93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19"/>
      <c r="P518" s="22"/>
      <c r="Q518" s="22"/>
      <c r="R518" s="22"/>
    </row>
    <row r="519" hidden="1">
      <c r="A519" s="93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19"/>
      <c r="P519" s="22"/>
      <c r="Q519" s="22"/>
      <c r="R519" s="22"/>
    </row>
    <row r="520" hidden="1">
      <c r="A520" s="93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19"/>
      <c r="P520" s="22"/>
      <c r="Q520" s="22"/>
      <c r="R520" s="22"/>
    </row>
    <row r="521" hidden="1">
      <c r="A521" s="93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19"/>
      <c r="P521" s="22"/>
      <c r="Q521" s="22"/>
      <c r="R521" s="22"/>
    </row>
    <row r="522" hidden="1">
      <c r="A522" s="93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19"/>
      <c r="P522" s="22"/>
      <c r="Q522" s="22"/>
      <c r="R522" s="22"/>
    </row>
    <row r="523" hidden="1">
      <c r="A523" s="93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19"/>
      <c r="P523" s="22"/>
      <c r="Q523" s="22"/>
      <c r="R523" s="22"/>
    </row>
    <row r="524" hidden="1">
      <c r="A524" s="93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19"/>
      <c r="P524" s="22"/>
      <c r="Q524" s="22"/>
      <c r="R524" s="22"/>
    </row>
    <row r="525" hidden="1">
      <c r="A525" s="93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19"/>
      <c r="P525" s="22"/>
      <c r="Q525" s="22"/>
      <c r="R525" s="22"/>
    </row>
    <row r="526" hidden="1">
      <c r="A526" s="93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19"/>
      <c r="P526" s="22"/>
      <c r="Q526" s="22"/>
      <c r="R526" s="22"/>
    </row>
    <row r="527" hidden="1">
      <c r="A527" s="93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19"/>
      <c r="P527" s="22"/>
      <c r="Q527" s="22"/>
      <c r="R527" s="22"/>
    </row>
    <row r="528" hidden="1">
      <c r="A528" s="93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19"/>
      <c r="P528" s="22"/>
      <c r="Q528" s="22"/>
      <c r="R528" s="22"/>
    </row>
    <row r="529" hidden="1">
      <c r="A529" s="93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19"/>
      <c r="P529" s="22"/>
      <c r="Q529" s="22"/>
      <c r="R529" s="22"/>
    </row>
    <row r="530" hidden="1">
      <c r="A530" s="93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19"/>
      <c r="P530" s="22"/>
      <c r="Q530" s="22"/>
      <c r="R530" s="22"/>
    </row>
    <row r="531" hidden="1">
      <c r="A531" s="93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19"/>
      <c r="P531" s="22"/>
      <c r="Q531" s="22"/>
      <c r="R531" s="22"/>
    </row>
    <row r="532" hidden="1">
      <c r="A532" s="93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19"/>
      <c r="P532" s="22"/>
      <c r="Q532" s="22"/>
      <c r="R532" s="22"/>
    </row>
    <row r="533" hidden="1">
      <c r="A533" s="93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19"/>
      <c r="P533" s="22"/>
      <c r="Q533" s="22"/>
      <c r="R533" s="22"/>
    </row>
    <row r="534" hidden="1">
      <c r="A534" s="93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19"/>
      <c r="P534" s="22"/>
      <c r="Q534" s="22"/>
      <c r="R534" s="22"/>
    </row>
    <row r="535" hidden="1">
      <c r="A535" s="93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19"/>
      <c r="P535" s="22"/>
      <c r="Q535" s="22"/>
      <c r="R535" s="22"/>
    </row>
    <row r="536" hidden="1">
      <c r="A536" s="93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19"/>
      <c r="P536" s="22"/>
      <c r="Q536" s="22"/>
      <c r="R536" s="22"/>
    </row>
    <row r="537" hidden="1">
      <c r="A537" s="93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19"/>
      <c r="P537" s="22"/>
      <c r="Q537" s="22"/>
      <c r="R537" s="22"/>
    </row>
    <row r="538" hidden="1">
      <c r="A538" s="93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19"/>
      <c r="P538" s="22"/>
      <c r="Q538" s="22"/>
      <c r="R538" s="22"/>
    </row>
    <row r="539" hidden="1">
      <c r="A539" s="93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19"/>
      <c r="P539" s="22"/>
      <c r="Q539" s="22"/>
      <c r="R539" s="22"/>
    </row>
    <row r="540" hidden="1">
      <c r="A540" s="93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19"/>
      <c r="P540" s="22"/>
      <c r="Q540" s="22"/>
      <c r="R540" s="22"/>
    </row>
    <row r="541" hidden="1">
      <c r="A541" s="93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19"/>
      <c r="P541" s="22"/>
      <c r="Q541" s="22"/>
      <c r="R541" s="22"/>
    </row>
    <row r="542" hidden="1">
      <c r="A542" s="93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19"/>
      <c r="P542" s="22"/>
      <c r="Q542" s="22"/>
      <c r="R542" s="22"/>
    </row>
    <row r="543" hidden="1">
      <c r="A543" s="93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19"/>
      <c r="P543" s="22"/>
      <c r="Q543" s="22"/>
      <c r="R543" s="22"/>
    </row>
    <row r="544" hidden="1">
      <c r="A544" s="93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19"/>
      <c r="P544" s="22"/>
      <c r="Q544" s="22"/>
      <c r="R544" s="22"/>
    </row>
    <row r="545" hidden="1">
      <c r="A545" s="93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19"/>
      <c r="P545" s="22"/>
      <c r="Q545" s="22"/>
      <c r="R545" s="22"/>
    </row>
    <row r="546" hidden="1">
      <c r="A546" s="93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19"/>
      <c r="P546" s="22"/>
      <c r="Q546" s="22"/>
      <c r="R546" s="22"/>
    </row>
    <row r="547" hidden="1">
      <c r="A547" s="93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19"/>
      <c r="P547" s="22"/>
      <c r="Q547" s="22"/>
      <c r="R547" s="22"/>
    </row>
    <row r="548" hidden="1">
      <c r="A548" s="93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19"/>
      <c r="P548" s="22"/>
      <c r="Q548" s="22"/>
      <c r="R548" s="22"/>
    </row>
    <row r="549" hidden="1">
      <c r="A549" s="93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19"/>
      <c r="P549" s="22"/>
      <c r="Q549" s="22"/>
      <c r="R549" s="22"/>
    </row>
    <row r="550" hidden="1">
      <c r="A550" s="93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19"/>
      <c r="P550" s="22"/>
      <c r="Q550" s="22"/>
      <c r="R550" s="22"/>
    </row>
    <row r="551" hidden="1">
      <c r="A551" s="93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19"/>
      <c r="P551" s="22"/>
      <c r="Q551" s="22"/>
      <c r="R551" s="22"/>
    </row>
    <row r="552" hidden="1">
      <c r="A552" s="93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19"/>
      <c r="P552" s="22"/>
      <c r="Q552" s="22"/>
      <c r="R552" s="22"/>
    </row>
    <row r="553" hidden="1">
      <c r="A553" s="93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19"/>
      <c r="P553" s="22"/>
      <c r="Q553" s="22"/>
      <c r="R553" s="22"/>
    </row>
    <row r="554" hidden="1">
      <c r="A554" s="93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19"/>
      <c r="P554" s="22"/>
      <c r="Q554" s="22"/>
      <c r="R554" s="22"/>
    </row>
    <row r="555" hidden="1">
      <c r="A555" s="93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19"/>
      <c r="P555" s="22"/>
      <c r="Q555" s="22"/>
      <c r="R555" s="22"/>
    </row>
    <row r="556" hidden="1">
      <c r="A556" s="93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19"/>
      <c r="P556" s="22"/>
      <c r="Q556" s="22"/>
      <c r="R556" s="22"/>
    </row>
    <row r="557" hidden="1">
      <c r="A557" s="93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19"/>
      <c r="P557" s="22"/>
      <c r="Q557" s="22"/>
      <c r="R557" s="22"/>
    </row>
    <row r="558" hidden="1">
      <c r="A558" s="93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19"/>
      <c r="P558" s="22"/>
      <c r="Q558" s="22"/>
      <c r="R558" s="22"/>
    </row>
    <row r="559" hidden="1">
      <c r="A559" s="93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19"/>
      <c r="P559" s="22"/>
      <c r="Q559" s="22"/>
      <c r="R559" s="22"/>
    </row>
    <row r="560" hidden="1">
      <c r="A560" s="93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19"/>
      <c r="P560" s="22"/>
      <c r="Q560" s="22"/>
      <c r="R560" s="22"/>
    </row>
    <row r="561" hidden="1">
      <c r="A561" s="93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19"/>
      <c r="P561" s="22"/>
      <c r="Q561" s="22"/>
      <c r="R561" s="22"/>
    </row>
    <row r="562" hidden="1">
      <c r="A562" s="93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19"/>
      <c r="P562" s="22"/>
      <c r="Q562" s="22"/>
      <c r="R562" s="22"/>
    </row>
    <row r="563" hidden="1">
      <c r="A563" s="93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19"/>
      <c r="P563" s="22"/>
      <c r="Q563" s="22"/>
      <c r="R563" s="22"/>
    </row>
    <row r="564" hidden="1">
      <c r="A564" s="93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19"/>
      <c r="P564" s="22"/>
      <c r="Q564" s="22"/>
      <c r="R564" s="22"/>
    </row>
    <row r="565" hidden="1">
      <c r="A565" s="93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19"/>
      <c r="P565" s="22"/>
      <c r="Q565" s="22"/>
      <c r="R565" s="22"/>
    </row>
    <row r="566" hidden="1">
      <c r="A566" s="93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19"/>
      <c r="P566" s="22"/>
      <c r="Q566" s="22"/>
      <c r="R566" s="22"/>
    </row>
    <row r="567" hidden="1">
      <c r="A567" s="93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19"/>
      <c r="P567" s="22"/>
      <c r="Q567" s="22"/>
      <c r="R567" s="22"/>
    </row>
    <row r="568" hidden="1">
      <c r="A568" s="93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19"/>
      <c r="P568" s="22"/>
      <c r="Q568" s="22"/>
      <c r="R568" s="22"/>
    </row>
    <row r="569" hidden="1">
      <c r="A569" s="93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19"/>
      <c r="P569" s="22"/>
      <c r="Q569" s="22"/>
      <c r="R569" s="22"/>
    </row>
    <row r="570" hidden="1">
      <c r="A570" s="93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19"/>
      <c r="P570" s="22"/>
      <c r="Q570" s="22"/>
      <c r="R570" s="22"/>
    </row>
    <row r="571" hidden="1">
      <c r="A571" s="93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19"/>
      <c r="P571" s="22"/>
      <c r="Q571" s="22"/>
      <c r="R571" s="22"/>
    </row>
    <row r="572" hidden="1">
      <c r="A572" s="93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19"/>
      <c r="P572" s="22"/>
      <c r="Q572" s="22"/>
      <c r="R572" s="22"/>
    </row>
    <row r="573" hidden="1">
      <c r="A573" s="93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19"/>
      <c r="P573" s="22"/>
      <c r="Q573" s="22"/>
      <c r="R573" s="22"/>
    </row>
    <row r="574" hidden="1">
      <c r="A574" s="93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19"/>
      <c r="P574" s="22"/>
      <c r="Q574" s="22"/>
      <c r="R574" s="22"/>
    </row>
    <row r="575" hidden="1">
      <c r="A575" s="93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19"/>
      <c r="P575" s="22"/>
      <c r="Q575" s="22"/>
      <c r="R575" s="22"/>
    </row>
    <row r="576" hidden="1">
      <c r="A576" s="93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19"/>
      <c r="P576" s="22"/>
      <c r="Q576" s="22"/>
      <c r="R576" s="22"/>
    </row>
    <row r="577" hidden="1">
      <c r="A577" s="93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19"/>
      <c r="P577" s="22"/>
      <c r="Q577" s="22"/>
      <c r="R577" s="22"/>
    </row>
    <row r="578" hidden="1">
      <c r="A578" s="93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19"/>
      <c r="P578" s="22"/>
      <c r="Q578" s="22"/>
      <c r="R578" s="22"/>
    </row>
    <row r="579" hidden="1">
      <c r="A579" s="93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19"/>
      <c r="P579" s="22"/>
      <c r="Q579" s="22"/>
      <c r="R579" s="22"/>
    </row>
    <row r="580" hidden="1">
      <c r="A580" s="93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19"/>
      <c r="P580" s="22"/>
      <c r="Q580" s="22"/>
      <c r="R580" s="22"/>
    </row>
    <row r="581" hidden="1">
      <c r="A581" s="93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19"/>
      <c r="P581" s="22"/>
      <c r="Q581" s="22"/>
      <c r="R581" s="22"/>
    </row>
    <row r="582" hidden="1">
      <c r="A582" s="93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19"/>
      <c r="P582" s="22"/>
      <c r="Q582" s="22"/>
      <c r="R582" s="22"/>
    </row>
    <row r="583" hidden="1">
      <c r="A583" s="93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19"/>
      <c r="P583" s="22"/>
      <c r="Q583" s="22"/>
      <c r="R583" s="22"/>
    </row>
    <row r="584" hidden="1">
      <c r="A584" s="93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19"/>
      <c r="P584" s="22"/>
      <c r="Q584" s="22"/>
      <c r="R584" s="22"/>
    </row>
    <row r="585" hidden="1">
      <c r="A585" s="93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19"/>
      <c r="P585" s="22"/>
      <c r="Q585" s="22"/>
      <c r="R585" s="22"/>
    </row>
    <row r="586" hidden="1">
      <c r="A586" s="93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19"/>
      <c r="P586" s="22"/>
      <c r="Q586" s="22"/>
      <c r="R586" s="22"/>
    </row>
    <row r="587" hidden="1">
      <c r="A587" s="93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19"/>
      <c r="P587" s="22"/>
      <c r="Q587" s="22"/>
      <c r="R587" s="22"/>
    </row>
    <row r="588" hidden="1">
      <c r="A588" s="93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19"/>
      <c r="P588" s="22"/>
      <c r="Q588" s="22"/>
      <c r="R588" s="22"/>
    </row>
    <row r="589" hidden="1">
      <c r="A589" s="93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19"/>
      <c r="P589" s="22"/>
      <c r="Q589" s="22"/>
      <c r="R589" s="22"/>
    </row>
    <row r="590" hidden="1">
      <c r="A590" s="93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19"/>
      <c r="P590" s="22"/>
      <c r="Q590" s="22"/>
      <c r="R590" s="22"/>
    </row>
    <row r="591" hidden="1">
      <c r="A591" s="93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19"/>
      <c r="P591" s="22"/>
      <c r="Q591" s="22"/>
      <c r="R591" s="22"/>
    </row>
    <row r="592" hidden="1">
      <c r="A592" s="93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19"/>
      <c r="P592" s="22"/>
      <c r="Q592" s="22"/>
      <c r="R592" s="22"/>
    </row>
    <row r="593" hidden="1">
      <c r="A593" s="93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19"/>
      <c r="P593" s="22"/>
      <c r="Q593" s="22"/>
      <c r="R593" s="22"/>
    </row>
    <row r="594" hidden="1">
      <c r="A594" s="93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19"/>
      <c r="P594" s="22"/>
      <c r="Q594" s="22"/>
      <c r="R594" s="22"/>
    </row>
    <row r="595" hidden="1">
      <c r="A595" s="93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19"/>
      <c r="P595" s="22"/>
      <c r="Q595" s="22"/>
      <c r="R595" s="22"/>
    </row>
    <row r="596" hidden="1">
      <c r="A596" s="93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19"/>
      <c r="P596" s="22"/>
      <c r="Q596" s="22"/>
      <c r="R596" s="22"/>
    </row>
    <row r="597" hidden="1">
      <c r="A597" s="93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19"/>
      <c r="P597" s="22"/>
      <c r="Q597" s="22"/>
      <c r="R597" s="22"/>
    </row>
    <row r="598" hidden="1">
      <c r="A598" s="93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19"/>
      <c r="P598" s="22"/>
      <c r="Q598" s="22"/>
      <c r="R598" s="22"/>
    </row>
    <row r="599" hidden="1">
      <c r="A599" s="93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19"/>
      <c r="P599" s="22"/>
      <c r="Q599" s="22"/>
      <c r="R599" s="22"/>
    </row>
    <row r="600" hidden="1">
      <c r="A600" s="93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19"/>
      <c r="P600" s="22"/>
      <c r="Q600" s="22"/>
      <c r="R600" s="22"/>
    </row>
    <row r="601" hidden="1">
      <c r="A601" s="93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19"/>
      <c r="P601" s="22"/>
      <c r="Q601" s="22"/>
      <c r="R601" s="22"/>
    </row>
    <row r="602" hidden="1">
      <c r="A602" s="93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19"/>
      <c r="P602" s="22"/>
      <c r="Q602" s="22"/>
      <c r="R602" s="22"/>
    </row>
    <row r="603" hidden="1">
      <c r="A603" s="93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19"/>
      <c r="P603" s="22"/>
      <c r="Q603" s="22"/>
      <c r="R603" s="22"/>
    </row>
    <row r="604" hidden="1">
      <c r="A604" s="93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19"/>
      <c r="P604" s="22"/>
      <c r="Q604" s="22"/>
      <c r="R604" s="22"/>
    </row>
    <row r="605" hidden="1">
      <c r="A605" s="93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19"/>
      <c r="P605" s="22"/>
      <c r="Q605" s="22"/>
      <c r="R605" s="22"/>
    </row>
    <row r="606" hidden="1">
      <c r="A606" s="93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19"/>
      <c r="P606" s="22"/>
      <c r="Q606" s="22"/>
      <c r="R606" s="22"/>
    </row>
    <row r="607" hidden="1">
      <c r="A607" s="93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19"/>
      <c r="P607" s="22"/>
      <c r="Q607" s="22"/>
      <c r="R607" s="22"/>
    </row>
    <row r="608" hidden="1">
      <c r="A608" s="93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19"/>
      <c r="P608" s="22"/>
      <c r="Q608" s="22"/>
      <c r="R608" s="22"/>
    </row>
    <row r="609" hidden="1">
      <c r="A609" s="93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19"/>
      <c r="P609" s="22"/>
      <c r="Q609" s="22"/>
      <c r="R609" s="22"/>
    </row>
    <row r="610" hidden="1">
      <c r="A610" s="93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19"/>
      <c r="P610" s="22"/>
      <c r="Q610" s="22"/>
      <c r="R610" s="22"/>
    </row>
    <row r="611" hidden="1">
      <c r="A611" s="93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19"/>
      <c r="P611" s="22"/>
      <c r="Q611" s="22"/>
      <c r="R611" s="22"/>
    </row>
    <row r="612" hidden="1">
      <c r="A612" s="93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19"/>
      <c r="P612" s="22"/>
      <c r="Q612" s="22"/>
      <c r="R612" s="22"/>
    </row>
    <row r="613" hidden="1">
      <c r="A613" s="93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19"/>
      <c r="P613" s="22"/>
      <c r="Q613" s="22"/>
      <c r="R613" s="22"/>
    </row>
    <row r="614" hidden="1">
      <c r="A614" s="93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19"/>
      <c r="P614" s="22"/>
      <c r="Q614" s="22"/>
      <c r="R614" s="22"/>
    </row>
    <row r="615" hidden="1">
      <c r="A615" s="93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19"/>
      <c r="P615" s="22"/>
      <c r="Q615" s="22"/>
      <c r="R615" s="22"/>
    </row>
    <row r="616" hidden="1">
      <c r="A616" s="93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19"/>
      <c r="P616" s="22"/>
      <c r="Q616" s="22"/>
      <c r="R616" s="22"/>
    </row>
    <row r="617" hidden="1">
      <c r="A617" s="93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19"/>
      <c r="P617" s="22"/>
      <c r="Q617" s="22"/>
      <c r="R617" s="22"/>
    </row>
    <row r="618" hidden="1">
      <c r="A618" s="93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19"/>
      <c r="P618" s="22"/>
      <c r="Q618" s="22"/>
      <c r="R618" s="22"/>
    </row>
    <row r="619" hidden="1">
      <c r="A619" s="93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19"/>
      <c r="P619" s="22"/>
      <c r="Q619" s="22"/>
      <c r="R619" s="22"/>
    </row>
    <row r="620" hidden="1">
      <c r="A620" s="93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19"/>
      <c r="P620" s="22"/>
      <c r="Q620" s="22"/>
      <c r="R620" s="22"/>
    </row>
    <row r="621" hidden="1">
      <c r="A621" s="93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19"/>
      <c r="P621" s="22"/>
      <c r="Q621" s="22"/>
      <c r="R621" s="22"/>
    </row>
    <row r="622" hidden="1">
      <c r="A622" s="93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19"/>
      <c r="P622" s="22"/>
      <c r="Q622" s="22"/>
      <c r="R622" s="22"/>
    </row>
    <row r="623" hidden="1">
      <c r="A623" s="93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19"/>
      <c r="P623" s="22"/>
      <c r="Q623" s="22"/>
      <c r="R623" s="22"/>
    </row>
    <row r="624" hidden="1">
      <c r="A624" s="93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19"/>
      <c r="P624" s="22"/>
      <c r="Q624" s="22"/>
      <c r="R624" s="22"/>
    </row>
    <row r="625" hidden="1">
      <c r="A625" s="93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19"/>
      <c r="P625" s="22"/>
      <c r="Q625" s="22"/>
      <c r="R625" s="22"/>
    </row>
    <row r="626" hidden="1">
      <c r="A626" s="93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19"/>
      <c r="P626" s="22"/>
      <c r="Q626" s="22"/>
      <c r="R626" s="22"/>
    </row>
    <row r="627" hidden="1">
      <c r="A627" s="93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19"/>
      <c r="P627" s="22"/>
      <c r="Q627" s="22"/>
      <c r="R627" s="22"/>
    </row>
    <row r="628" hidden="1">
      <c r="A628" s="93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19"/>
      <c r="P628" s="22"/>
      <c r="Q628" s="22"/>
      <c r="R628" s="22"/>
    </row>
    <row r="629" hidden="1">
      <c r="A629" s="93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19"/>
      <c r="P629" s="22"/>
      <c r="Q629" s="22"/>
      <c r="R629" s="22"/>
    </row>
    <row r="630" hidden="1">
      <c r="A630" s="93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19"/>
      <c r="P630" s="22"/>
      <c r="Q630" s="22"/>
      <c r="R630" s="22"/>
    </row>
    <row r="631" hidden="1">
      <c r="A631" s="93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19"/>
      <c r="P631" s="22"/>
      <c r="Q631" s="22"/>
      <c r="R631" s="22"/>
    </row>
    <row r="632" hidden="1">
      <c r="A632" s="93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19"/>
      <c r="P632" s="22"/>
      <c r="Q632" s="22"/>
      <c r="R632" s="22"/>
    </row>
    <row r="633" hidden="1">
      <c r="A633" s="93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19"/>
      <c r="P633" s="22"/>
      <c r="Q633" s="22"/>
      <c r="R633" s="22"/>
    </row>
    <row r="634" hidden="1">
      <c r="A634" s="93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19"/>
      <c r="P634" s="22"/>
      <c r="Q634" s="22"/>
      <c r="R634" s="22"/>
    </row>
    <row r="635" hidden="1">
      <c r="A635" s="93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19"/>
      <c r="P635" s="22"/>
      <c r="Q635" s="22"/>
      <c r="R635" s="22"/>
    </row>
    <row r="636" hidden="1">
      <c r="A636" s="93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19"/>
      <c r="P636" s="22"/>
      <c r="Q636" s="22"/>
      <c r="R636" s="22"/>
    </row>
    <row r="637" hidden="1">
      <c r="A637" s="93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19"/>
      <c r="P637" s="22"/>
      <c r="Q637" s="22"/>
      <c r="R637" s="22"/>
    </row>
    <row r="638" hidden="1">
      <c r="A638" s="93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19"/>
      <c r="P638" s="22"/>
      <c r="Q638" s="22"/>
      <c r="R638" s="22"/>
    </row>
    <row r="639" hidden="1">
      <c r="A639" s="93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19"/>
      <c r="P639" s="22"/>
      <c r="Q639" s="22"/>
      <c r="R639" s="22"/>
    </row>
    <row r="640" hidden="1">
      <c r="A640" s="93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19"/>
      <c r="P640" s="22"/>
      <c r="Q640" s="22"/>
      <c r="R640" s="22"/>
    </row>
    <row r="641" hidden="1">
      <c r="A641" s="93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19"/>
      <c r="P641" s="22"/>
      <c r="Q641" s="22"/>
      <c r="R641" s="22"/>
    </row>
    <row r="642" hidden="1">
      <c r="A642" s="93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19"/>
      <c r="P642" s="22"/>
      <c r="Q642" s="22"/>
      <c r="R642" s="22"/>
    </row>
    <row r="643" hidden="1">
      <c r="A643" s="93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19"/>
      <c r="P643" s="22"/>
      <c r="Q643" s="22"/>
      <c r="R643" s="22"/>
    </row>
    <row r="644" hidden="1">
      <c r="A644" s="93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19"/>
      <c r="P644" s="22"/>
      <c r="Q644" s="22"/>
      <c r="R644" s="22"/>
    </row>
    <row r="645" hidden="1">
      <c r="A645" s="93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19"/>
      <c r="P645" s="22"/>
      <c r="Q645" s="22"/>
      <c r="R645" s="22"/>
    </row>
    <row r="646" hidden="1">
      <c r="A646" s="93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19"/>
      <c r="P646" s="22"/>
      <c r="Q646" s="22"/>
      <c r="R646" s="22"/>
    </row>
    <row r="647" hidden="1">
      <c r="A647" s="93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19"/>
      <c r="P647" s="22"/>
      <c r="Q647" s="22"/>
      <c r="R647" s="22"/>
    </row>
    <row r="648" hidden="1">
      <c r="A648" s="93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19"/>
      <c r="P648" s="22"/>
      <c r="Q648" s="22"/>
      <c r="R648" s="22"/>
    </row>
    <row r="649" hidden="1">
      <c r="A649" s="93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19"/>
      <c r="P649" s="22"/>
      <c r="Q649" s="22"/>
      <c r="R649" s="22"/>
    </row>
    <row r="650" hidden="1">
      <c r="A650" s="93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19"/>
      <c r="P650" s="22"/>
      <c r="Q650" s="22"/>
      <c r="R650" s="22"/>
    </row>
    <row r="651" hidden="1">
      <c r="A651" s="93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19"/>
      <c r="P651" s="22"/>
      <c r="Q651" s="22"/>
      <c r="R651" s="22"/>
    </row>
    <row r="652" hidden="1">
      <c r="A652" s="93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19"/>
      <c r="P652" s="22"/>
      <c r="Q652" s="22"/>
      <c r="R652" s="22"/>
    </row>
    <row r="653" hidden="1">
      <c r="A653" s="93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19"/>
      <c r="P653" s="22"/>
      <c r="Q653" s="22"/>
      <c r="R653" s="22"/>
    </row>
    <row r="654" hidden="1">
      <c r="A654" s="93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19"/>
      <c r="P654" s="22"/>
      <c r="Q654" s="22"/>
      <c r="R654" s="22"/>
    </row>
    <row r="655" hidden="1">
      <c r="A655" s="93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19"/>
      <c r="P655" s="22"/>
      <c r="Q655" s="22"/>
      <c r="R655" s="22"/>
    </row>
    <row r="656" hidden="1">
      <c r="A656" s="93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19"/>
      <c r="P656" s="22"/>
      <c r="Q656" s="22"/>
      <c r="R656" s="22"/>
    </row>
    <row r="657" hidden="1">
      <c r="A657" s="93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19"/>
      <c r="P657" s="22"/>
      <c r="Q657" s="22"/>
      <c r="R657" s="22"/>
    </row>
    <row r="658" hidden="1">
      <c r="A658" s="93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19"/>
      <c r="P658" s="22"/>
      <c r="Q658" s="22"/>
      <c r="R658" s="22"/>
    </row>
    <row r="659" hidden="1">
      <c r="A659" s="93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19"/>
      <c r="P659" s="22"/>
      <c r="Q659" s="22"/>
      <c r="R659" s="22"/>
    </row>
    <row r="660" hidden="1">
      <c r="A660" s="93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19"/>
      <c r="P660" s="22"/>
      <c r="Q660" s="22"/>
      <c r="R660" s="22"/>
    </row>
    <row r="661" hidden="1">
      <c r="A661" s="93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19"/>
      <c r="P661" s="22"/>
      <c r="Q661" s="22"/>
      <c r="R661" s="22"/>
    </row>
    <row r="662" hidden="1">
      <c r="A662" s="93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19"/>
      <c r="P662" s="22"/>
      <c r="Q662" s="22"/>
      <c r="R662" s="22"/>
    </row>
    <row r="663" hidden="1">
      <c r="A663" s="93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19"/>
      <c r="P663" s="22"/>
      <c r="Q663" s="22"/>
      <c r="R663" s="22"/>
    </row>
    <row r="664" hidden="1">
      <c r="A664" s="93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19"/>
      <c r="P664" s="22"/>
      <c r="Q664" s="22"/>
      <c r="R664" s="22"/>
    </row>
    <row r="665" hidden="1">
      <c r="A665" s="93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19"/>
      <c r="P665" s="22"/>
      <c r="Q665" s="22"/>
      <c r="R665" s="22"/>
    </row>
    <row r="666" hidden="1">
      <c r="A666" s="93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19"/>
      <c r="P666" s="22"/>
      <c r="Q666" s="22"/>
      <c r="R666" s="22"/>
    </row>
    <row r="667" hidden="1">
      <c r="A667" s="93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19"/>
      <c r="P667" s="22"/>
      <c r="Q667" s="22"/>
      <c r="R667" s="22"/>
    </row>
    <row r="668" hidden="1">
      <c r="A668" s="93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19"/>
      <c r="P668" s="22"/>
      <c r="Q668" s="22"/>
      <c r="R668" s="22"/>
    </row>
    <row r="669" hidden="1">
      <c r="A669" s="93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19"/>
      <c r="P669" s="22"/>
      <c r="Q669" s="22"/>
      <c r="R669" s="22"/>
    </row>
    <row r="670" hidden="1">
      <c r="A670" s="93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19"/>
      <c r="P670" s="22"/>
      <c r="Q670" s="22"/>
      <c r="R670" s="22"/>
    </row>
    <row r="671" hidden="1">
      <c r="A671" s="93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19"/>
      <c r="P671" s="22"/>
      <c r="Q671" s="22"/>
      <c r="R671" s="22"/>
    </row>
    <row r="672" hidden="1">
      <c r="A672" s="93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19"/>
      <c r="P672" s="22"/>
      <c r="Q672" s="22"/>
      <c r="R672" s="22"/>
    </row>
    <row r="673" hidden="1">
      <c r="A673" s="93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19"/>
      <c r="P673" s="22"/>
      <c r="Q673" s="22"/>
      <c r="R673" s="22"/>
    </row>
    <row r="674" hidden="1">
      <c r="A674" s="93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19"/>
      <c r="P674" s="22"/>
      <c r="Q674" s="22"/>
      <c r="R674" s="22"/>
    </row>
    <row r="675" hidden="1">
      <c r="A675" s="93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19"/>
      <c r="P675" s="22"/>
      <c r="Q675" s="22"/>
      <c r="R675" s="22"/>
    </row>
    <row r="676" hidden="1">
      <c r="A676" s="93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19"/>
      <c r="P676" s="22"/>
      <c r="Q676" s="22"/>
      <c r="R676" s="22"/>
    </row>
    <row r="677" hidden="1">
      <c r="A677" s="93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19"/>
      <c r="P677" s="22"/>
      <c r="Q677" s="22"/>
      <c r="R677" s="22"/>
    </row>
    <row r="678" hidden="1">
      <c r="A678" s="93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19"/>
      <c r="P678" s="22"/>
      <c r="Q678" s="22"/>
      <c r="R678" s="22"/>
    </row>
    <row r="679" hidden="1">
      <c r="A679" s="93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19"/>
      <c r="P679" s="22"/>
      <c r="Q679" s="22"/>
      <c r="R679" s="22"/>
    </row>
    <row r="680" hidden="1">
      <c r="A680" s="93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19"/>
      <c r="P680" s="22"/>
      <c r="Q680" s="22"/>
      <c r="R680" s="22"/>
    </row>
    <row r="681" hidden="1">
      <c r="A681" s="93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19"/>
      <c r="P681" s="22"/>
      <c r="Q681" s="22"/>
      <c r="R681" s="22"/>
    </row>
    <row r="682" hidden="1">
      <c r="A682" s="93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19"/>
      <c r="P682" s="22"/>
      <c r="Q682" s="22"/>
      <c r="R682" s="22"/>
    </row>
    <row r="683" hidden="1">
      <c r="A683" s="93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19"/>
      <c r="P683" s="22"/>
      <c r="Q683" s="22"/>
      <c r="R683" s="22"/>
    </row>
    <row r="684" hidden="1">
      <c r="A684" s="93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19"/>
      <c r="P684" s="22"/>
      <c r="Q684" s="22"/>
      <c r="R684" s="22"/>
    </row>
    <row r="685" hidden="1">
      <c r="A685" s="93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19"/>
      <c r="P685" s="22"/>
      <c r="Q685" s="22"/>
      <c r="R685" s="22"/>
    </row>
    <row r="686" hidden="1">
      <c r="A686" s="93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19"/>
      <c r="P686" s="22"/>
      <c r="Q686" s="22"/>
      <c r="R686" s="22"/>
    </row>
    <row r="687" hidden="1">
      <c r="A687" s="93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19"/>
      <c r="P687" s="22"/>
      <c r="Q687" s="22"/>
      <c r="R687" s="22"/>
    </row>
    <row r="688" hidden="1">
      <c r="A688" s="93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19"/>
      <c r="P688" s="22"/>
      <c r="Q688" s="22"/>
      <c r="R688" s="22"/>
    </row>
    <row r="689" hidden="1">
      <c r="A689" s="93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19"/>
      <c r="P689" s="22"/>
      <c r="Q689" s="22"/>
      <c r="R689" s="22"/>
    </row>
    <row r="690" hidden="1">
      <c r="A690" s="93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19"/>
      <c r="P690" s="22"/>
      <c r="Q690" s="22"/>
      <c r="R690" s="22"/>
    </row>
    <row r="691" hidden="1">
      <c r="A691" s="93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19"/>
      <c r="P691" s="22"/>
      <c r="Q691" s="22"/>
      <c r="R691" s="22"/>
    </row>
    <row r="692" hidden="1">
      <c r="A692" s="93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19"/>
      <c r="P692" s="22"/>
      <c r="Q692" s="22"/>
      <c r="R692" s="22"/>
    </row>
    <row r="693" hidden="1">
      <c r="A693" s="93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19"/>
      <c r="P693" s="22"/>
      <c r="Q693" s="22"/>
      <c r="R693" s="22"/>
    </row>
    <row r="694" hidden="1">
      <c r="A694" s="93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19"/>
      <c r="P694" s="22"/>
      <c r="Q694" s="22"/>
      <c r="R694" s="22"/>
    </row>
    <row r="695" hidden="1">
      <c r="A695" s="93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19"/>
      <c r="P695" s="22"/>
      <c r="Q695" s="22"/>
      <c r="R695" s="22"/>
    </row>
    <row r="696" hidden="1">
      <c r="A696" s="93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19"/>
      <c r="P696" s="22"/>
      <c r="Q696" s="22"/>
      <c r="R696" s="22"/>
    </row>
    <row r="697" hidden="1">
      <c r="A697" s="93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19"/>
      <c r="P697" s="22"/>
      <c r="Q697" s="22"/>
      <c r="R697" s="22"/>
    </row>
    <row r="698" hidden="1">
      <c r="A698" s="93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19"/>
      <c r="P698" s="22"/>
      <c r="Q698" s="22"/>
      <c r="R698" s="22"/>
    </row>
    <row r="699" hidden="1">
      <c r="A699" s="93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19"/>
      <c r="P699" s="22"/>
      <c r="Q699" s="22"/>
      <c r="R699" s="22"/>
    </row>
    <row r="700" hidden="1">
      <c r="A700" s="93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19"/>
      <c r="P700" s="22"/>
      <c r="Q700" s="22"/>
      <c r="R700" s="22"/>
    </row>
    <row r="701" hidden="1">
      <c r="A701" s="93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19"/>
      <c r="P701" s="22"/>
      <c r="Q701" s="22"/>
      <c r="R701" s="22"/>
    </row>
    <row r="702" hidden="1">
      <c r="A702" s="93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19"/>
      <c r="P702" s="22"/>
      <c r="Q702" s="22"/>
      <c r="R702" s="22"/>
    </row>
    <row r="703" hidden="1">
      <c r="A703" s="93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19"/>
      <c r="P703" s="22"/>
      <c r="Q703" s="22"/>
      <c r="R703" s="22"/>
    </row>
    <row r="704" hidden="1">
      <c r="A704" s="93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19"/>
      <c r="P704" s="22"/>
      <c r="Q704" s="22"/>
      <c r="R704" s="22"/>
    </row>
    <row r="705" hidden="1">
      <c r="A705" s="93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19"/>
      <c r="P705" s="22"/>
      <c r="Q705" s="22"/>
      <c r="R705" s="22"/>
    </row>
    <row r="706" hidden="1">
      <c r="A706" s="93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19"/>
      <c r="P706" s="22"/>
      <c r="Q706" s="22"/>
      <c r="R706" s="22"/>
    </row>
    <row r="707" hidden="1">
      <c r="A707" s="93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19"/>
      <c r="P707" s="22"/>
      <c r="Q707" s="22"/>
      <c r="R707" s="22"/>
    </row>
    <row r="708" hidden="1">
      <c r="A708" s="93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19"/>
      <c r="P708" s="22"/>
      <c r="Q708" s="22"/>
      <c r="R708" s="22"/>
    </row>
    <row r="709" hidden="1">
      <c r="A709" s="93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19"/>
      <c r="P709" s="22"/>
      <c r="Q709" s="22"/>
      <c r="R709" s="22"/>
    </row>
    <row r="710" hidden="1">
      <c r="A710" s="93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19"/>
      <c r="P710" s="22"/>
      <c r="Q710" s="22"/>
      <c r="R710" s="22"/>
    </row>
    <row r="711" hidden="1">
      <c r="A711" s="93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19"/>
      <c r="P711" s="22"/>
      <c r="Q711" s="22"/>
      <c r="R711" s="22"/>
    </row>
    <row r="712" hidden="1">
      <c r="A712" s="93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19"/>
      <c r="P712" s="22"/>
      <c r="Q712" s="22"/>
      <c r="R712" s="22"/>
    </row>
    <row r="713" hidden="1">
      <c r="A713" s="93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19"/>
      <c r="P713" s="22"/>
      <c r="Q713" s="22"/>
      <c r="R713" s="22"/>
    </row>
    <row r="714" hidden="1">
      <c r="A714" s="93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19"/>
      <c r="P714" s="22"/>
      <c r="Q714" s="22"/>
      <c r="R714" s="22"/>
    </row>
    <row r="715" hidden="1">
      <c r="A715" s="93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19"/>
      <c r="P715" s="22"/>
      <c r="Q715" s="22"/>
      <c r="R715" s="22"/>
    </row>
    <row r="716" hidden="1">
      <c r="A716" s="93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19"/>
      <c r="P716" s="22"/>
      <c r="Q716" s="22"/>
      <c r="R716" s="22"/>
    </row>
    <row r="717" hidden="1">
      <c r="A717" s="93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19"/>
      <c r="P717" s="22"/>
      <c r="Q717" s="22"/>
      <c r="R717" s="22"/>
    </row>
    <row r="718" hidden="1">
      <c r="A718" s="93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19"/>
      <c r="P718" s="22"/>
      <c r="Q718" s="22"/>
      <c r="R718" s="22"/>
    </row>
    <row r="719" hidden="1">
      <c r="A719" s="93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19"/>
      <c r="P719" s="22"/>
      <c r="Q719" s="22"/>
      <c r="R719" s="22"/>
    </row>
    <row r="720" hidden="1">
      <c r="A720" s="93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19"/>
      <c r="P720" s="22"/>
      <c r="Q720" s="22"/>
      <c r="R720" s="22"/>
    </row>
    <row r="721" hidden="1">
      <c r="A721" s="93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19"/>
      <c r="P721" s="22"/>
      <c r="Q721" s="22"/>
      <c r="R721" s="22"/>
    </row>
    <row r="722" hidden="1">
      <c r="A722" s="93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19"/>
      <c r="P722" s="22"/>
      <c r="Q722" s="22"/>
      <c r="R722" s="22"/>
    </row>
    <row r="723" hidden="1">
      <c r="A723" s="93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19"/>
      <c r="P723" s="22"/>
      <c r="Q723" s="22"/>
      <c r="R723" s="22"/>
    </row>
    <row r="724" hidden="1">
      <c r="A724" s="93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19"/>
      <c r="P724" s="22"/>
      <c r="Q724" s="22"/>
      <c r="R724" s="22"/>
    </row>
    <row r="725" hidden="1">
      <c r="A725" s="93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19"/>
      <c r="P725" s="22"/>
      <c r="Q725" s="22"/>
      <c r="R725" s="22"/>
    </row>
    <row r="726" hidden="1">
      <c r="A726" s="93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19"/>
      <c r="P726" s="22"/>
      <c r="Q726" s="22"/>
      <c r="R726" s="22"/>
    </row>
    <row r="727" hidden="1">
      <c r="A727" s="93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19"/>
      <c r="P727" s="22"/>
      <c r="Q727" s="22"/>
      <c r="R727" s="22"/>
    </row>
    <row r="728" hidden="1">
      <c r="A728" s="93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19"/>
      <c r="P728" s="22"/>
      <c r="Q728" s="22"/>
      <c r="R728" s="22"/>
    </row>
    <row r="729" hidden="1">
      <c r="A729" s="93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19"/>
      <c r="P729" s="22"/>
      <c r="Q729" s="22"/>
      <c r="R729" s="22"/>
    </row>
    <row r="730" hidden="1">
      <c r="A730" s="93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19"/>
      <c r="P730" s="22"/>
      <c r="Q730" s="22"/>
      <c r="R730" s="22"/>
    </row>
    <row r="731" hidden="1">
      <c r="A731" s="93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19"/>
      <c r="P731" s="22"/>
      <c r="Q731" s="22"/>
      <c r="R731" s="22"/>
    </row>
    <row r="732" hidden="1">
      <c r="A732" s="93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19"/>
      <c r="P732" s="22"/>
      <c r="Q732" s="22"/>
      <c r="R732" s="22"/>
    </row>
    <row r="733" hidden="1">
      <c r="A733" s="93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19"/>
      <c r="P733" s="22"/>
      <c r="Q733" s="22"/>
      <c r="R733" s="22"/>
    </row>
    <row r="734" hidden="1">
      <c r="A734" s="93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19"/>
      <c r="P734" s="22"/>
      <c r="Q734" s="22"/>
      <c r="R734" s="22"/>
    </row>
    <row r="735" hidden="1">
      <c r="A735" s="93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19"/>
      <c r="P735" s="22"/>
      <c r="Q735" s="22"/>
      <c r="R735" s="22"/>
    </row>
    <row r="736" hidden="1">
      <c r="A736" s="93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19"/>
      <c r="P736" s="22"/>
      <c r="Q736" s="22"/>
      <c r="R736" s="22"/>
    </row>
    <row r="737" hidden="1">
      <c r="A737" s="93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19"/>
      <c r="P737" s="22"/>
      <c r="Q737" s="22"/>
      <c r="R737" s="22"/>
    </row>
    <row r="738" hidden="1">
      <c r="A738" s="93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19"/>
      <c r="P738" s="22"/>
      <c r="Q738" s="22"/>
      <c r="R738" s="22"/>
    </row>
    <row r="739" hidden="1">
      <c r="A739" s="93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19"/>
      <c r="P739" s="22"/>
      <c r="Q739" s="22"/>
      <c r="R739" s="22"/>
    </row>
    <row r="740" hidden="1">
      <c r="A740" s="93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19"/>
      <c r="P740" s="22"/>
      <c r="Q740" s="22"/>
      <c r="R740" s="22"/>
    </row>
    <row r="741" hidden="1">
      <c r="A741" s="93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19"/>
      <c r="P741" s="22"/>
      <c r="Q741" s="22"/>
      <c r="R741" s="22"/>
    </row>
    <row r="742" hidden="1">
      <c r="A742" s="93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19"/>
      <c r="P742" s="22"/>
      <c r="Q742" s="22"/>
      <c r="R742" s="22"/>
    </row>
    <row r="743" hidden="1">
      <c r="A743" s="93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19"/>
      <c r="P743" s="22"/>
      <c r="Q743" s="22"/>
      <c r="R743" s="22"/>
    </row>
    <row r="744" hidden="1">
      <c r="A744" s="93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19"/>
      <c r="P744" s="22"/>
      <c r="Q744" s="22"/>
      <c r="R744" s="22"/>
    </row>
    <row r="745" hidden="1">
      <c r="A745" s="93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19"/>
      <c r="P745" s="22"/>
      <c r="Q745" s="22"/>
      <c r="R745" s="22"/>
    </row>
    <row r="746" hidden="1">
      <c r="A746" s="93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19"/>
      <c r="P746" s="22"/>
      <c r="Q746" s="22"/>
      <c r="R746" s="22"/>
    </row>
    <row r="747" hidden="1">
      <c r="A747" s="93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19"/>
      <c r="P747" s="22"/>
      <c r="Q747" s="22"/>
      <c r="R747" s="22"/>
    </row>
    <row r="748" hidden="1">
      <c r="A748" s="93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19"/>
      <c r="P748" s="22"/>
      <c r="Q748" s="22"/>
      <c r="R748" s="22"/>
    </row>
    <row r="749" hidden="1">
      <c r="A749" s="93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19"/>
      <c r="P749" s="22"/>
      <c r="Q749" s="22"/>
      <c r="R749" s="22"/>
    </row>
    <row r="750" hidden="1">
      <c r="A750" s="93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19"/>
      <c r="P750" s="22"/>
      <c r="Q750" s="22"/>
      <c r="R750" s="22"/>
    </row>
    <row r="751" hidden="1">
      <c r="A751" s="93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19"/>
      <c r="P751" s="22"/>
      <c r="Q751" s="22"/>
      <c r="R751" s="22"/>
    </row>
    <row r="752" hidden="1">
      <c r="A752" s="93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19"/>
      <c r="P752" s="22"/>
      <c r="Q752" s="22"/>
      <c r="R752" s="22"/>
    </row>
    <row r="753" hidden="1">
      <c r="A753" s="93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19"/>
      <c r="P753" s="22"/>
      <c r="Q753" s="22"/>
      <c r="R753" s="22"/>
    </row>
    <row r="754" hidden="1">
      <c r="A754" s="93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19"/>
      <c r="P754" s="22"/>
      <c r="Q754" s="22"/>
      <c r="R754" s="22"/>
    </row>
    <row r="755" hidden="1">
      <c r="A755" s="93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19"/>
      <c r="P755" s="22"/>
      <c r="Q755" s="22"/>
      <c r="R755" s="22"/>
    </row>
    <row r="756" hidden="1">
      <c r="A756" s="93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19"/>
      <c r="P756" s="22"/>
      <c r="Q756" s="22"/>
      <c r="R756" s="22"/>
    </row>
    <row r="757" hidden="1">
      <c r="A757" s="93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19"/>
      <c r="P757" s="22"/>
      <c r="Q757" s="22"/>
      <c r="R757" s="22"/>
    </row>
    <row r="758" hidden="1">
      <c r="A758" s="93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19"/>
      <c r="P758" s="22"/>
      <c r="Q758" s="22"/>
      <c r="R758" s="22"/>
    </row>
    <row r="759" hidden="1">
      <c r="A759" s="93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19"/>
      <c r="P759" s="22"/>
      <c r="Q759" s="22"/>
      <c r="R759" s="22"/>
    </row>
    <row r="760" hidden="1">
      <c r="A760" s="93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19"/>
      <c r="P760" s="22"/>
      <c r="Q760" s="22"/>
      <c r="R760" s="22"/>
    </row>
    <row r="761" hidden="1">
      <c r="A761" s="93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19"/>
      <c r="P761" s="22"/>
      <c r="Q761" s="22"/>
      <c r="R761" s="22"/>
    </row>
    <row r="762" hidden="1">
      <c r="A762" s="93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19"/>
      <c r="P762" s="22"/>
      <c r="Q762" s="22"/>
      <c r="R762" s="22"/>
    </row>
    <row r="763" hidden="1">
      <c r="A763" s="93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19"/>
      <c r="P763" s="22"/>
      <c r="Q763" s="22"/>
      <c r="R763" s="22"/>
    </row>
    <row r="764" hidden="1">
      <c r="A764" s="93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19"/>
      <c r="P764" s="22"/>
      <c r="Q764" s="22"/>
      <c r="R764" s="22"/>
    </row>
    <row r="765" hidden="1">
      <c r="A765" s="93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19"/>
      <c r="P765" s="22"/>
      <c r="Q765" s="22"/>
      <c r="R765" s="22"/>
    </row>
    <row r="766" hidden="1">
      <c r="A766" s="93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19"/>
      <c r="P766" s="22"/>
      <c r="Q766" s="22"/>
      <c r="R766" s="22"/>
    </row>
    <row r="767" hidden="1">
      <c r="A767" s="93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19"/>
      <c r="P767" s="22"/>
      <c r="Q767" s="22"/>
      <c r="R767" s="22"/>
    </row>
    <row r="768" hidden="1">
      <c r="A768" s="93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19"/>
      <c r="P768" s="22"/>
      <c r="Q768" s="22"/>
      <c r="R768" s="22"/>
    </row>
    <row r="769" hidden="1">
      <c r="A769" s="93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19"/>
      <c r="P769" s="22"/>
      <c r="Q769" s="22"/>
      <c r="R769" s="22"/>
    </row>
    <row r="770" hidden="1">
      <c r="A770" s="93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19"/>
      <c r="P770" s="22"/>
      <c r="Q770" s="22"/>
      <c r="R770" s="22"/>
    </row>
    <row r="771" hidden="1">
      <c r="A771" s="93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19"/>
      <c r="P771" s="22"/>
      <c r="Q771" s="22"/>
      <c r="R771" s="22"/>
    </row>
    <row r="772" hidden="1">
      <c r="A772" s="93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19"/>
      <c r="P772" s="22"/>
      <c r="Q772" s="22"/>
      <c r="R772" s="22"/>
    </row>
    <row r="773" hidden="1">
      <c r="A773" s="93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19"/>
      <c r="P773" s="22"/>
      <c r="Q773" s="22"/>
      <c r="R773" s="22"/>
    </row>
    <row r="774" hidden="1">
      <c r="A774" s="93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19"/>
      <c r="P774" s="22"/>
      <c r="Q774" s="22"/>
      <c r="R774" s="22"/>
    </row>
    <row r="775" hidden="1">
      <c r="A775" s="93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19"/>
      <c r="P775" s="22"/>
      <c r="Q775" s="22"/>
      <c r="R775" s="22"/>
    </row>
    <row r="776" hidden="1">
      <c r="A776" s="93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19"/>
      <c r="P776" s="22"/>
      <c r="Q776" s="22"/>
      <c r="R776" s="22"/>
    </row>
    <row r="777" hidden="1">
      <c r="A777" s="93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19"/>
      <c r="P777" s="22"/>
      <c r="Q777" s="22"/>
      <c r="R777" s="22"/>
    </row>
    <row r="778" hidden="1">
      <c r="A778" s="93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19"/>
      <c r="P778" s="22"/>
      <c r="Q778" s="22"/>
      <c r="R778" s="22"/>
    </row>
    <row r="779" hidden="1">
      <c r="A779" s="93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19"/>
      <c r="P779" s="22"/>
      <c r="Q779" s="22"/>
      <c r="R779" s="22"/>
    </row>
    <row r="780" hidden="1">
      <c r="A780" s="93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19"/>
      <c r="P780" s="22"/>
      <c r="Q780" s="22"/>
      <c r="R780" s="22"/>
    </row>
    <row r="781" hidden="1">
      <c r="A781" s="93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19"/>
      <c r="P781" s="22"/>
      <c r="Q781" s="22"/>
      <c r="R781" s="22"/>
    </row>
    <row r="782" hidden="1">
      <c r="A782" s="93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19"/>
      <c r="P782" s="22"/>
      <c r="Q782" s="22"/>
      <c r="R782" s="22"/>
    </row>
    <row r="783" hidden="1">
      <c r="A783" s="93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19"/>
      <c r="P783" s="22"/>
      <c r="Q783" s="22"/>
      <c r="R783" s="22"/>
    </row>
    <row r="784" hidden="1">
      <c r="A784" s="93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19"/>
      <c r="P784" s="22"/>
      <c r="Q784" s="22"/>
      <c r="R784" s="22"/>
    </row>
    <row r="785" hidden="1">
      <c r="A785" s="93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19"/>
      <c r="P785" s="22"/>
      <c r="Q785" s="22"/>
      <c r="R785" s="22"/>
    </row>
    <row r="786" hidden="1">
      <c r="A786" s="93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19"/>
      <c r="P786" s="22"/>
      <c r="Q786" s="22"/>
      <c r="R786" s="22"/>
    </row>
    <row r="787" hidden="1">
      <c r="A787" s="93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19"/>
      <c r="P787" s="22"/>
      <c r="Q787" s="22"/>
      <c r="R787" s="22"/>
    </row>
    <row r="788" hidden="1">
      <c r="A788" s="93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19"/>
      <c r="P788" s="22"/>
      <c r="Q788" s="22"/>
      <c r="R788" s="22"/>
    </row>
    <row r="789" hidden="1">
      <c r="A789" s="93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19"/>
      <c r="P789" s="22"/>
      <c r="Q789" s="22"/>
      <c r="R789" s="22"/>
    </row>
    <row r="790" hidden="1">
      <c r="A790" s="93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19"/>
      <c r="P790" s="22"/>
      <c r="Q790" s="22"/>
      <c r="R790" s="22"/>
    </row>
    <row r="791" hidden="1">
      <c r="A791" s="93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19"/>
      <c r="P791" s="22"/>
      <c r="Q791" s="22"/>
      <c r="R791" s="22"/>
    </row>
    <row r="792" hidden="1">
      <c r="A792" s="93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19"/>
      <c r="P792" s="22"/>
      <c r="Q792" s="22"/>
      <c r="R792" s="22"/>
    </row>
    <row r="793" hidden="1">
      <c r="A793" s="93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19"/>
      <c r="P793" s="22"/>
      <c r="Q793" s="22"/>
      <c r="R793" s="22"/>
    </row>
    <row r="794" hidden="1">
      <c r="A794" s="93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19"/>
      <c r="P794" s="22"/>
      <c r="Q794" s="22"/>
      <c r="R794" s="22"/>
    </row>
    <row r="795" hidden="1">
      <c r="A795" s="93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19"/>
      <c r="P795" s="22"/>
      <c r="Q795" s="22"/>
      <c r="R795" s="22"/>
    </row>
    <row r="796" hidden="1">
      <c r="A796" s="93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19"/>
      <c r="P796" s="22"/>
      <c r="Q796" s="22"/>
      <c r="R796" s="22"/>
    </row>
    <row r="797" hidden="1">
      <c r="A797" s="93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19"/>
      <c r="P797" s="22"/>
      <c r="Q797" s="22"/>
      <c r="R797" s="22"/>
    </row>
    <row r="798" hidden="1">
      <c r="A798" s="93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19"/>
      <c r="P798" s="22"/>
      <c r="Q798" s="22"/>
      <c r="R798" s="22"/>
    </row>
    <row r="799" hidden="1">
      <c r="A799" s="93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19"/>
      <c r="P799" s="22"/>
      <c r="Q799" s="22"/>
      <c r="R799" s="22"/>
    </row>
    <row r="800" hidden="1">
      <c r="A800" s="93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19"/>
      <c r="P800" s="22"/>
      <c r="Q800" s="22"/>
      <c r="R800" s="22"/>
    </row>
    <row r="801" hidden="1">
      <c r="A801" s="93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19"/>
      <c r="P801" s="22"/>
      <c r="Q801" s="22"/>
      <c r="R801" s="22"/>
    </row>
    <row r="802" hidden="1">
      <c r="A802" s="93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19"/>
      <c r="P802" s="22"/>
      <c r="Q802" s="22"/>
      <c r="R802" s="22"/>
    </row>
    <row r="803" hidden="1">
      <c r="A803" s="93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19"/>
      <c r="P803" s="22"/>
      <c r="Q803" s="22"/>
      <c r="R803" s="22"/>
    </row>
    <row r="804" hidden="1">
      <c r="A804" s="93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19"/>
      <c r="P804" s="22"/>
      <c r="Q804" s="22"/>
      <c r="R804" s="22"/>
    </row>
    <row r="805" hidden="1">
      <c r="A805" s="93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19"/>
      <c r="P805" s="22"/>
      <c r="Q805" s="22"/>
      <c r="R805" s="22"/>
    </row>
    <row r="806" hidden="1">
      <c r="A806" s="93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19"/>
      <c r="P806" s="22"/>
      <c r="Q806" s="22"/>
      <c r="R806" s="22"/>
    </row>
    <row r="807" hidden="1">
      <c r="A807" s="93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19"/>
      <c r="P807" s="22"/>
      <c r="Q807" s="22"/>
      <c r="R807" s="22"/>
    </row>
    <row r="808" hidden="1">
      <c r="A808" s="93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19"/>
      <c r="P808" s="22"/>
      <c r="Q808" s="22"/>
      <c r="R808" s="22"/>
    </row>
    <row r="809" hidden="1">
      <c r="A809" s="93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19"/>
      <c r="P809" s="22"/>
      <c r="Q809" s="22"/>
      <c r="R809" s="22"/>
    </row>
    <row r="810" hidden="1">
      <c r="A810" s="93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19"/>
      <c r="P810" s="22"/>
      <c r="Q810" s="22"/>
      <c r="R810" s="22"/>
    </row>
    <row r="811" hidden="1">
      <c r="A811" s="93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19"/>
      <c r="P811" s="22"/>
      <c r="Q811" s="22"/>
      <c r="R811" s="22"/>
    </row>
    <row r="812" hidden="1">
      <c r="A812" s="93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19"/>
      <c r="P812" s="22"/>
      <c r="Q812" s="22"/>
      <c r="R812" s="22"/>
    </row>
    <row r="813" hidden="1">
      <c r="A813" s="93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19"/>
      <c r="P813" s="22"/>
      <c r="Q813" s="22"/>
      <c r="R813" s="22"/>
    </row>
    <row r="814" hidden="1">
      <c r="A814" s="93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19"/>
      <c r="P814" s="22"/>
      <c r="Q814" s="22"/>
      <c r="R814" s="22"/>
    </row>
    <row r="815" hidden="1">
      <c r="A815" s="93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19"/>
      <c r="P815" s="22"/>
      <c r="Q815" s="22"/>
      <c r="R815" s="22"/>
    </row>
    <row r="816" hidden="1">
      <c r="A816" s="93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19"/>
      <c r="P816" s="22"/>
      <c r="Q816" s="22"/>
      <c r="R816" s="22"/>
    </row>
    <row r="817" hidden="1">
      <c r="A817" s="93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19"/>
      <c r="P817" s="22"/>
      <c r="Q817" s="22"/>
      <c r="R817" s="22"/>
    </row>
    <row r="818" hidden="1">
      <c r="A818" s="93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19"/>
      <c r="P818" s="22"/>
      <c r="Q818" s="22"/>
      <c r="R818" s="22"/>
    </row>
    <row r="819" hidden="1">
      <c r="A819" s="93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19"/>
      <c r="P819" s="22"/>
      <c r="Q819" s="22"/>
      <c r="R819" s="22"/>
    </row>
    <row r="820" hidden="1">
      <c r="A820" s="93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19"/>
      <c r="P820" s="22"/>
      <c r="Q820" s="22"/>
      <c r="R820" s="22"/>
    </row>
    <row r="821" hidden="1">
      <c r="A821" s="93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19"/>
      <c r="P821" s="22"/>
      <c r="Q821" s="22"/>
      <c r="R821" s="22"/>
    </row>
    <row r="822" hidden="1">
      <c r="A822" s="93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19"/>
      <c r="P822" s="22"/>
      <c r="Q822" s="22"/>
      <c r="R822" s="22"/>
    </row>
    <row r="823" hidden="1">
      <c r="A823" s="93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19"/>
      <c r="P823" s="22"/>
      <c r="Q823" s="22"/>
      <c r="R823" s="22"/>
    </row>
    <row r="824" hidden="1">
      <c r="A824" s="93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19"/>
      <c r="P824" s="22"/>
      <c r="Q824" s="22"/>
      <c r="R824" s="22"/>
    </row>
    <row r="825" hidden="1">
      <c r="A825" s="93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19"/>
      <c r="P825" s="22"/>
      <c r="Q825" s="22"/>
      <c r="R825" s="22"/>
    </row>
    <row r="826" hidden="1">
      <c r="A826" s="93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19"/>
      <c r="P826" s="22"/>
      <c r="Q826" s="22"/>
      <c r="R826" s="22"/>
    </row>
    <row r="827" hidden="1">
      <c r="A827" s="93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19"/>
      <c r="P827" s="22"/>
      <c r="Q827" s="22"/>
      <c r="R827" s="22"/>
    </row>
    <row r="828" hidden="1">
      <c r="A828" s="93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19"/>
      <c r="P828" s="22"/>
      <c r="Q828" s="22"/>
      <c r="R828" s="22"/>
    </row>
    <row r="829" hidden="1">
      <c r="A829" s="93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19"/>
      <c r="P829" s="22"/>
      <c r="Q829" s="22"/>
      <c r="R829" s="22"/>
    </row>
    <row r="830" hidden="1">
      <c r="A830" s="93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19"/>
      <c r="P830" s="22"/>
      <c r="Q830" s="22"/>
      <c r="R830" s="22"/>
    </row>
    <row r="831" hidden="1">
      <c r="A831" s="93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19"/>
      <c r="P831" s="22"/>
      <c r="Q831" s="22"/>
      <c r="R831" s="22"/>
    </row>
    <row r="832" hidden="1">
      <c r="A832" s="93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19"/>
      <c r="P832" s="22"/>
      <c r="Q832" s="22"/>
      <c r="R832" s="22"/>
    </row>
    <row r="833" hidden="1">
      <c r="A833" s="93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19"/>
      <c r="P833" s="22"/>
      <c r="Q833" s="22"/>
      <c r="R833" s="22"/>
    </row>
    <row r="834" hidden="1">
      <c r="A834" s="93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19"/>
      <c r="P834" s="22"/>
      <c r="Q834" s="22"/>
      <c r="R834" s="22"/>
    </row>
    <row r="835" hidden="1">
      <c r="A835" s="93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19"/>
      <c r="P835" s="22"/>
      <c r="Q835" s="22"/>
      <c r="R835" s="22"/>
    </row>
    <row r="836" hidden="1">
      <c r="A836" s="93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19"/>
      <c r="P836" s="22"/>
      <c r="Q836" s="22"/>
      <c r="R836" s="22"/>
    </row>
    <row r="837" hidden="1">
      <c r="A837" s="93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19"/>
      <c r="P837" s="22"/>
      <c r="Q837" s="22"/>
      <c r="R837" s="22"/>
    </row>
    <row r="838" hidden="1">
      <c r="A838" s="93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19"/>
      <c r="P838" s="22"/>
      <c r="Q838" s="22"/>
      <c r="R838" s="22"/>
    </row>
    <row r="839" hidden="1">
      <c r="A839" s="93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19"/>
      <c r="P839" s="22"/>
      <c r="Q839" s="22"/>
      <c r="R839" s="22"/>
    </row>
    <row r="840" hidden="1">
      <c r="A840" s="93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19"/>
      <c r="P840" s="22"/>
      <c r="Q840" s="22"/>
      <c r="R840" s="22"/>
    </row>
    <row r="841" hidden="1">
      <c r="A841" s="93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19"/>
      <c r="P841" s="22"/>
      <c r="Q841" s="22"/>
      <c r="R841" s="22"/>
    </row>
    <row r="842" hidden="1">
      <c r="A842" s="93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19"/>
      <c r="P842" s="22"/>
      <c r="Q842" s="22"/>
      <c r="R842" s="22"/>
    </row>
    <row r="843" hidden="1">
      <c r="A843" s="93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19"/>
      <c r="P843" s="22"/>
      <c r="Q843" s="22"/>
      <c r="R843" s="22"/>
    </row>
    <row r="844" hidden="1">
      <c r="A844" s="93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19"/>
      <c r="P844" s="22"/>
      <c r="Q844" s="22"/>
      <c r="R844" s="22"/>
    </row>
    <row r="845" hidden="1">
      <c r="A845" s="93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19"/>
      <c r="P845" s="22"/>
      <c r="Q845" s="22"/>
      <c r="R845" s="22"/>
    </row>
    <row r="846" hidden="1">
      <c r="A846" s="93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19"/>
      <c r="P846" s="22"/>
      <c r="Q846" s="22"/>
      <c r="R846" s="22"/>
    </row>
    <row r="847" hidden="1">
      <c r="A847" s="93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19"/>
      <c r="P847" s="22"/>
      <c r="Q847" s="22"/>
      <c r="R847" s="22"/>
    </row>
    <row r="848" hidden="1">
      <c r="A848" s="93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19"/>
      <c r="P848" s="22"/>
      <c r="Q848" s="22"/>
      <c r="R848" s="22"/>
    </row>
    <row r="849" hidden="1">
      <c r="A849" s="93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19"/>
      <c r="P849" s="22"/>
      <c r="Q849" s="22"/>
      <c r="R849" s="22"/>
    </row>
    <row r="850" hidden="1">
      <c r="A850" s="93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19"/>
      <c r="P850" s="22"/>
      <c r="Q850" s="22"/>
      <c r="R850" s="22"/>
    </row>
    <row r="851" hidden="1">
      <c r="A851" s="93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19"/>
      <c r="P851" s="22"/>
      <c r="Q851" s="22"/>
      <c r="R851" s="22"/>
    </row>
    <row r="852" hidden="1">
      <c r="A852" s="93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19"/>
      <c r="P852" s="22"/>
      <c r="Q852" s="22"/>
      <c r="R852" s="22"/>
    </row>
    <row r="853" hidden="1">
      <c r="A853" s="93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19"/>
      <c r="P853" s="22"/>
      <c r="Q853" s="22"/>
      <c r="R853" s="22"/>
    </row>
    <row r="854" hidden="1">
      <c r="A854" s="93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19"/>
      <c r="P854" s="22"/>
      <c r="Q854" s="22"/>
      <c r="R854" s="22"/>
    </row>
    <row r="855" hidden="1">
      <c r="A855" s="93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19"/>
      <c r="P855" s="22"/>
      <c r="Q855" s="22"/>
      <c r="R855" s="22"/>
    </row>
    <row r="856" hidden="1">
      <c r="A856" s="93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19"/>
      <c r="P856" s="22"/>
      <c r="Q856" s="22"/>
      <c r="R856" s="22"/>
    </row>
    <row r="857" hidden="1">
      <c r="A857" s="93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19"/>
      <c r="P857" s="22"/>
      <c r="Q857" s="22"/>
      <c r="R857" s="22"/>
    </row>
    <row r="858" hidden="1">
      <c r="A858" s="93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19"/>
      <c r="P858" s="22"/>
      <c r="Q858" s="22"/>
      <c r="R858" s="22"/>
    </row>
    <row r="859" hidden="1">
      <c r="A859" s="93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19"/>
      <c r="P859" s="22"/>
      <c r="Q859" s="22"/>
      <c r="R859" s="22"/>
    </row>
    <row r="860" hidden="1">
      <c r="A860" s="93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19"/>
      <c r="P860" s="22"/>
      <c r="Q860" s="22"/>
      <c r="R860" s="22"/>
    </row>
    <row r="861" hidden="1">
      <c r="A861" s="93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19"/>
      <c r="P861" s="22"/>
      <c r="Q861" s="22"/>
      <c r="R861" s="22"/>
    </row>
    <row r="862" hidden="1">
      <c r="A862" s="93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19"/>
      <c r="P862" s="22"/>
      <c r="Q862" s="22"/>
      <c r="R862" s="22"/>
    </row>
    <row r="863" hidden="1">
      <c r="A863" s="93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19"/>
      <c r="P863" s="22"/>
      <c r="Q863" s="22"/>
      <c r="R863" s="22"/>
    </row>
    <row r="864" hidden="1">
      <c r="A864" s="93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19"/>
      <c r="P864" s="22"/>
      <c r="Q864" s="22"/>
      <c r="R864" s="22"/>
    </row>
    <row r="865" hidden="1">
      <c r="A865" s="93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19"/>
      <c r="P865" s="22"/>
      <c r="Q865" s="22"/>
      <c r="R865" s="22"/>
    </row>
    <row r="866" hidden="1">
      <c r="A866" s="93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19"/>
      <c r="P866" s="22"/>
      <c r="Q866" s="22"/>
      <c r="R866" s="22"/>
    </row>
    <row r="867" hidden="1">
      <c r="A867" s="93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19"/>
      <c r="P867" s="22"/>
      <c r="Q867" s="22"/>
      <c r="R867" s="22"/>
    </row>
    <row r="868" hidden="1">
      <c r="A868" s="93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19"/>
      <c r="P868" s="22"/>
      <c r="Q868" s="22"/>
      <c r="R868" s="22"/>
    </row>
    <row r="869" hidden="1">
      <c r="A869" s="93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19"/>
      <c r="P869" s="22"/>
      <c r="Q869" s="22"/>
      <c r="R869" s="22"/>
    </row>
    <row r="870" hidden="1">
      <c r="A870" s="93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19"/>
      <c r="P870" s="22"/>
      <c r="Q870" s="22"/>
      <c r="R870" s="22"/>
    </row>
    <row r="871" hidden="1">
      <c r="A871" s="93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19"/>
      <c r="P871" s="22"/>
      <c r="Q871" s="22"/>
      <c r="R871" s="22"/>
    </row>
    <row r="872" hidden="1">
      <c r="A872" s="93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19"/>
      <c r="P872" s="22"/>
      <c r="Q872" s="22"/>
      <c r="R872" s="22"/>
    </row>
    <row r="873" hidden="1">
      <c r="A873" s="93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19"/>
      <c r="P873" s="22"/>
      <c r="Q873" s="22"/>
      <c r="R873" s="22"/>
    </row>
    <row r="874" hidden="1">
      <c r="A874" s="93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19"/>
      <c r="P874" s="22"/>
      <c r="Q874" s="22"/>
      <c r="R874" s="22"/>
    </row>
    <row r="875" hidden="1">
      <c r="A875" s="93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19"/>
      <c r="P875" s="22"/>
      <c r="Q875" s="22"/>
      <c r="R875" s="22"/>
    </row>
    <row r="876" hidden="1">
      <c r="A876" s="93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19"/>
      <c r="P876" s="22"/>
      <c r="Q876" s="22"/>
      <c r="R876" s="22"/>
    </row>
    <row r="877" hidden="1">
      <c r="A877" s="93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19"/>
      <c r="P877" s="22"/>
      <c r="Q877" s="22"/>
      <c r="R877" s="22"/>
    </row>
    <row r="878" hidden="1">
      <c r="A878" s="93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19"/>
      <c r="P878" s="22"/>
      <c r="Q878" s="22"/>
      <c r="R878" s="22"/>
    </row>
    <row r="879" hidden="1">
      <c r="A879" s="93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19"/>
      <c r="P879" s="22"/>
      <c r="Q879" s="22"/>
      <c r="R879" s="22"/>
    </row>
    <row r="880" hidden="1">
      <c r="A880" s="93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19"/>
      <c r="P880" s="22"/>
      <c r="Q880" s="22"/>
      <c r="R880" s="22"/>
    </row>
    <row r="881" hidden="1">
      <c r="A881" s="93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19"/>
      <c r="P881" s="22"/>
      <c r="Q881" s="22"/>
      <c r="R881" s="22"/>
    </row>
    <row r="882" hidden="1">
      <c r="A882" s="93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19"/>
      <c r="P882" s="22"/>
      <c r="Q882" s="22"/>
      <c r="R882" s="22"/>
    </row>
    <row r="883" hidden="1">
      <c r="A883" s="93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19"/>
      <c r="P883" s="22"/>
      <c r="Q883" s="22"/>
      <c r="R883" s="22"/>
    </row>
    <row r="884" hidden="1">
      <c r="A884" s="93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19"/>
      <c r="P884" s="22"/>
      <c r="Q884" s="22"/>
      <c r="R884" s="22"/>
    </row>
    <row r="885" hidden="1">
      <c r="A885" s="93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19"/>
      <c r="P885" s="22"/>
      <c r="Q885" s="22"/>
      <c r="R885" s="22"/>
    </row>
    <row r="886" hidden="1">
      <c r="A886" s="93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19"/>
      <c r="P886" s="22"/>
      <c r="Q886" s="22"/>
      <c r="R886" s="22"/>
    </row>
    <row r="887" hidden="1">
      <c r="A887" s="93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19"/>
      <c r="P887" s="22"/>
      <c r="Q887" s="22"/>
      <c r="R887" s="22"/>
    </row>
    <row r="888" hidden="1">
      <c r="A888" s="93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19"/>
      <c r="P888" s="22"/>
      <c r="Q888" s="22"/>
      <c r="R888" s="22"/>
    </row>
    <row r="889" hidden="1">
      <c r="A889" s="93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19"/>
      <c r="P889" s="22"/>
      <c r="Q889" s="22"/>
      <c r="R889" s="22"/>
    </row>
    <row r="890" hidden="1">
      <c r="A890" s="93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19"/>
      <c r="P890" s="22"/>
      <c r="Q890" s="22"/>
      <c r="R890" s="22"/>
    </row>
    <row r="891" hidden="1">
      <c r="A891" s="93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19"/>
      <c r="P891" s="22"/>
      <c r="Q891" s="22"/>
      <c r="R891" s="22"/>
    </row>
    <row r="892" hidden="1">
      <c r="A892" s="93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19"/>
      <c r="P892" s="22"/>
      <c r="Q892" s="22"/>
      <c r="R892" s="22"/>
    </row>
    <row r="893" hidden="1">
      <c r="A893" s="93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19"/>
      <c r="P893" s="22"/>
      <c r="Q893" s="22"/>
      <c r="R893" s="22"/>
    </row>
    <row r="894" hidden="1">
      <c r="A894" s="93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19"/>
      <c r="P894" s="22"/>
      <c r="Q894" s="22"/>
      <c r="R894" s="22"/>
    </row>
    <row r="895" hidden="1">
      <c r="A895" s="93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19"/>
      <c r="P895" s="22"/>
      <c r="Q895" s="22"/>
      <c r="R895" s="22"/>
    </row>
    <row r="896" hidden="1">
      <c r="A896" s="93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19"/>
      <c r="P896" s="22"/>
      <c r="Q896" s="22"/>
      <c r="R896" s="22"/>
    </row>
    <row r="897" hidden="1">
      <c r="A897" s="93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19"/>
      <c r="P897" s="22"/>
      <c r="Q897" s="22"/>
      <c r="R897" s="22"/>
    </row>
    <row r="898" hidden="1">
      <c r="A898" s="93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19"/>
      <c r="P898" s="22"/>
      <c r="Q898" s="22"/>
      <c r="R898" s="22"/>
    </row>
    <row r="899" hidden="1">
      <c r="A899" s="93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19"/>
      <c r="P899" s="22"/>
      <c r="Q899" s="22"/>
      <c r="R899" s="22"/>
    </row>
    <row r="900" hidden="1">
      <c r="A900" s="93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19"/>
      <c r="P900" s="22"/>
      <c r="Q900" s="22"/>
      <c r="R900" s="22"/>
    </row>
    <row r="901" hidden="1">
      <c r="A901" s="93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19"/>
      <c r="P901" s="22"/>
      <c r="Q901" s="22"/>
      <c r="R901" s="22"/>
    </row>
    <row r="902" hidden="1">
      <c r="A902" s="93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19"/>
      <c r="P902" s="22"/>
      <c r="Q902" s="22"/>
      <c r="R902" s="22"/>
    </row>
    <row r="903" hidden="1">
      <c r="A903" s="93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19"/>
      <c r="P903" s="22"/>
      <c r="Q903" s="22"/>
      <c r="R903" s="22"/>
    </row>
    <row r="904" hidden="1">
      <c r="A904" s="93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19"/>
      <c r="P904" s="22"/>
      <c r="Q904" s="22"/>
      <c r="R904" s="22"/>
    </row>
    <row r="905" hidden="1">
      <c r="A905" s="93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19"/>
      <c r="P905" s="22"/>
      <c r="Q905" s="22"/>
      <c r="R905" s="22"/>
    </row>
    <row r="906" hidden="1">
      <c r="A906" s="93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19"/>
      <c r="P906" s="22"/>
      <c r="Q906" s="22"/>
      <c r="R906" s="22"/>
    </row>
    <row r="907" hidden="1">
      <c r="A907" s="93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19"/>
      <c r="P907" s="22"/>
      <c r="Q907" s="22"/>
      <c r="R907" s="22"/>
    </row>
    <row r="908" hidden="1">
      <c r="A908" s="93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19"/>
      <c r="P908" s="22"/>
      <c r="Q908" s="22"/>
      <c r="R908" s="22"/>
    </row>
    <row r="909" hidden="1">
      <c r="A909" s="93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19"/>
      <c r="P909" s="22"/>
      <c r="Q909" s="22"/>
      <c r="R909" s="22"/>
    </row>
    <row r="910" hidden="1">
      <c r="A910" s="93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19"/>
      <c r="P910" s="22"/>
      <c r="Q910" s="22"/>
      <c r="R910" s="22"/>
    </row>
    <row r="911" hidden="1">
      <c r="A911" s="93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19"/>
      <c r="P911" s="22"/>
      <c r="Q911" s="22"/>
      <c r="R911" s="22"/>
    </row>
    <row r="912" hidden="1">
      <c r="A912" s="93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19"/>
      <c r="P912" s="22"/>
      <c r="Q912" s="22"/>
      <c r="R912" s="22"/>
    </row>
    <row r="913" hidden="1">
      <c r="A913" s="93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19"/>
      <c r="P913" s="22"/>
      <c r="Q913" s="22"/>
      <c r="R913" s="22"/>
    </row>
    <row r="914" hidden="1">
      <c r="A914" s="93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19"/>
      <c r="P914" s="22"/>
      <c r="Q914" s="22"/>
      <c r="R914" s="22"/>
    </row>
    <row r="915" hidden="1">
      <c r="A915" s="93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19"/>
      <c r="P915" s="22"/>
      <c r="Q915" s="22"/>
      <c r="R915" s="22"/>
    </row>
    <row r="916" hidden="1">
      <c r="A916" s="93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19"/>
      <c r="P916" s="22"/>
      <c r="Q916" s="22"/>
      <c r="R916" s="22"/>
    </row>
    <row r="917" hidden="1">
      <c r="A917" s="93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19"/>
      <c r="P917" s="22"/>
      <c r="Q917" s="22"/>
      <c r="R917" s="22"/>
    </row>
    <row r="918" hidden="1">
      <c r="A918" s="93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19"/>
      <c r="P918" s="22"/>
      <c r="Q918" s="22"/>
      <c r="R918" s="22"/>
    </row>
    <row r="919" hidden="1">
      <c r="A919" s="93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19"/>
      <c r="P919" s="22"/>
      <c r="Q919" s="22"/>
      <c r="R919" s="22"/>
    </row>
    <row r="920" hidden="1">
      <c r="A920" s="93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19"/>
      <c r="P920" s="22"/>
      <c r="Q920" s="22"/>
      <c r="R920" s="22"/>
    </row>
    <row r="921" hidden="1">
      <c r="A921" s="93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19"/>
      <c r="P921" s="22"/>
      <c r="Q921" s="22"/>
      <c r="R921" s="22"/>
    </row>
    <row r="922" hidden="1">
      <c r="A922" s="93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19"/>
      <c r="P922" s="22"/>
      <c r="Q922" s="22"/>
      <c r="R922" s="22"/>
    </row>
    <row r="923" hidden="1">
      <c r="A923" s="93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19"/>
      <c r="P923" s="22"/>
      <c r="Q923" s="22"/>
      <c r="R923" s="22"/>
    </row>
    <row r="924" hidden="1">
      <c r="A924" s="93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19"/>
      <c r="P924" s="22"/>
      <c r="Q924" s="22"/>
      <c r="R924" s="22"/>
    </row>
    <row r="925" hidden="1">
      <c r="A925" s="93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19"/>
      <c r="P925" s="22"/>
      <c r="Q925" s="22"/>
      <c r="R925" s="22"/>
    </row>
    <row r="926" hidden="1">
      <c r="A926" s="93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19"/>
      <c r="P926" s="22"/>
      <c r="Q926" s="22"/>
      <c r="R926" s="22"/>
    </row>
    <row r="927" hidden="1">
      <c r="A927" s="93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19"/>
      <c r="P927" s="22"/>
      <c r="Q927" s="22"/>
      <c r="R927" s="22"/>
    </row>
    <row r="928" hidden="1">
      <c r="A928" s="93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19"/>
      <c r="P928" s="22"/>
      <c r="Q928" s="22"/>
      <c r="R928" s="22"/>
    </row>
    <row r="929" hidden="1">
      <c r="A929" s="93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19"/>
      <c r="P929" s="22"/>
      <c r="Q929" s="22"/>
      <c r="R929" s="22"/>
    </row>
    <row r="930" hidden="1">
      <c r="A930" s="93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19"/>
      <c r="P930" s="22"/>
      <c r="Q930" s="22"/>
      <c r="R930" s="22"/>
    </row>
    <row r="931" hidden="1">
      <c r="A931" s="93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19"/>
      <c r="P931" s="22"/>
      <c r="Q931" s="22"/>
      <c r="R931" s="22"/>
    </row>
    <row r="932" hidden="1">
      <c r="A932" s="93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19"/>
      <c r="P932" s="22"/>
      <c r="Q932" s="22"/>
      <c r="R932" s="22"/>
    </row>
    <row r="933" hidden="1">
      <c r="A933" s="93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19"/>
      <c r="P933" s="22"/>
      <c r="Q933" s="22"/>
      <c r="R933" s="22"/>
    </row>
    <row r="934" hidden="1">
      <c r="A934" s="93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19"/>
      <c r="P934" s="22"/>
      <c r="Q934" s="22"/>
      <c r="R934" s="22"/>
    </row>
    <row r="935" hidden="1">
      <c r="A935" s="93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19"/>
      <c r="P935" s="22"/>
      <c r="Q935" s="22"/>
      <c r="R935" s="22"/>
    </row>
    <row r="936" hidden="1">
      <c r="A936" s="93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19"/>
      <c r="P936" s="22"/>
      <c r="Q936" s="22"/>
      <c r="R936" s="22"/>
    </row>
    <row r="937" hidden="1">
      <c r="A937" s="93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19"/>
      <c r="P937" s="22"/>
      <c r="Q937" s="22"/>
      <c r="R937" s="22"/>
    </row>
    <row r="938" hidden="1">
      <c r="A938" s="93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19"/>
      <c r="P938" s="22"/>
      <c r="Q938" s="22"/>
      <c r="R938" s="22"/>
    </row>
    <row r="939" hidden="1">
      <c r="A939" s="93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19"/>
      <c r="P939" s="22"/>
      <c r="Q939" s="22"/>
      <c r="R939" s="22"/>
    </row>
    <row r="940" hidden="1">
      <c r="A940" s="93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19"/>
      <c r="P940" s="22"/>
      <c r="Q940" s="22"/>
      <c r="R940" s="22"/>
    </row>
    <row r="941" hidden="1">
      <c r="A941" s="93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19"/>
      <c r="P941" s="22"/>
      <c r="Q941" s="22"/>
      <c r="R941" s="22"/>
    </row>
    <row r="942" hidden="1">
      <c r="A942" s="93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19"/>
      <c r="P942" s="22"/>
      <c r="Q942" s="22"/>
      <c r="R942" s="22"/>
    </row>
    <row r="943" hidden="1">
      <c r="A943" s="93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19"/>
      <c r="P943" s="22"/>
      <c r="Q943" s="22"/>
      <c r="R943" s="22"/>
    </row>
    <row r="944" hidden="1">
      <c r="A944" s="93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19"/>
      <c r="P944" s="22"/>
      <c r="Q944" s="22"/>
      <c r="R944" s="22"/>
    </row>
    <row r="945" hidden="1">
      <c r="A945" s="93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19"/>
      <c r="P945" s="22"/>
      <c r="Q945" s="22"/>
      <c r="R945" s="22"/>
    </row>
    <row r="946" hidden="1">
      <c r="A946" s="93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19"/>
      <c r="P946" s="22"/>
      <c r="Q946" s="22"/>
      <c r="R946" s="22"/>
    </row>
    <row r="947" hidden="1">
      <c r="A947" s="93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19"/>
      <c r="P947" s="22"/>
      <c r="Q947" s="22"/>
      <c r="R947" s="22"/>
    </row>
    <row r="948" hidden="1">
      <c r="A948" s="93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19"/>
      <c r="P948" s="22"/>
      <c r="Q948" s="22"/>
      <c r="R948" s="22"/>
    </row>
    <row r="949" hidden="1">
      <c r="A949" s="93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19"/>
      <c r="P949" s="22"/>
      <c r="Q949" s="22"/>
      <c r="R949" s="22"/>
    </row>
    <row r="950" hidden="1">
      <c r="A950" s="93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19"/>
      <c r="P950" s="22"/>
      <c r="Q950" s="22"/>
      <c r="R950" s="22"/>
    </row>
    <row r="951" hidden="1">
      <c r="A951" s="93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19"/>
      <c r="P951" s="22"/>
      <c r="Q951" s="22"/>
      <c r="R951" s="22"/>
    </row>
    <row r="952" hidden="1">
      <c r="A952" s="93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19"/>
      <c r="P952" s="22"/>
      <c r="Q952" s="22"/>
      <c r="R952" s="22"/>
    </row>
    <row r="953" hidden="1">
      <c r="A953" s="93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19"/>
      <c r="P953" s="22"/>
      <c r="Q953" s="22"/>
      <c r="R953" s="22"/>
    </row>
    <row r="954" hidden="1">
      <c r="A954" s="93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19"/>
      <c r="P954" s="22"/>
      <c r="Q954" s="22"/>
      <c r="R954" s="22"/>
    </row>
    <row r="955" hidden="1">
      <c r="A955" s="93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19"/>
      <c r="P955" s="22"/>
      <c r="Q955" s="22"/>
      <c r="R955" s="22"/>
    </row>
    <row r="956" hidden="1">
      <c r="A956" s="93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19"/>
      <c r="P956" s="22"/>
      <c r="Q956" s="22"/>
      <c r="R956" s="22"/>
    </row>
    <row r="957" hidden="1">
      <c r="A957" s="93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19"/>
      <c r="P957" s="22"/>
      <c r="Q957" s="22"/>
      <c r="R957" s="22"/>
    </row>
    <row r="958" hidden="1">
      <c r="A958" s="93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19"/>
      <c r="P958" s="22"/>
      <c r="Q958" s="22"/>
      <c r="R958" s="22"/>
    </row>
    <row r="959" hidden="1">
      <c r="A959" s="93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19"/>
      <c r="P959" s="22"/>
      <c r="Q959" s="22"/>
      <c r="R959" s="22"/>
    </row>
    <row r="960" hidden="1">
      <c r="A960" s="93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19"/>
      <c r="P960" s="22"/>
      <c r="Q960" s="22"/>
      <c r="R960" s="22"/>
    </row>
    <row r="961" hidden="1">
      <c r="A961" s="93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19"/>
      <c r="P961" s="22"/>
      <c r="Q961" s="22"/>
      <c r="R961" s="22"/>
    </row>
    <row r="962" hidden="1">
      <c r="A962" s="93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19"/>
      <c r="P962" s="22"/>
      <c r="Q962" s="22"/>
      <c r="R962" s="22"/>
    </row>
    <row r="963" hidden="1">
      <c r="A963" s="93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19"/>
      <c r="P963" s="22"/>
      <c r="Q963" s="22"/>
      <c r="R963" s="22"/>
    </row>
    <row r="964" hidden="1">
      <c r="A964" s="93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19"/>
      <c r="P964" s="22"/>
      <c r="Q964" s="22"/>
      <c r="R964" s="22"/>
    </row>
    <row r="965" hidden="1">
      <c r="A965" s="93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19"/>
      <c r="P965" s="22"/>
      <c r="Q965" s="22"/>
      <c r="R965" s="22"/>
    </row>
    <row r="966" hidden="1">
      <c r="A966" s="93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19"/>
      <c r="P966" s="22"/>
      <c r="Q966" s="22"/>
      <c r="R966" s="22"/>
    </row>
    <row r="967" hidden="1">
      <c r="A967" s="93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19"/>
      <c r="P967" s="22"/>
      <c r="Q967" s="22"/>
      <c r="R967" s="22"/>
    </row>
    <row r="968" hidden="1">
      <c r="A968" s="93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19"/>
      <c r="P968" s="22"/>
      <c r="Q968" s="22"/>
      <c r="R968" s="22"/>
    </row>
    <row r="969" hidden="1">
      <c r="A969" s="93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19"/>
      <c r="P969" s="22"/>
      <c r="Q969" s="22"/>
      <c r="R969" s="22"/>
    </row>
    <row r="970" hidden="1">
      <c r="A970" s="93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19"/>
      <c r="P970" s="22"/>
      <c r="Q970" s="22"/>
      <c r="R970" s="22"/>
    </row>
    <row r="971" hidden="1">
      <c r="A971" s="93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19"/>
      <c r="P971" s="22"/>
      <c r="Q971" s="22"/>
      <c r="R971" s="22"/>
    </row>
    <row r="972" hidden="1">
      <c r="A972" s="93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19"/>
      <c r="P972" s="22"/>
      <c r="Q972" s="22"/>
      <c r="R972" s="22"/>
    </row>
    <row r="973" hidden="1">
      <c r="A973" s="93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19"/>
      <c r="P973" s="22"/>
      <c r="Q973" s="22"/>
      <c r="R973" s="22"/>
    </row>
    <row r="974" hidden="1">
      <c r="A974" s="93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19"/>
      <c r="P974" s="22"/>
      <c r="Q974" s="22"/>
      <c r="R974" s="22"/>
    </row>
    <row r="975" hidden="1">
      <c r="A975" s="93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19"/>
      <c r="P975" s="22"/>
      <c r="Q975" s="22"/>
      <c r="R975" s="22"/>
    </row>
    <row r="976" hidden="1">
      <c r="A976" s="93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19"/>
      <c r="P976" s="22"/>
      <c r="Q976" s="22"/>
      <c r="R976" s="22"/>
    </row>
    <row r="977" hidden="1">
      <c r="A977" s="93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19"/>
      <c r="P977" s="22"/>
      <c r="Q977" s="22"/>
      <c r="R977" s="22"/>
    </row>
    <row r="978" hidden="1">
      <c r="A978" s="93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19"/>
      <c r="P978" s="22"/>
      <c r="Q978" s="22"/>
      <c r="R978" s="22"/>
    </row>
    <row r="979" hidden="1">
      <c r="A979" s="93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19"/>
      <c r="P979" s="22"/>
      <c r="Q979" s="22"/>
      <c r="R979" s="22"/>
    </row>
    <row r="980" hidden="1">
      <c r="A980" s="93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19"/>
      <c r="P980" s="22"/>
      <c r="Q980" s="22"/>
      <c r="R980" s="22"/>
    </row>
    <row r="981" hidden="1">
      <c r="A981" s="93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19"/>
      <c r="P981" s="22"/>
      <c r="Q981" s="22"/>
      <c r="R981" s="22"/>
    </row>
    <row r="982" hidden="1">
      <c r="A982" s="93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19"/>
      <c r="P982" s="22"/>
      <c r="Q982" s="22"/>
      <c r="R982" s="22"/>
    </row>
    <row r="983" hidden="1">
      <c r="A983" s="93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19"/>
      <c r="P983" s="22"/>
      <c r="Q983" s="22"/>
      <c r="R983" s="22"/>
    </row>
    <row r="984" hidden="1">
      <c r="A984" s="93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19"/>
      <c r="P984" s="22"/>
      <c r="Q984" s="22"/>
      <c r="R984" s="22"/>
    </row>
    <row r="985" hidden="1">
      <c r="A985" s="93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19"/>
      <c r="P985" s="22"/>
      <c r="Q985" s="22"/>
      <c r="R985" s="22"/>
    </row>
    <row r="986" hidden="1">
      <c r="A986" s="93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19"/>
      <c r="P986" s="22"/>
      <c r="Q986" s="22"/>
      <c r="R986" s="22"/>
    </row>
    <row r="987" hidden="1">
      <c r="A987" s="93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19"/>
      <c r="P987" s="22"/>
      <c r="Q987" s="22"/>
      <c r="R987" s="22"/>
    </row>
    <row r="988" hidden="1">
      <c r="A988" s="93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19"/>
      <c r="P988" s="22"/>
      <c r="Q988" s="22"/>
      <c r="R988" s="22"/>
    </row>
    <row r="989" hidden="1">
      <c r="A989" s="93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19"/>
      <c r="P989" s="22"/>
      <c r="Q989" s="22"/>
      <c r="R989" s="22"/>
    </row>
    <row r="990" hidden="1">
      <c r="A990" s="93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19"/>
      <c r="P990" s="22"/>
      <c r="Q990" s="22"/>
      <c r="R990" s="22"/>
    </row>
    <row r="991" hidden="1">
      <c r="A991" s="93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19"/>
      <c r="P991" s="22"/>
      <c r="Q991" s="22"/>
      <c r="R991" s="22"/>
    </row>
    <row r="992" hidden="1">
      <c r="A992" s="93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19"/>
      <c r="P992" s="22"/>
      <c r="Q992" s="22"/>
      <c r="R992" s="22"/>
    </row>
    <row r="993" hidden="1">
      <c r="A993" s="93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19"/>
      <c r="P993" s="22"/>
      <c r="Q993" s="22"/>
      <c r="R993" s="22"/>
    </row>
    <row r="994" hidden="1">
      <c r="A994" s="93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19"/>
      <c r="P994" s="22"/>
      <c r="Q994" s="22"/>
      <c r="R994" s="22"/>
    </row>
    <row r="995" hidden="1">
      <c r="A995" s="93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19"/>
      <c r="P995" s="22"/>
      <c r="Q995" s="22"/>
      <c r="R995" s="22"/>
    </row>
    <row r="996" hidden="1">
      <c r="A996" s="93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19"/>
      <c r="P996" s="22"/>
      <c r="Q996" s="22"/>
      <c r="R996" s="22"/>
    </row>
    <row r="997" hidden="1">
      <c r="A997" s="93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19"/>
      <c r="P997" s="22"/>
      <c r="Q997" s="22"/>
      <c r="R997" s="22"/>
    </row>
    <row r="998" hidden="1">
      <c r="A998" s="93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19"/>
      <c r="P998" s="22"/>
      <c r="Q998" s="22"/>
      <c r="R998" s="22"/>
    </row>
    <row r="999" hidden="1">
      <c r="A999" s="93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19"/>
      <c r="P999" s="22"/>
      <c r="Q999" s="22"/>
      <c r="R999" s="22"/>
    </row>
    <row r="1000" hidden="1">
      <c r="A1000" s="93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19"/>
      <c r="P1000" s="22"/>
      <c r="Q1000" s="22"/>
      <c r="R1000" s="22"/>
    </row>
    <row r="1001" hidden="1">
      <c r="A1001" s="93"/>
      <c r="B1001" s="66"/>
      <c r="C1001" s="66"/>
      <c r="D1001" s="66"/>
      <c r="E1001" s="66"/>
      <c r="F1001" s="66"/>
      <c r="G1001" s="66"/>
      <c r="H1001" s="66"/>
      <c r="I1001" s="66"/>
      <c r="J1001" s="66"/>
      <c r="K1001" s="66"/>
      <c r="L1001" s="66"/>
      <c r="M1001" s="66"/>
      <c r="N1001" s="66"/>
      <c r="O1001" s="19"/>
      <c r="P1001" s="22"/>
      <c r="Q1001" s="22"/>
      <c r="R1001" s="22"/>
    </row>
    <row r="1002" hidden="1">
      <c r="A1002" s="93"/>
      <c r="B1002" s="66"/>
      <c r="C1002" s="66"/>
      <c r="D1002" s="66"/>
      <c r="E1002" s="66"/>
      <c r="F1002" s="66"/>
      <c r="G1002" s="66"/>
      <c r="H1002" s="66"/>
      <c r="I1002" s="66"/>
      <c r="J1002" s="66"/>
      <c r="K1002" s="66"/>
      <c r="L1002" s="66"/>
      <c r="M1002" s="66"/>
      <c r="N1002" s="66"/>
      <c r="O1002" s="19"/>
      <c r="P1002" s="22"/>
      <c r="Q1002" s="22"/>
      <c r="R1002" s="22"/>
    </row>
    <row r="1003" hidden="1">
      <c r="A1003" s="93"/>
      <c r="B1003" s="66"/>
      <c r="C1003" s="66"/>
      <c r="D1003" s="66"/>
      <c r="E1003" s="66"/>
      <c r="F1003" s="66"/>
      <c r="G1003" s="66"/>
      <c r="H1003" s="66"/>
      <c r="I1003" s="66"/>
      <c r="J1003" s="66"/>
      <c r="K1003" s="66"/>
      <c r="L1003" s="66"/>
      <c r="M1003" s="66"/>
      <c r="N1003" s="66"/>
      <c r="O1003" s="19"/>
      <c r="P1003" s="22"/>
      <c r="Q1003" s="22"/>
      <c r="R1003" s="22"/>
    </row>
    <row r="1004" hidden="1">
      <c r="A1004" s="93"/>
      <c r="B1004" s="66"/>
      <c r="C1004" s="66"/>
      <c r="D1004" s="66"/>
      <c r="E1004" s="66"/>
      <c r="F1004" s="66"/>
      <c r="G1004" s="66"/>
      <c r="H1004" s="66"/>
      <c r="I1004" s="66"/>
      <c r="J1004" s="66"/>
      <c r="K1004" s="66"/>
      <c r="L1004" s="66"/>
      <c r="M1004" s="66"/>
      <c r="N1004" s="66"/>
      <c r="O1004" s="19"/>
      <c r="P1004" s="22"/>
      <c r="Q1004" s="22"/>
      <c r="R1004" s="22"/>
    </row>
    <row r="1005" hidden="1">
      <c r="A1005" s="93"/>
      <c r="B1005" s="66"/>
      <c r="C1005" s="66"/>
      <c r="D1005" s="66"/>
      <c r="E1005" s="66"/>
      <c r="F1005" s="66"/>
      <c r="G1005" s="66"/>
      <c r="H1005" s="66"/>
      <c r="I1005" s="66"/>
      <c r="J1005" s="66"/>
      <c r="K1005" s="66"/>
      <c r="L1005" s="66"/>
      <c r="M1005" s="66"/>
      <c r="N1005" s="66"/>
      <c r="O1005" s="19"/>
      <c r="P1005" s="22"/>
      <c r="Q1005" s="22"/>
      <c r="R1005" s="22"/>
    </row>
    <row r="1006" hidden="1">
      <c r="A1006" s="93"/>
      <c r="B1006" s="66"/>
      <c r="C1006" s="66"/>
      <c r="D1006" s="66"/>
      <c r="E1006" s="66"/>
      <c r="F1006" s="66"/>
      <c r="G1006" s="66"/>
      <c r="H1006" s="66"/>
      <c r="I1006" s="66"/>
      <c r="J1006" s="66"/>
      <c r="K1006" s="66"/>
      <c r="L1006" s="66"/>
      <c r="M1006" s="66"/>
      <c r="N1006" s="66"/>
      <c r="O1006" s="19"/>
      <c r="P1006" s="22"/>
      <c r="Q1006" s="22"/>
      <c r="R1006" s="22"/>
    </row>
    <row r="1007" hidden="1">
      <c r="A1007" s="93"/>
      <c r="B1007" s="66"/>
      <c r="C1007" s="66"/>
      <c r="D1007" s="66"/>
      <c r="E1007" s="66"/>
      <c r="F1007" s="66"/>
      <c r="G1007" s="66"/>
      <c r="H1007" s="66"/>
      <c r="I1007" s="66"/>
      <c r="J1007" s="66"/>
      <c r="K1007" s="66"/>
      <c r="L1007" s="66"/>
      <c r="M1007" s="66"/>
      <c r="N1007" s="66"/>
      <c r="O1007" s="19"/>
      <c r="P1007" s="22"/>
      <c r="Q1007" s="22"/>
      <c r="R1007" s="22"/>
    </row>
    <row r="1008" hidden="1">
      <c r="A1008" s="93"/>
      <c r="B1008" s="66"/>
      <c r="C1008" s="66"/>
      <c r="D1008" s="66"/>
      <c r="E1008" s="66"/>
      <c r="F1008" s="66"/>
      <c r="G1008" s="66"/>
      <c r="H1008" s="66"/>
      <c r="I1008" s="66"/>
      <c r="J1008" s="66"/>
      <c r="K1008" s="66"/>
      <c r="L1008" s="66"/>
      <c r="M1008" s="66"/>
      <c r="N1008" s="66"/>
      <c r="O1008" s="19"/>
      <c r="P1008" s="22"/>
      <c r="Q1008" s="22"/>
      <c r="R1008" s="22"/>
    </row>
    <row r="1009" hidden="1">
      <c r="A1009" s="93"/>
      <c r="B1009" s="66"/>
      <c r="C1009" s="66"/>
      <c r="D1009" s="66"/>
      <c r="E1009" s="66"/>
      <c r="F1009" s="66"/>
      <c r="G1009" s="66"/>
      <c r="H1009" s="66"/>
      <c r="I1009" s="66"/>
      <c r="J1009" s="66"/>
      <c r="K1009" s="66"/>
      <c r="L1009" s="66"/>
      <c r="M1009" s="66"/>
      <c r="N1009" s="66"/>
      <c r="O1009" s="19"/>
      <c r="P1009" s="22"/>
      <c r="Q1009" s="22"/>
      <c r="R1009" s="22"/>
    </row>
    <row r="1010" hidden="1">
      <c r="A1010" s="93"/>
      <c r="B1010" s="66"/>
      <c r="C1010" s="66"/>
      <c r="D1010" s="66"/>
      <c r="E1010" s="66"/>
      <c r="F1010" s="66"/>
      <c r="G1010" s="66"/>
      <c r="H1010" s="66"/>
      <c r="I1010" s="66"/>
      <c r="J1010" s="66"/>
      <c r="K1010" s="66"/>
      <c r="L1010" s="66"/>
      <c r="M1010" s="66"/>
      <c r="N1010" s="66"/>
      <c r="O1010" s="19"/>
      <c r="P1010" s="22"/>
      <c r="Q1010" s="22"/>
      <c r="R1010" s="22"/>
    </row>
    <row r="1011" hidden="1">
      <c r="A1011" s="93"/>
      <c r="B1011" s="66"/>
      <c r="C1011" s="66"/>
      <c r="D1011" s="66"/>
      <c r="E1011" s="66"/>
      <c r="F1011" s="66"/>
      <c r="G1011" s="66"/>
      <c r="H1011" s="66"/>
      <c r="I1011" s="66"/>
      <c r="J1011" s="66"/>
      <c r="K1011" s="66"/>
      <c r="L1011" s="66"/>
      <c r="M1011" s="66"/>
      <c r="N1011" s="66"/>
      <c r="O1011" s="19"/>
      <c r="P1011" s="22"/>
      <c r="Q1011" s="22"/>
      <c r="R1011" s="22"/>
    </row>
    <row r="1012" hidden="1">
      <c r="A1012" s="93"/>
      <c r="B1012" s="66"/>
      <c r="C1012" s="66"/>
      <c r="D1012" s="66"/>
      <c r="E1012" s="66"/>
      <c r="F1012" s="66"/>
      <c r="G1012" s="66"/>
      <c r="H1012" s="66"/>
      <c r="I1012" s="66"/>
      <c r="J1012" s="66"/>
      <c r="K1012" s="66"/>
      <c r="L1012" s="66"/>
      <c r="M1012" s="66"/>
      <c r="N1012" s="66"/>
      <c r="O1012" s="19"/>
      <c r="P1012" s="22"/>
      <c r="Q1012" s="22"/>
      <c r="R1012" s="22"/>
    </row>
    <row r="1013" hidden="1">
      <c r="A1013" s="93"/>
      <c r="B1013" s="66"/>
      <c r="C1013" s="66"/>
      <c r="D1013" s="66"/>
      <c r="E1013" s="66"/>
      <c r="F1013" s="66"/>
      <c r="G1013" s="66"/>
      <c r="H1013" s="66"/>
      <c r="I1013" s="66"/>
      <c r="J1013" s="66"/>
      <c r="K1013" s="66"/>
      <c r="L1013" s="66"/>
      <c r="M1013" s="66"/>
      <c r="N1013" s="66"/>
      <c r="O1013" s="19"/>
      <c r="P1013" s="22"/>
      <c r="Q1013" s="22"/>
      <c r="R1013" s="22"/>
    </row>
    <row r="1014" hidden="1">
      <c r="A1014" s="93"/>
      <c r="B1014" s="66"/>
      <c r="C1014" s="66"/>
      <c r="D1014" s="66"/>
      <c r="E1014" s="66"/>
      <c r="F1014" s="66"/>
      <c r="G1014" s="66"/>
      <c r="H1014" s="66"/>
      <c r="I1014" s="66"/>
      <c r="J1014" s="66"/>
      <c r="K1014" s="66"/>
      <c r="L1014" s="66"/>
      <c r="M1014" s="66"/>
      <c r="N1014" s="66"/>
      <c r="O1014" s="19"/>
      <c r="P1014" s="22"/>
      <c r="Q1014" s="22"/>
      <c r="R1014" s="22"/>
    </row>
    <row r="1015" hidden="1">
      <c r="A1015" s="93"/>
      <c r="B1015" s="66"/>
      <c r="C1015" s="66"/>
      <c r="D1015" s="66"/>
      <c r="E1015" s="66"/>
      <c r="F1015" s="66"/>
      <c r="G1015" s="66"/>
      <c r="H1015" s="66"/>
      <c r="I1015" s="66"/>
      <c r="J1015" s="66"/>
      <c r="K1015" s="66"/>
      <c r="L1015" s="66"/>
      <c r="M1015" s="66"/>
      <c r="N1015" s="66"/>
      <c r="O1015" s="19"/>
      <c r="P1015" s="22"/>
      <c r="Q1015" s="22"/>
      <c r="R1015" s="22"/>
    </row>
    <row r="1016" hidden="1">
      <c r="A1016" s="93"/>
      <c r="B1016" s="66"/>
      <c r="C1016" s="66"/>
      <c r="D1016" s="66"/>
      <c r="E1016" s="66"/>
      <c r="F1016" s="66"/>
      <c r="G1016" s="66"/>
      <c r="H1016" s="66"/>
      <c r="I1016" s="66"/>
      <c r="J1016" s="66"/>
      <c r="K1016" s="66"/>
      <c r="L1016" s="66"/>
      <c r="M1016" s="66"/>
      <c r="N1016" s="66"/>
      <c r="O1016" s="19"/>
      <c r="P1016" s="22"/>
      <c r="Q1016" s="22"/>
      <c r="R1016" s="22"/>
    </row>
    <row r="1017" hidden="1">
      <c r="A1017" s="93"/>
      <c r="B1017" s="66"/>
      <c r="C1017" s="66"/>
      <c r="D1017" s="66"/>
      <c r="E1017" s="66"/>
      <c r="F1017" s="66"/>
      <c r="G1017" s="66"/>
      <c r="H1017" s="66"/>
      <c r="I1017" s="66"/>
      <c r="J1017" s="66"/>
      <c r="K1017" s="66"/>
      <c r="L1017" s="66"/>
      <c r="M1017" s="66"/>
      <c r="N1017" s="66"/>
      <c r="O1017" s="19"/>
      <c r="P1017" s="22"/>
      <c r="Q1017" s="22"/>
      <c r="R1017" s="22"/>
    </row>
    <row r="1018" hidden="1">
      <c r="A1018" s="93"/>
      <c r="B1018" s="66"/>
      <c r="C1018" s="66"/>
      <c r="D1018" s="66"/>
      <c r="E1018" s="66"/>
      <c r="F1018" s="66"/>
      <c r="G1018" s="66"/>
      <c r="H1018" s="66"/>
      <c r="I1018" s="66"/>
      <c r="J1018" s="66"/>
      <c r="K1018" s="66"/>
      <c r="L1018" s="66"/>
      <c r="M1018" s="66"/>
      <c r="N1018" s="66"/>
      <c r="O1018" s="19"/>
      <c r="P1018" s="22"/>
      <c r="Q1018" s="22"/>
      <c r="R1018" s="22"/>
    </row>
    <row r="1019" hidden="1">
      <c r="A1019" s="93"/>
      <c r="B1019" s="66"/>
      <c r="C1019" s="66"/>
      <c r="D1019" s="66"/>
      <c r="E1019" s="66"/>
      <c r="F1019" s="66"/>
      <c r="G1019" s="66"/>
      <c r="H1019" s="66"/>
      <c r="I1019" s="66"/>
      <c r="J1019" s="66"/>
      <c r="K1019" s="66"/>
      <c r="L1019" s="66"/>
      <c r="M1019" s="66"/>
      <c r="N1019" s="66"/>
      <c r="O1019" s="19"/>
      <c r="P1019" s="22"/>
      <c r="Q1019" s="22"/>
      <c r="R1019" s="22"/>
    </row>
    <row r="1020" hidden="1">
      <c r="A1020" s="93"/>
      <c r="B1020" s="66"/>
      <c r="C1020" s="66"/>
      <c r="D1020" s="66"/>
      <c r="E1020" s="66"/>
      <c r="F1020" s="66"/>
      <c r="G1020" s="66"/>
      <c r="H1020" s="66"/>
      <c r="I1020" s="66"/>
      <c r="J1020" s="66"/>
      <c r="K1020" s="66"/>
      <c r="L1020" s="66"/>
      <c r="M1020" s="66"/>
      <c r="N1020" s="66"/>
      <c r="O1020" s="19"/>
      <c r="P1020" s="22"/>
      <c r="Q1020" s="22"/>
      <c r="R1020" s="22"/>
    </row>
    <row r="1021" hidden="1">
      <c r="A1021" s="93"/>
      <c r="B1021" s="66"/>
      <c r="C1021" s="66"/>
      <c r="D1021" s="66"/>
      <c r="E1021" s="66"/>
      <c r="F1021" s="66"/>
      <c r="G1021" s="66"/>
      <c r="H1021" s="66"/>
      <c r="I1021" s="66"/>
      <c r="J1021" s="66"/>
      <c r="K1021" s="66"/>
      <c r="L1021" s="66"/>
      <c r="M1021" s="66"/>
      <c r="N1021" s="66"/>
      <c r="O1021" s="19"/>
      <c r="P1021" s="22"/>
      <c r="Q1021" s="22"/>
      <c r="R1021" s="22"/>
    </row>
    <row r="1022" hidden="1">
      <c r="A1022" s="93"/>
      <c r="B1022" s="66"/>
      <c r="C1022" s="66"/>
      <c r="D1022" s="66"/>
      <c r="E1022" s="66"/>
      <c r="F1022" s="66"/>
      <c r="G1022" s="66"/>
      <c r="H1022" s="66"/>
      <c r="I1022" s="66"/>
      <c r="J1022" s="66"/>
      <c r="K1022" s="66"/>
      <c r="L1022" s="66"/>
      <c r="M1022" s="66"/>
      <c r="N1022" s="66"/>
      <c r="O1022" s="19"/>
      <c r="P1022" s="22"/>
      <c r="Q1022" s="22"/>
      <c r="R1022" s="22"/>
    </row>
    <row r="1023" hidden="1">
      <c r="A1023" s="93"/>
      <c r="B1023" s="66"/>
      <c r="C1023" s="66"/>
      <c r="D1023" s="66"/>
      <c r="E1023" s="66"/>
      <c r="F1023" s="66"/>
      <c r="G1023" s="66"/>
      <c r="H1023" s="66"/>
      <c r="I1023" s="66"/>
      <c r="J1023" s="66"/>
      <c r="K1023" s="66"/>
      <c r="L1023" s="66"/>
      <c r="M1023" s="66"/>
      <c r="N1023" s="66"/>
      <c r="O1023" s="19"/>
      <c r="P1023" s="22"/>
      <c r="Q1023" s="22"/>
      <c r="R1023" s="22"/>
    </row>
    <row r="1024" hidden="1">
      <c r="A1024" s="93"/>
      <c r="B1024" s="66"/>
      <c r="C1024" s="66"/>
      <c r="D1024" s="66"/>
      <c r="E1024" s="66"/>
      <c r="F1024" s="66"/>
      <c r="G1024" s="66"/>
      <c r="H1024" s="66"/>
      <c r="I1024" s="66"/>
      <c r="J1024" s="66"/>
      <c r="K1024" s="66"/>
      <c r="L1024" s="66"/>
      <c r="M1024" s="66"/>
      <c r="N1024" s="66"/>
      <c r="O1024" s="19"/>
      <c r="P1024" s="22"/>
      <c r="Q1024" s="22"/>
      <c r="R1024" s="22"/>
    </row>
    <row r="1025" hidden="1">
      <c r="A1025" s="93"/>
      <c r="B1025" s="66"/>
      <c r="C1025" s="66"/>
      <c r="D1025" s="66"/>
      <c r="E1025" s="66"/>
      <c r="F1025" s="66"/>
      <c r="G1025" s="66"/>
      <c r="H1025" s="66"/>
      <c r="I1025" s="66"/>
      <c r="J1025" s="66"/>
      <c r="K1025" s="66"/>
      <c r="L1025" s="66"/>
      <c r="M1025" s="66"/>
      <c r="N1025" s="66"/>
      <c r="O1025" s="19"/>
      <c r="P1025" s="22"/>
      <c r="Q1025" s="22"/>
      <c r="R1025" s="22"/>
    </row>
    <row r="1026" hidden="1">
      <c r="A1026" s="93"/>
      <c r="B1026" s="66"/>
      <c r="C1026" s="66"/>
      <c r="D1026" s="66"/>
      <c r="E1026" s="66"/>
      <c r="F1026" s="66"/>
      <c r="G1026" s="66"/>
      <c r="H1026" s="66"/>
      <c r="I1026" s="66"/>
      <c r="J1026" s="66"/>
      <c r="K1026" s="66"/>
      <c r="L1026" s="66"/>
      <c r="M1026" s="66"/>
      <c r="N1026" s="66"/>
      <c r="O1026" s="19"/>
      <c r="P1026" s="22"/>
      <c r="Q1026" s="22"/>
      <c r="R1026" s="22"/>
    </row>
    <row r="1027" hidden="1">
      <c r="A1027" s="93"/>
      <c r="B1027" s="66"/>
      <c r="C1027" s="66"/>
      <c r="D1027" s="66"/>
      <c r="E1027" s="66"/>
      <c r="F1027" s="66"/>
      <c r="G1027" s="66"/>
      <c r="H1027" s="66"/>
      <c r="I1027" s="66"/>
      <c r="J1027" s="66"/>
      <c r="K1027" s="66"/>
      <c r="L1027" s="66"/>
      <c r="M1027" s="66"/>
      <c r="N1027" s="66"/>
      <c r="O1027" s="19"/>
      <c r="P1027" s="22"/>
      <c r="Q1027" s="22"/>
      <c r="R1027" s="22"/>
    </row>
    <row r="1028" hidden="1">
      <c r="A1028" s="93"/>
      <c r="B1028" s="66"/>
      <c r="C1028" s="66"/>
      <c r="D1028" s="66"/>
      <c r="E1028" s="66"/>
      <c r="F1028" s="66"/>
      <c r="G1028" s="66"/>
      <c r="H1028" s="66"/>
      <c r="I1028" s="66"/>
      <c r="J1028" s="66"/>
      <c r="K1028" s="66"/>
      <c r="L1028" s="66"/>
      <c r="M1028" s="66"/>
      <c r="N1028" s="66"/>
      <c r="O1028" s="19"/>
      <c r="P1028" s="22"/>
      <c r="Q1028" s="22"/>
      <c r="R1028" s="22"/>
    </row>
    <row r="1029" hidden="1">
      <c r="A1029" s="93"/>
      <c r="B1029" s="66"/>
      <c r="C1029" s="66"/>
      <c r="D1029" s="66"/>
      <c r="E1029" s="66"/>
      <c r="F1029" s="66"/>
      <c r="G1029" s="66"/>
      <c r="H1029" s="66"/>
      <c r="I1029" s="66"/>
      <c r="J1029" s="66"/>
      <c r="K1029" s="66"/>
      <c r="L1029" s="66"/>
      <c r="M1029" s="66"/>
      <c r="N1029" s="66"/>
      <c r="O1029" s="19"/>
      <c r="P1029" s="22"/>
      <c r="Q1029" s="22"/>
      <c r="R1029" s="22"/>
    </row>
    <row r="1030" hidden="1">
      <c r="A1030" s="93"/>
      <c r="B1030" s="66"/>
      <c r="C1030" s="66"/>
      <c r="D1030" s="66"/>
      <c r="E1030" s="66"/>
      <c r="F1030" s="66"/>
      <c r="G1030" s="66"/>
      <c r="H1030" s="66"/>
      <c r="I1030" s="66"/>
      <c r="J1030" s="66"/>
      <c r="K1030" s="66"/>
      <c r="L1030" s="66"/>
      <c r="M1030" s="66"/>
      <c r="N1030" s="66"/>
      <c r="O1030" s="19"/>
      <c r="P1030" s="22"/>
      <c r="Q1030" s="22"/>
      <c r="R1030" s="22"/>
    </row>
    <row r="1031" hidden="1">
      <c r="A1031" s="93"/>
      <c r="B1031" s="66"/>
      <c r="C1031" s="66"/>
      <c r="D1031" s="66"/>
      <c r="E1031" s="66"/>
      <c r="F1031" s="66"/>
      <c r="G1031" s="66"/>
      <c r="H1031" s="66"/>
      <c r="I1031" s="66"/>
      <c r="J1031" s="66"/>
      <c r="K1031" s="66"/>
      <c r="L1031" s="66"/>
      <c r="M1031" s="66"/>
      <c r="N1031" s="66"/>
      <c r="O1031" s="19"/>
      <c r="P1031" s="22"/>
      <c r="Q1031" s="22"/>
      <c r="R1031" s="22"/>
    </row>
    <row r="1032" hidden="1">
      <c r="A1032" s="93"/>
      <c r="B1032" s="66"/>
      <c r="C1032" s="66"/>
      <c r="D1032" s="66"/>
      <c r="E1032" s="66"/>
      <c r="F1032" s="66"/>
      <c r="G1032" s="66"/>
      <c r="H1032" s="66"/>
      <c r="I1032" s="66"/>
      <c r="J1032" s="66"/>
      <c r="K1032" s="66"/>
      <c r="L1032" s="66"/>
      <c r="M1032" s="66"/>
      <c r="N1032" s="66"/>
      <c r="O1032" s="19"/>
      <c r="P1032" s="22"/>
      <c r="Q1032" s="22"/>
      <c r="R1032" s="22"/>
    </row>
    <row r="1033" hidden="1">
      <c r="A1033" s="93"/>
      <c r="B1033" s="66"/>
      <c r="C1033" s="66"/>
      <c r="D1033" s="66"/>
      <c r="E1033" s="66"/>
      <c r="F1033" s="66"/>
      <c r="G1033" s="66"/>
      <c r="H1033" s="66"/>
      <c r="I1033" s="66"/>
      <c r="J1033" s="66"/>
      <c r="K1033" s="66"/>
      <c r="L1033" s="66"/>
      <c r="M1033" s="66"/>
      <c r="N1033" s="66"/>
      <c r="O1033" s="19"/>
      <c r="P1033" s="22"/>
      <c r="Q1033" s="22"/>
      <c r="R1033" s="22"/>
    </row>
    <row r="1034" hidden="1">
      <c r="A1034" s="93"/>
      <c r="B1034" s="66"/>
      <c r="C1034" s="66"/>
      <c r="D1034" s="66"/>
      <c r="E1034" s="66"/>
      <c r="F1034" s="66"/>
      <c r="G1034" s="66"/>
      <c r="H1034" s="66"/>
      <c r="I1034" s="66"/>
      <c r="J1034" s="66"/>
      <c r="K1034" s="66"/>
      <c r="L1034" s="66"/>
      <c r="M1034" s="66"/>
      <c r="N1034" s="66"/>
      <c r="O1034" s="19"/>
      <c r="P1034" s="22"/>
      <c r="Q1034" s="22"/>
      <c r="R1034" s="22"/>
    </row>
    <row r="1035" hidden="1">
      <c r="A1035" s="93"/>
      <c r="B1035" s="66"/>
      <c r="C1035" s="66"/>
      <c r="D1035" s="66"/>
      <c r="E1035" s="66"/>
      <c r="F1035" s="66"/>
      <c r="G1035" s="66"/>
      <c r="H1035" s="66"/>
      <c r="I1035" s="66"/>
      <c r="J1035" s="66"/>
      <c r="K1035" s="66"/>
      <c r="L1035" s="66"/>
      <c r="M1035" s="66"/>
      <c r="N1035" s="66"/>
      <c r="O1035" s="19"/>
      <c r="P1035" s="22"/>
      <c r="Q1035" s="22"/>
      <c r="R1035" s="22"/>
    </row>
    <row r="1036" hidden="1">
      <c r="A1036" s="93"/>
      <c r="B1036" s="66"/>
      <c r="C1036" s="66"/>
      <c r="D1036" s="66"/>
      <c r="E1036" s="66"/>
      <c r="F1036" s="66"/>
      <c r="G1036" s="66"/>
      <c r="H1036" s="66"/>
      <c r="I1036" s="66"/>
      <c r="J1036" s="66"/>
      <c r="K1036" s="66"/>
      <c r="L1036" s="66"/>
      <c r="M1036" s="66"/>
      <c r="N1036" s="66"/>
      <c r="O1036" s="19"/>
      <c r="P1036" s="22"/>
      <c r="Q1036" s="22"/>
      <c r="R1036" s="22"/>
    </row>
    <row r="1037" hidden="1">
      <c r="A1037" s="93"/>
      <c r="B1037" s="66"/>
      <c r="C1037" s="66"/>
      <c r="D1037" s="66"/>
      <c r="E1037" s="66"/>
      <c r="F1037" s="66"/>
      <c r="G1037" s="66"/>
      <c r="H1037" s="66"/>
      <c r="I1037" s="66"/>
      <c r="J1037" s="66"/>
      <c r="K1037" s="66"/>
      <c r="L1037" s="66"/>
      <c r="M1037" s="66"/>
      <c r="N1037" s="66"/>
      <c r="O1037" s="19"/>
      <c r="P1037" s="22"/>
      <c r="Q1037" s="22"/>
      <c r="R1037" s="22"/>
    </row>
    <row r="1038" hidden="1">
      <c r="A1038" s="93"/>
      <c r="B1038" s="66"/>
      <c r="C1038" s="66"/>
      <c r="D1038" s="66"/>
      <c r="E1038" s="66"/>
      <c r="F1038" s="66"/>
      <c r="G1038" s="66"/>
      <c r="H1038" s="66"/>
      <c r="I1038" s="66"/>
      <c r="J1038" s="66"/>
      <c r="K1038" s="66"/>
      <c r="L1038" s="66"/>
      <c r="M1038" s="66"/>
      <c r="N1038" s="66"/>
      <c r="O1038" s="19"/>
      <c r="P1038" s="22"/>
      <c r="Q1038" s="22"/>
      <c r="R1038" s="22"/>
    </row>
    <row r="1039" hidden="1">
      <c r="A1039" s="93"/>
      <c r="B1039" s="66"/>
      <c r="C1039" s="66"/>
      <c r="D1039" s="66"/>
      <c r="E1039" s="66"/>
      <c r="F1039" s="66"/>
      <c r="G1039" s="66"/>
      <c r="H1039" s="66"/>
      <c r="I1039" s="66"/>
      <c r="J1039" s="66"/>
      <c r="K1039" s="66"/>
      <c r="L1039" s="66"/>
      <c r="M1039" s="66"/>
      <c r="N1039" s="66"/>
      <c r="O1039" s="19"/>
      <c r="P1039" s="22"/>
      <c r="Q1039" s="22"/>
      <c r="R1039" s="22"/>
    </row>
    <row r="1040" hidden="1">
      <c r="A1040" s="93"/>
      <c r="B1040" s="66"/>
      <c r="C1040" s="66"/>
      <c r="D1040" s="66"/>
      <c r="E1040" s="66"/>
      <c r="F1040" s="66"/>
      <c r="G1040" s="66"/>
      <c r="H1040" s="66"/>
      <c r="I1040" s="66"/>
      <c r="J1040" s="66"/>
      <c r="K1040" s="66"/>
      <c r="L1040" s="66"/>
      <c r="M1040" s="66"/>
      <c r="N1040" s="66"/>
      <c r="O1040" s="19"/>
      <c r="P1040" s="22"/>
      <c r="Q1040" s="22"/>
      <c r="R1040" s="22"/>
    </row>
    <row r="1041" hidden="1">
      <c r="A1041" s="93"/>
      <c r="B1041" s="66"/>
      <c r="C1041" s="66"/>
      <c r="D1041" s="66"/>
      <c r="E1041" s="66"/>
      <c r="F1041" s="66"/>
      <c r="G1041" s="66"/>
      <c r="H1041" s="66"/>
      <c r="I1041" s="66"/>
      <c r="J1041" s="66"/>
      <c r="K1041" s="66"/>
      <c r="L1041" s="66"/>
      <c r="M1041" s="66"/>
      <c r="N1041" s="66"/>
      <c r="O1041" s="19"/>
      <c r="P1041" s="22"/>
      <c r="Q1041" s="22"/>
      <c r="R1041" s="22"/>
    </row>
    <row r="1042" hidden="1">
      <c r="A1042" s="93"/>
      <c r="B1042" s="66"/>
      <c r="C1042" s="66"/>
      <c r="D1042" s="66"/>
      <c r="E1042" s="66"/>
      <c r="F1042" s="66"/>
      <c r="G1042" s="66"/>
      <c r="H1042" s="66"/>
      <c r="I1042" s="66"/>
      <c r="J1042" s="66"/>
      <c r="K1042" s="66"/>
      <c r="L1042" s="66"/>
      <c r="M1042" s="66"/>
      <c r="N1042" s="66"/>
      <c r="O1042" s="19"/>
      <c r="P1042" s="22"/>
      <c r="Q1042" s="22"/>
      <c r="R1042" s="22"/>
    </row>
    <row r="1043" hidden="1">
      <c r="A1043" s="93"/>
      <c r="B1043" s="66"/>
      <c r="C1043" s="66"/>
      <c r="D1043" s="66"/>
      <c r="E1043" s="66"/>
      <c r="F1043" s="66"/>
      <c r="G1043" s="66"/>
      <c r="H1043" s="66"/>
      <c r="I1043" s="66"/>
      <c r="J1043" s="66"/>
      <c r="K1043" s="66"/>
      <c r="L1043" s="66"/>
      <c r="M1043" s="66"/>
      <c r="N1043" s="66"/>
      <c r="O1043" s="19"/>
      <c r="P1043" s="22"/>
      <c r="Q1043" s="22"/>
      <c r="R1043" s="22"/>
    </row>
    <row r="1044" hidden="1">
      <c r="A1044" s="93"/>
      <c r="B1044" s="66"/>
      <c r="C1044" s="66"/>
      <c r="D1044" s="66"/>
      <c r="E1044" s="66"/>
      <c r="F1044" s="66"/>
      <c r="G1044" s="66"/>
      <c r="H1044" s="66"/>
      <c r="I1044" s="66"/>
      <c r="J1044" s="66"/>
      <c r="K1044" s="66"/>
      <c r="L1044" s="66"/>
      <c r="M1044" s="66"/>
      <c r="N1044" s="66"/>
      <c r="O1044" s="19"/>
      <c r="P1044" s="22"/>
      <c r="Q1044" s="22"/>
      <c r="R1044" s="22"/>
    </row>
    <row r="1045" hidden="1">
      <c r="A1045" s="93"/>
      <c r="B1045" s="66"/>
      <c r="C1045" s="66"/>
      <c r="D1045" s="66"/>
      <c r="E1045" s="66"/>
      <c r="F1045" s="66"/>
      <c r="G1045" s="66"/>
      <c r="H1045" s="66"/>
      <c r="I1045" s="66"/>
      <c r="J1045" s="66"/>
      <c r="K1045" s="66"/>
      <c r="L1045" s="66"/>
      <c r="M1045" s="66"/>
      <c r="N1045" s="66"/>
      <c r="O1045" s="19"/>
      <c r="P1045" s="22"/>
      <c r="Q1045" s="22"/>
      <c r="R1045" s="22"/>
    </row>
    <row r="1046" hidden="1">
      <c r="A1046" s="93"/>
      <c r="B1046" s="66"/>
      <c r="C1046" s="66"/>
      <c r="D1046" s="66"/>
      <c r="E1046" s="66"/>
      <c r="F1046" s="66"/>
      <c r="G1046" s="66"/>
      <c r="H1046" s="66"/>
      <c r="I1046" s="66"/>
      <c r="J1046" s="66"/>
      <c r="K1046" s="66"/>
      <c r="L1046" s="66"/>
      <c r="M1046" s="66"/>
      <c r="N1046" s="66"/>
      <c r="O1046" s="19"/>
      <c r="P1046" s="22"/>
      <c r="Q1046" s="22"/>
      <c r="R1046" s="22"/>
    </row>
    <row r="1047" hidden="1">
      <c r="A1047" s="93"/>
      <c r="B1047" s="66"/>
      <c r="C1047" s="66"/>
      <c r="D1047" s="66"/>
      <c r="E1047" s="66"/>
      <c r="F1047" s="66"/>
      <c r="G1047" s="66"/>
      <c r="H1047" s="66"/>
      <c r="I1047" s="66"/>
      <c r="J1047" s="66"/>
      <c r="K1047" s="66"/>
      <c r="L1047" s="66"/>
      <c r="M1047" s="66"/>
      <c r="N1047" s="66"/>
      <c r="O1047" s="19"/>
      <c r="P1047" s="22"/>
      <c r="Q1047" s="22"/>
      <c r="R1047" s="22"/>
    </row>
    <row r="1048" hidden="1">
      <c r="A1048" s="93"/>
      <c r="B1048" s="66"/>
      <c r="C1048" s="66"/>
      <c r="D1048" s="66"/>
      <c r="E1048" s="66"/>
      <c r="F1048" s="66"/>
      <c r="G1048" s="66"/>
      <c r="H1048" s="66"/>
      <c r="I1048" s="66"/>
      <c r="J1048" s="66"/>
      <c r="K1048" s="66"/>
      <c r="L1048" s="66"/>
      <c r="M1048" s="66"/>
      <c r="N1048" s="66"/>
      <c r="O1048" s="19"/>
      <c r="P1048" s="22"/>
      <c r="Q1048" s="22"/>
      <c r="R1048" s="22"/>
    </row>
    <row r="1049" hidden="1">
      <c r="A1049" s="93"/>
      <c r="B1049" s="66"/>
      <c r="C1049" s="66"/>
      <c r="D1049" s="66"/>
      <c r="E1049" s="66"/>
      <c r="F1049" s="66"/>
      <c r="G1049" s="66"/>
      <c r="H1049" s="66"/>
      <c r="I1049" s="66"/>
      <c r="J1049" s="66"/>
      <c r="K1049" s="66"/>
      <c r="L1049" s="66"/>
      <c r="M1049" s="66"/>
      <c r="N1049" s="66"/>
      <c r="O1049" s="19"/>
      <c r="P1049" s="22"/>
      <c r="Q1049" s="22"/>
      <c r="R1049" s="22"/>
    </row>
    <row r="1050" hidden="1">
      <c r="A1050" s="93"/>
      <c r="B1050" s="66"/>
      <c r="C1050" s="66"/>
      <c r="D1050" s="66"/>
      <c r="E1050" s="66"/>
      <c r="F1050" s="66"/>
      <c r="G1050" s="66"/>
      <c r="H1050" s="66"/>
      <c r="I1050" s="66"/>
      <c r="J1050" s="66"/>
      <c r="K1050" s="66"/>
      <c r="L1050" s="66"/>
      <c r="M1050" s="66"/>
      <c r="N1050" s="66"/>
      <c r="O1050" s="19"/>
      <c r="P1050" s="22"/>
      <c r="Q1050" s="22"/>
      <c r="R1050" s="22"/>
    </row>
    <row r="1051" hidden="1">
      <c r="A1051" s="93"/>
      <c r="B1051" s="66"/>
      <c r="C1051" s="66"/>
      <c r="D1051" s="66"/>
      <c r="E1051" s="66"/>
      <c r="F1051" s="66"/>
      <c r="G1051" s="66"/>
      <c r="H1051" s="66"/>
      <c r="I1051" s="66"/>
      <c r="J1051" s="66"/>
      <c r="K1051" s="66"/>
      <c r="L1051" s="66"/>
      <c r="M1051" s="66"/>
      <c r="N1051" s="66"/>
      <c r="O1051" s="19"/>
      <c r="P1051" s="22"/>
      <c r="Q1051" s="22"/>
      <c r="R1051" s="22"/>
    </row>
    <row r="1052" hidden="1">
      <c r="A1052" s="93"/>
      <c r="B1052" s="66"/>
      <c r="C1052" s="66"/>
      <c r="D1052" s="66"/>
      <c r="E1052" s="66"/>
      <c r="F1052" s="66"/>
      <c r="G1052" s="66"/>
      <c r="H1052" s="66"/>
      <c r="I1052" s="66"/>
      <c r="J1052" s="66"/>
      <c r="K1052" s="66"/>
      <c r="L1052" s="66"/>
      <c r="M1052" s="66"/>
      <c r="N1052" s="66"/>
      <c r="O1052" s="19"/>
      <c r="P1052" s="22"/>
      <c r="Q1052" s="22"/>
      <c r="R1052" s="22"/>
    </row>
    <row r="1053" hidden="1">
      <c r="A1053" s="93"/>
      <c r="B1053" s="66"/>
      <c r="C1053" s="66"/>
      <c r="D1053" s="66"/>
      <c r="E1053" s="66"/>
      <c r="F1053" s="66"/>
      <c r="G1053" s="66"/>
      <c r="H1053" s="66"/>
      <c r="I1053" s="66"/>
      <c r="J1053" s="66"/>
      <c r="K1053" s="66"/>
      <c r="L1053" s="66"/>
      <c r="M1053" s="66"/>
      <c r="N1053" s="66"/>
      <c r="O1053" s="19"/>
      <c r="P1053" s="22"/>
      <c r="Q1053" s="22"/>
      <c r="R1053" s="22"/>
    </row>
    <row r="1054" hidden="1">
      <c r="A1054" s="93"/>
      <c r="B1054" s="66"/>
      <c r="C1054" s="66"/>
      <c r="D1054" s="66"/>
      <c r="E1054" s="66"/>
      <c r="F1054" s="66"/>
      <c r="G1054" s="66"/>
      <c r="H1054" s="66"/>
      <c r="I1054" s="66"/>
      <c r="J1054" s="66"/>
      <c r="K1054" s="66"/>
      <c r="L1054" s="66"/>
      <c r="M1054" s="66"/>
      <c r="N1054" s="66"/>
      <c r="O1054" s="19"/>
      <c r="P1054" s="22"/>
      <c r="Q1054" s="22"/>
      <c r="R1054" s="22"/>
    </row>
    <row r="1055" hidden="1">
      <c r="A1055" s="93"/>
      <c r="B1055" s="66"/>
      <c r="C1055" s="66"/>
      <c r="D1055" s="66"/>
      <c r="E1055" s="66"/>
      <c r="F1055" s="66"/>
      <c r="G1055" s="66"/>
      <c r="H1055" s="66"/>
      <c r="I1055" s="66"/>
      <c r="J1055" s="66"/>
      <c r="K1055" s="66"/>
      <c r="L1055" s="66"/>
      <c r="M1055" s="66"/>
      <c r="N1055" s="66"/>
      <c r="O1055" s="19"/>
      <c r="P1055" s="22"/>
      <c r="Q1055" s="22"/>
      <c r="R1055" s="22"/>
    </row>
    <row r="1056" hidden="1">
      <c r="A1056" s="93"/>
      <c r="B1056" s="66"/>
      <c r="C1056" s="66"/>
      <c r="D1056" s="66"/>
      <c r="E1056" s="66"/>
      <c r="F1056" s="66"/>
      <c r="G1056" s="66"/>
      <c r="H1056" s="66"/>
      <c r="I1056" s="66"/>
      <c r="J1056" s="66"/>
      <c r="K1056" s="66"/>
      <c r="L1056" s="66"/>
      <c r="M1056" s="66"/>
      <c r="N1056" s="66"/>
      <c r="O1056" s="19"/>
      <c r="P1056" s="22"/>
      <c r="Q1056" s="22"/>
      <c r="R1056" s="22"/>
    </row>
    <row r="1057" hidden="1">
      <c r="A1057" s="93"/>
      <c r="B1057" s="66"/>
      <c r="C1057" s="66"/>
      <c r="D1057" s="66"/>
      <c r="E1057" s="66"/>
      <c r="F1057" s="66"/>
      <c r="G1057" s="66"/>
      <c r="H1057" s="66"/>
      <c r="I1057" s="66"/>
      <c r="J1057" s="66"/>
      <c r="K1057" s="66"/>
      <c r="L1057" s="66"/>
      <c r="M1057" s="66"/>
      <c r="N1057" s="66"/>
      <c r="O1057" s="19"/>
      <c r="P1057" s="22"/>
      <c r="Q1057" s="22"/>
      <c r="R1057" s="22"/>
    </row>
    <row r="1058" hidden="1">
      <c r="A1058" s="93"/>
      <c r="B1058" s="66"/>
      <c r="C1058" s="66"/>
      <c r="D1058" s="66"/>
      <c r="E1058" s="66"/>
      <c r="F1058" s="66"/>
      <c r="G1058" s="66"/>
      <c r="H1058" s="66"/>
      <c r="I1058" s="66"/>
      <c r="J1058" s="66"/>
      <c r="K1058" s="66"/>
      <c r="L1058" s="66"/>
      <c r="M1058" s="66"/>
      <c r="N1058" s="66"/>
      <c r="O1058" s="19"/>
      <c r="P1058" s="22"/>
      <c r="Q1058" s="22"/>
      <c r="R1058" s="22"/>
    </row>
    <row r="1059" hidden="1">
      <c r="A1059" s="93"/>
      <c r="B1059" s="66"/>
      <c r="C1059" s="66"/>
      <c r="D1059" s="66"/>
      <c r="E1059" s="66"/>
      <c r="F1059" s="66"/>
      <c r="G1059" s="66"/>
      <c r="H1059" s="66"/>
      <c r="I1059" s="66"/>
      <c r="J1059" s="66"/>
      <c r="K1059" s="66"/>
      <c r="L1059" s="66"/>
      <c r="M1059" s="66"/>
      <c r="N1059" s="66"/>
      <c r="O1059" s="19"/>
      <c r="P1059" s="22"/>
      <c r="Q1059" s="22"/>
      <c r="R1059" s="22"/>
    </row>
    <row r="1060" hidden="1">
      <c r="A1060" s="93"/>
      <c r="B1060" s="66"/>
      <c r="C1060" s="66"/>
      <c r="D1060" s="66"/>
      <c r="E1060" s="66"/>
      <c r="F1060" s="66"/>
      <c r="G1060" s="66"/>
      <c r="H1060" s="66"/>
      <c r="I1060" s="66"/>
      <c r="J1060" s="66"/>
      <c r="K1060" s="66"/>
      <c r="L1060" s="66"/>
      <c r="M1060" s="66"/>
      <c r="N1060" s="66"/>
      <c r="O1060" s="19"/>
      <c r="P1060" s="22"/>
      <c r="Q1060" s="22"/>
      <c r="R1060" s="22"/>
    </row>
    <row r="1061" hidden="1">
      <c r="A1061" s="93"/>
      <c r="B1061" s="66"/>
      <c r="C1061" s="66"/>
      <c r="D1061" s="66"/>
      <c r="E1061" s="66"/>
      <c r="F1061" s="66"/>
      <c r="G1061" s="66"/>
      <c r="H1061" s="66"/>
      <c r="I1061" s="66"/>
      <c r="J1061" s="66"/>
      <c r="K1061" s="66"/>
      <c r="L1061" s="66"/>
      <c r="M1061" s="66"/>
      <c r="N1061" s="66"/>
      <c r="O1061" s="19"/>
      <c r="P1061" s="22"/>
      <c r="Q1061" s="22"/>
      <c r="R1061" s="22"/>
    </row>
    <row r="1062" hidden="1">
      <c r="A1062" s="93"/>
      <c r="B1062" s="66"/>
      <c r="C1062" s="66"/>
      <c r="D1062" s="66"/>
      <c r="E1062" s="66"/>
      <c r="F1062" s="66"/>
      <c r="G1062" s="66"/>
      <c r="H1062" s="66"/>
      <c r="I1062" s="66"/>
      <c r="J1062" s="66"/>
      <c r="K1062" s="66"/>
      <c r="L1062" s="66"/>
      <c r="M1062" s="66"/>
      <c r="N1062" s="66"/>
      <c r="O1062" s="19"/>
      <c r="P1062" s="22"/>
      <c r="Q1062" s="22"/>
      <c r="R1062" s="22"/>
    </row>
    <row r="1063" hidden="1">
      <c r="A1063" s="93"/>
      <c r="B1063" s="66"/>
      <c r="C1063" s="66"/>
      <c r="D1063" s="66"/>
      <c r="E1063" s="66"/>
      <c r="F1063" s="66"/>
      <c r="G1063" s="66"/>
      <c r="H1063" s="66"/>
      <c r="I1063" s="66"/>
      <c r="J1063" s="66"/>
      <c r="K1063" s="66"/>
      <c r="L1063" s="66"/>
      <c r="M1063" s="66"/>
      <c r="N1063" s="66"/>
      <c r="O1063" s="19"/>
      <c r="P1063" s="22"/>
      <c r="Q1063" s="22"/>
      <c r="R1063" s="22"/>
    </row>
    <row r="1064" hidden="1">
      <c r="A1064" s="93"/>
      <c r="B1064" s="66"/>
      <c r="C1064" s="66"/>
      <c r="D1064" s="66"/>
      <c r="E1064" s="66"/>
      <c r="F1064" s="66"/>
      <c r="G1064" s="66"/>
      <c r="H1064" s="66"/>
      <c r="I1064" s="66"/>
      <c r="J1064" s="66"/>
      <c r="K1064" s="66"/>
      <c r="L1064" s="66"/>
      <c r="M1064" s="66"/>
      <c r="N1064" s="66"/>
      <c r="O1064" s="19"/>
      <c r="P1064" s="22"/>
      <c r="Q1064" s="22"/>
      <c r="R1064" s="22"/>
    </row>
    <row r="1065" hidden="1">
      <c r="A1065" s="93"/>
      <c r="B1065" s="66"/>
      <c r="C1065" s="66"/>
      <c r="D1065" s="66"/>
      <c r="E1065" s="66"/>
      <c r="F1065" s="66"/>
      <c r="G1065" s="66"/>
      <c r="H1065" s="66"/>
      <c r="I1065" s="66"/>
      <c r="J1065" s="66"/>
      <c r="K1065" s="66"/>
      <c r="L1065" s="66"/>
      <c r="M1065" s="66"/>
      <c r="N1065" s="66"/>
      <c r="O1065" s="19"/>
      <c r="P1065" s="22"/>
      <c r="Q1065" s="22"/>
      <c r="R1065" s="22"/>
    </row>
    <row r="1066" hidden="1">
      <c r="A1066" s="93"/>
      <c r="B1066" s="66"/>
      <c r="C1066" s="66"/>
      <c r="D1066" s="66"/>
      <c r="E1066" s="66"/>
      <c r="F1066" s="66"/>
      <c r="G1066" s="66"/>
      <c r="H1066" s="66"/>
      <c r="I1066" s="66"/>
      <c r="J1066" s="66"/>
      <c r="K1066" s="66"/>
      <c r="L1066" s="66"/>
      <c r="M1066" s="66"/>
      <c r="N1066" s="66"/>
      <c r="O1066" s="19"/>
      <c r="P1066" s="22"/>
      <c r="Q1066" s="22"/>
      <c r="R1066" s="22"/>
    </row>
    <row r="1067" hidden="1">
      <c r="A1067" s="93"/>
      <c r="B1067" s="66"/>
      <c r="C1067" s="66"/>
      <c r="D1067" s="66"/>
      <c r="E1067" s="66"/>
      <c r="F1067" s="66"/>
      <c r="G1067" s="66"/>
      <c r="H1067" s="66"/>
      <c r="I1067" s="66"/>
      <c r="J1067" s="66"/>
      <c r="K1067" s="66"/>
      <c r="L1067" s="66"/>
      <c r="M1067" s="66"/>
      <c r="N1067" s="66"/>
      <c r="O1067" s="19"/>
      <c r="P1067" s="22"/>
      <c r="Q1067" s="22"/>
      <c r="R1067" s="22"/>
    </row>
    <row r="1068" hidden="1">
      <c r="A1068" s="93"/>
      <c r="B1068" s="66"/>
      <c r="C1068" s="66"/>
      <c r="D1068" s="66"/>
      <c r="E1068" s="66"/>
      <c r="F1068" s="66"/>
      <c r="G1068" s="66"/>
      <c r="H1068" s="66"/>
      <c r="I1068" s="66"/>
      <c r="J1068" s="66"/>
      <c r="K1068" s="66"/>
      <c r="L1068" s="66"/>
      <c r="M1068" s="66"/>
      <c r="N1068" s="66"/>
      <c r="O1068" s="19"/>
      <c r="P1068" s="22"/>
      <c r="Q1068" s="22"/>
      <c r="R1068" s="22"/>
    </row>
    <row r="1069" hidden="1">
      <c r="A1069" s="93"/>
      <c r="B1069" s="66"/>
      <c r="C1069" s="66"/>
      <c r="D1069" s="66"/>
      <c r="E1069" s="66"/>
      <c r="F1069" s="66"/>
      <c r="G1069" s="66"/>
      <c r="H1069" s="66"/>
      <c r="I1069" s="66"/>
      <c r="J1069" s="66"/>
      <c r="K1069" s="66"/>
      <c r="L1069" s="66"/>
      <c r="M1069" s="66"/>
      <c r="N1069" s="66"/>
      <c r="O1069" s="19"/>
      <c r="P1069" s="22"/>
      <c r="Q1069" s="22"/>
      <c r="R1069" s="22"/>
    </row>
    <row r="1070" hidden="1">
      <c r="A1070" s="93"/>
      <c r="B1070" s="66"/>
      <c r="C1070" s="66"/>
      <c r="D1070" s="66"/>
      <c r="E1070" s="66"/>
      <c r="F1070" s="66"/>
      <c r="G1070" s="66"/>
      <c r="H1070" s="66"/>
      <c r="I1070" s="66"/>
      <c r="J1070" s="66"/>
      <c r="K1070" s="66"/>
      <c r="L1070" s="66"/>
      <c r="M1070" s="66"/>
      <c r="N1070" s="66"/>
      <c r="O1070" s="19"/>
      <c r="P1070" s="22"/>
      <c r="Q1070" s="22"/>
      <c r="R1070" s="22"/>
    </row>
    <row r="1071" hidden="1">
      <c r="A1071" s="93"/>
      <c r="B1071" s="66"/>
      <c r="C1071" s="66"/>
      <c r="D1071" s="66"/>
      <c r="E1071" s="66"/>
      <c r="F1071" s="66"/>
      <c r="G1071" s="66"/>
      <c r="H1071" s="66"/>
      <c r="I1071" s="66"/>
      <c r="J1071" s="66"/>
      <c r="K1071" s="66"/>
      <c r="L1071" s="66"/>
      <c r="M1071" s="66"/>
      <c r="N1071" s="66"/>
      <c r="O1071" s="19"/>
      <c r="P1071" s="22"/>
      <c r="Q1071" s="22"/>
      <c r="R1071" s="22"/>
    </row>
    <row r="1072" hidden="1">
      <c r="A1072" s="93"/>
      <c r="B1072" s="66"/>
      <c r="C1072" s="66"/>
      <c r="D1072" s="66"/>
      <c r="E1072" s="66"/>
      <c r="F1072" s="66"/>
      <c r="G1072" s="66"/>
      <c r="H1072" s="66"/>
      <c r="I1072" s="66"/>
      <c r="J1072" s="66"/>
      <c r="K1072" s="66"/>
      <c r="L1072" s="66"/>
      <c r="M1072" s="66"/>
      <c r="N1072" s="66"/>
      <c r="O1072" s="19"/>
      <c r="P1072" s="22"/>
      <c r="Q1072" s="22"/>
      <c r="R1072" s="22"/>
    </row>
    <row r="1073" hidden="1">
      <c r="A1073" s="93"/>
      <c r="B1073" s="66"/>
      <c r="C1073" s="66"/>
      <c r="D1073" s="66"/>
      <c r="E1073" s="66"/>
      <c r="F1073" s="66"/>
      <c r="G1073" s="66"/>
      <c r="H1073" s="66"/>
      <c r="I1073" s="66"/>
      <c r="J1073" s="66"/>
      <c r="K1073" s="66"/>
      <c r="L1073" s="66"/>
      <c r="M1073" s="66"/>
      <c r="N1073" s="66"/>
      <c r="O1073" s="19"/>
      <c r="P1073" s="22"/>
      <c r="Q1073" s="22"/>
      <c r="R1073" s="22"/>
    </row>
    <row r="1074" hidden="1">
      <c r="A1074" s="93"/>
      <c r="B1074" s="66"/>
      <c r="C1074" s="66"/>
      <c r="D1074" s="66"/>
      <c r="E1074" s="66"/>
      <c r="F1074" s="66"/>
      <c r="G1074" s="66"/>
      <c r="H1074" s="66"/>
      <c r="I1074" s="66"/>
      <c r="J1074" s="66"/>
      <c r="K1074" s="66"/>
      <c r="L1074" s="66"/>
      <c r="M1074" s="66"/>
      <c r="N1074" s="66"/>
      <c r="O1074" s="19"/>
      <c r="P1074" s="22"/>
      <c r="Q1074" s="22"/>
      <c r="R1074" s="22"/>
    </row>
    <row r="1075" hidden="1">
      <c r="A1075" s="93"/>
      <c r="B1075" s="66"/>
      <c r="C1075" s="66"/>
      <c r="D1075" s="66"/>
      <c r="E1075" s="66"/>
      <c r="F1075" s="66"/>
      <c r="G1075" s="66"/>
      <c r="H1075" s="66"/>
      <c r="I1075" s="66"/>
      <c r="J1075" s="66"/>
      <c r="K1075" s="66"/>
      <c r="L1075" s="66"/>
      <c r="M1075" s="66"/>
      <c r="N1075" s="66"/>
      <c r="O1075" s="19"/>
      <c r="P1075" s="22"/>
      <c r="Q1075" s="22"/>
      <c r="R1075" s="22"/>
    </row>
    <row r="1076" hidden="1">
      <c r="A1076" s="93"/>
      <c r="B1076" s="66"/>
      <c r="C1076" s="66"/>
      <c r="D1076" s="66"/>
      <c r="E1076" s="66"/>
      <c r="F1076" s="66"/>
      <c r="G1076" s="66"/>
      <c r="H1076" s="66"/>
      <c r="I1076" s="66"/>
      <c r="J1076" s="66"/>
      <c r="K1076" s="66"/>
      <c r="L1076" s="66"/>
      <c r="M1076" s="66"/>
      <c r="N1076" s="66"/>
      <c r="O1076" s="19"/>
      <c r="P1076" s="22"/>
      <c r="Q1076" s="22"/>
      <c r="R1076" s="22"/>
    </row>
    <row r="1077" hidden="1">
      <c r="A1077" s="93"/>
      <c r="B1077" s="66"/>
      <c r="C1077" s="66"/>
      <c r="D1077" s="66"/>
      <c r="E1077" s="66"/>
      <c r="F1077" s="66"/>
      <c r="G1077" s="66"/>
      <c r="H1077" s="66"/>
      <c r="I1077" s="66"/>
      <c r="J1077" s="66"/>
      <c r="K1077" s="66"/>
      <c r="L1077" s="66"/>
      <c r="M1077" s="66"/>
      <c r="N1077" s="66"/>
      <c r="O1077" s="19"/>
      <c r="P1077" s="22"/>
      <c r="Q1077" s="22"/>
      <c r="R1077" s="22"/>
    </row>
    <row r="1078" hidden="1">
      <c r="A1078" s="93"/>
      <c r="B1078" s="48"/>
      <c r="C1078" s="48"/>
      <c r="D1078" s="48"/>
      <c r="E1078" s="48"/>
      <c r="F1078" s="48"/>
      <c r="G1078" s="48"/>
      <c r="H1078" s="48"/>
      <c r="I1078" s="48"/>
      <c r="J1078" s="48"/>
      <c r="K1078" s="66"/>
      <c r="L1078" s="66"/>
      <c r="M1078" s="66"/>
      <c r="N1078" s="66"/>
      <c r="O1078" s="19"/>
      <c r="P1078" s="22"/>
      <c r="Q1078" s="22"/>
      <c r="R1078" s="22"/>
    </row>
    <row r="1079" hidden="1">
      <c r="A1079" s="93"/>
      <c r="B1079" s="48"/>
      <c r="C1079" s="48"/>
      <c r="D1079" s="48"/>
      <c r="E1079" s="48"/>
      <c r="F1079" s="48"/>
      <c r="G1079" s="48"/>
      <c r="H1079" s="48"/>
      <c r="I1079" s="48"/>
      <c r="J1079" s="48"/>
      <c r="K1079" s="66"/>
      <c r="L1079" s="66"/>
      <c r="M1079" s="66"/>
      <c r="N1079" s="66"/>
      <c r="O1079" s="19"/>
      <c r="P1079" s="22"/>
      <c r="Q1079" s="22"/>
      <c r="R1079" s="22"/>
    </row>
    <row r="1080" hidden="1">
      <c r="A1080" s="93"/>
      <c r="B1080" s="48"/>
      <c r="C1080" s="48"/>
      <c r="D1080" s="48"/>
      <c r="E1080" s="48"/>
      <c r="F1080" s="48"/>
      <c r="G1080" s="48"/>
      <c r="H1080" s="48"/>
      <c r="I1080" s="48"/>
      <c r="J1080" s="48"/>
      <c r="K1080" s="66"/>
      <c r="L1080" s="66"/>
      <c r="M1080" s="66"/>
      <c r="N1080" s="66"/>
      <c r="O1080" s="19"/>
      <c r="P1080" s="22"/>
      <c r="Q1080" s="22"/>
      <c r="R1080" s="22"/>
    </row>
  </sheetData>
  <mergeCells count="199">
    <mergeCell ref="H38:H40"/>
    <mergeCell ref="H41:H43"/>
    <mergeCell ref="B35:B37"/>
    <mergeCell ref="D35:D37"/>
    <mergeCell ref="F35:F37"/>
    <mergeCell ref="H35:H37"/>
    <mergeCell ref="D38:D40"/>
    <mergeCell ref="G38:G40"/>
    <mergeCell ref="F41:F43"/>
    <mergeCell ref="D5:D7"/>
    <mergeCell ref="D8:D10"/>
    <mergeCell ref="B11:B13"/>
    <mergeCell ref="D11:D13"/>
    <mergeCell ref="E11:E13"/>
    <mergeCell ref="D14:D16"/>
    <mergeCell ref="F14:F16"/>
    <mergeCell ref="B14:B16"/>
    <mergeCell ref="B17:B19"/>
    <mergeCell ref="D17:D19"/>
    <mergeCell ref="F17:F19"/>
    <mergeCell ref="B20:B22"/>
    <mergeCell ref="F20:F22"/>
    <mergeCell ref="B23:B25"/>
    <mergeCell ref="F32:F34"/>
    <mergeCell ref="H32:H34"/>
    <mergeCell ref="B26:B28"/>
    <mergeCell ref="D26:D28"/>
    <mergeCell ref="E26:E28"/>
    <mergeCell ref="F26:F28"/>
    <mergeCell ref="G26:G28"/>
    <mergeCell ref="B29:B31"/>
    <mergeCell ref="B32:B34"/>
    <mergeCell ref="G53:G55"/>
    <mergeCell ref="H53:H55"/>
    <mergeCell ref="H56:H58"/>
    <mergeCell ref="F59:F61"/>
    <mergeCell ref="H59:H61"/>
    <mergeCell ref="H62:H64"/>
    <mergeCell ref="G65:G67"/>
    <mergeCell ref="H65:H67"/>
    <mergeCell ref="F44:F46"/>
    <mergeCell ref="G44:G46"/>
    <mergeCell ref="F47:F49"/>
    <mergeCell ref="H47:H49"/>
    <mergeCell ref="F50:F52"/>
    <mergeCell ref="G50:G52"/>
    <mergeCell ref="H50:H52"/>
    <mergeCell ref="B59:B61"/>
    <mergeCell ref="B62:B64"/>
    <mergeCell ref="D62:D64"/>
    <mergeCell ref="E62:E64"/>
    <mergeCell ref="D65:D67"/>
    <mergeCell ref="E65:E67"/>
    <mergeCell ref="I8:I10"/>
    <mergeCell ref="J8:J10"/>
    <mergeCell ref="L8:L10"/>
    <mergeCell ref="M8:M10"/>
    <mergeCell ref="N8:N10"/>
    <mergeCell ref="K11:K13"/>
    <mergeCell ref="N11:N13"/>
    <mergeCell ref="M17:M19"/>
    <mergeCell ref="N17:N19"/>
    <mergeCell ref="J11:J13"/>
    <mergeCell ref="J14:J16"/>
    <mergeCell ref="K14:K16"/>
    <mergeCell ref="L14:L16"/>
    <mergeCell ref="M14:M16"/>
    <mergeCell ref="N14:N16"/>
    <mergeCell ref="J17:J19"/>
    <mergeCell ref="K5:K7"/>
    <mergeCell ref="L5:L7"/>
    <mergeCell ref="M5:M7"/>
    <mergeCell ref="N5:N7"/>
    <mergeCell ref="H5:H7"/>
    <mergeCell ref="H8:H10"/>
    <mergeCell ref="G11:G13"/>
    <mergeCell ref="H14:H16"/>
    <mergeCell ref="H17:H19"/>
    <mergeCell ref="B5:B7"/>
    <mergeCell ref="F5:F7"/>
    <mergeCell ref="G5:G7"/>
    <mergeCell ref="I5:I7"/>
    <mergeCell ref="J5:J7"/>
    <mergeCell ref="B8:B10"/>
    <mergeCell ref="F8:F10"/>
    <mergeCell ref="L11:L13"/>
    <mergeCell ref="M11:M13"/>
    <mergeCell ref="P11:Q11"/>
    <mergeCell ref="K17:K19"/>
    <mergeCell ref="L17:L19"/>
    <mergeCell ref="J20:J22"/>
    <mergeCell ref="K20:K22"/>
    <mergeCell ref="L20:L22"/>
    <mergeCell ref="M20:M22"/>
    <mergeCell ref="N20:N22"/>
    <mergeCell ref="D20:D22"/>
    <mergeCell ref="D23:D25"/>
    <mergeCell ref="E23:E25"/>
    <mergeCell ref="G23:G25"/>
    <mergeCell ref="I23:I25"/>
    <mergeCell ref="K23:K25"/>
    <mergeCell ref="L23:L25"/>
    <mergeCell ref="M23:M25"/>
    <mergeCell ref="N23:N25"/>
    <mergeCell ref="D56:D58"/>
    <mergeCell ref="D59:D61"/>
    <mergeCell ref="D68:D70"/>
    <mergeCell ref="D29:D31"/>
    <mergeCell ref="D32:D34"/>
    <mergeCell ref="D41:D43"/>
    <mergeCell ref="D44:D46"/>
    <mergeCell ref="D47:D49"/>
    <mergeCell ref="D50:D52"/>
    <mergeCell ref="D53:D55"/>
    <mergeCell ref="M50:M52"/>
    <mergeCell ref="N50:N52"/>
    <mergeCell ref="M53:M55"/>
    <mergeCell ref="N53:N55"/>
    <mergeCell ref="M56:M58"/>
    <mergeCell ref="N56:N58"/>
    <mergeCell ref="K50:K52"/>
    <mergeCell ref="L50:L52"/>
    <mergeCell ref="J53:J55"/>
    <mergeCell ref="K53:K55"/>
    <mergeCell ref="L53:L55"/>
    <mergeCell ref="J56:J58"/>
    <mergeCell ref="L56:L58"/>
    <mergeCell ref="M62:M64"/>
    <mergeCell ref="N62:N64"/>
    <mergeCell ref="F68:F70"/>
    <mergeCell ref="G68:G70"/>
    <mergeCell ref="J68:J70"/>
    <mergeCell ref="L68:L70"/>
    <mergeCell ref="M68:M70"/>
    <mergeCell ref="N68:N70"/>
    <mergeCell ref="J59:J61"/>
    <mergeCell ref="K59:K61"/>
    <mergeCell ref="L59:L61"/>
    <mergeCell ref="M59:M61"/>
    <mergeCell ref="N59:N61"/>
    <mergeCell ref="I62:I64"/>
    <mergeCell ref="J62:J64"/>
    <mergeCell ref="I26:I28"/>
    <mergeCell ref="L26:L28"/>
    <mergeCell ref="M26:M28"/>
    <mergeCell ref="N26:N28"/>
    <mergeCell ref="L29:L31"/>
    <mergeCell ref="M29:M31"/>
    <mergeCell ref="N29:N31"/>
    <mergeCell ref="J26:J28"/>
    <mergeCell ref="J32:J34"/>
    <mergeCell ref="K32:K34"/>
    <mergeCell ref="L32:L34"/>
    <mergeCell ref="M32:M34"/>
    <mergeCell ref="N32:N34"/>
    <mergeCell ref="I35:I37"/>
    <mergeCell ref="N35:N37"/>
    <mergeCell ref="L41:L43"/>
    <mergeCell ref="L44:L46"/>
    <mergeCell ref="M44:M46"/>
    <mergeCell ref="N44:N46"/>
    <mergeCell ref="L35:L37"/>
    <mergeCell ref="M35:M37"/>
    <mergeCell ref="L38:L40"/>
    <mergeCell ref="M38:M40"/>
    <mergeCell ref="N38:N40"/>
    <mergeCell ref="M41:M43"/>
    <mergeCell ref="N41:N43"/>
    <mergeCell ref="J35:J37"/>
    <mergeCell ref="K35:K37"/>
    <mergeCell ref="I38:I40"/>
    <mergeCell ref="J38:J40"/>
    <mergeCell ref="J41:J43"/>
    <mergeCell ref="K41:K43"/>
    <mergeCell ref="K44:K46"/>
    <mergeCell ref="J44:J46"/>
    <mergeCell ref="J47:J49"/>
    <mergeCell ref="K47:K49"/>
    <mergeCell ref="L47:L49"/>
    <mergeCell ref="M47:M49"/>
    <mergeCell ref="N47:N49"/>
    <mergeCell ref="J50:J52"/>
    <mergeCell ref="K62:K64"/>
    <mergeCell ref="L62:L64"/>
    <mergeCell ref="I65:I67"/>
    <mergeCell ref="J65:J67"/>
    <mergeCell ref="K65:K67"/>
    <mergeCell ref="L65:L67"/>
    <mergeCell ref="M65:M67"/>
    <mergeCell ref="N65:N67"/>
    <mergeCell ref="B65:B67"/>
    <mergeCell ref="B68:B70"/>
    <mergeCell ref="B38:B40"/>
    <mergeCell ref="B41:B43"/>
    <mergeCell ref="B44:B46"/>
    <mergeCell ref="B47:B49"/>
    <mergeCell ref="B50:B52"/>
    <mergeCell ref="B53:B55"/>
    <mergeCell ref="B56:B58"/>
  </mergeCells>
  <conditionalFormatting sqref="A3:R1080">
    <cfRule type="expression" dxfId="0" priority="1">
      <formula>($B3&lt;&gt;"")*($D3="")</formula>
    </cfRule>
  </conditionalFormatting>
  <conditionalFormatting sqref="N1:N70 E5:K70 O17:O22 N72:N77 L75:L77 I78:J78 N80:N1080 J82:J1080">
    <cfRule type="cellIs" dxfId="1" priority="2" operator="lessThan">
      <formula>0</formula>
    </cfRule>
  </conditionalFormatting>
  <conditionalFormatting sqref="N5:N70">
    <cfRule type="cellIs" dxfId="2" priority="3" operator="greaterThanOrEqual">
      <formula>0</formula>
    </cfRule>
  </conditionalFormatting>
  <hyperlinks>
    <hyperlink r:id="rId1" location="gid=1619821413" ref="B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.13"/>
    <col customWidth="1" min="2" max="2" width="28.0"/>
    <col customWidth="1" min="3" max="3" width="5.75"/>
    <col customWidth="1" min="5" max="5" width="24.5"/>
    <col customWidth="1" min="6" max="6" width="25.0"/>
    <col customWidth="1" min="7" max="7" width="30.63"/>
    <col customWidth="1" min="8" max="8" width="27.63"/>
    <col customWidth="1" min="9" max="9" width="28.0"/>
    <col customWidth="1" min="10" max="10" width="28.75"/>
    <col customWidth="1" min="11" max="11" width="24.5"/>
    <col customWidth="1" min="12" max="12" width="20.25"/>
    <col customWidth="1" min="13" max="13" width="10.5"/>
    <col customWidth="1" min="14" max="14" width="15.88"/>
    <col customWidth="1" min="15" max="18" width="28.25"/>
  </cols>
  <sheetData>
    <row r="1">
      <c r="A1" s="1"/>
      <c r="B1" s="2" t="s">
        <v>0</v>
      </c>
      <c r="C1" s="3"/>
      <c r="D1" s="4"/>
      <c r="E1" s="4"/>
      <c r="F1" s="4"/>
      <c r="G1" s="4"/>
      <c r="H1" s="4"/>
      <c r="I1" s="4"/>
      <c r="J1" s="4"/>
      <c r="K1" s="4"/>
      <c r="L1" s="4"/>
      <c r="M1" s="5"/>
      <c r="N1" s="6"/>
      <c r="O1" s="4"/>
      <c r="P1" s="4"/>
      <c r="Q1" s="4"/>
      <c r="R1" s="4"/>
    </row>
    <row r="2">
      <c r="A2" s="4"/>
      <c r="B2" s="7" t="s">
        <v>1</v>
      </c>
      <c r="C2" s="7"/>
      <c r="D2" s="7" t="s">
        <v>2</v>
      </c>
      <c r="E2" s="8">
        <v>46139.0</v>
      </c>
      <c r="F2" s="8">
        <f t="shared" ref="F2:K2" si="1">E2+1</f>
        <v>46140</v>
      </c>
      <c r="G2" s="8">
        <f t="shared" si="1"/>
        <v>46141</v>
      </c>
      <c r="H2" s="8">
        <f t="shared" si="1"/>
        <v>46142</v>
      </c>
      <c r="I2" s="8">
        <f t="shared" si="1"/>
        <v>46143</v>
      </c>
      <c r="J2" s="8">
        <f t="shared" si="1"/>
        <v>46144</v>
      </c>
      <c r="K2" s="8">
        <f t="shared" si="1"/>
        <v>46145</v>
      </c>
      <c r="L2" s="7"/>
      <c r="M2" s="9" t="s">
        <v>3</v>
      </c>
      <c r="N2" s="10" t="s">
        <v>4</v>
      </c>
      <c r="O2" s="11" t="s">
        <v>5</v>
      </c>
      <c r="P2" s="11"/>
      <c r="Q2" s="11"/>
      <c r="R2" s="11"/>
    </row>
    <row r="3" ht="15.0" customHeight="1">
      <c r="A3" s="12"/>
      <c r="B3" s="13" t="s">
        <v>6</v>
      </c>
      <c r="C3" s="13"/>
      <c r="D3" s="14"/>
      <c r="E3" s="15" t="s">
        <v>7</v>
      </c>
      <c r="F3" s="15" t="s">
        <v>8</v>
      </c>
      <c r="G3" s="15" t="s">
        <v>9</v>
      </c>
      <c r="H3" s="15" t="s">
        <v>10</v>
      </c>
      <c r="I3" s="15" t="s">
        <v>11</v>
      </c>
      <c r="J3" s="15" t="s">
        <v>12</v>
      </c>
      <c r="K3" s="15" t="s">
        <v>13</v>
      </c>
      <c r="L3" s="14"/>
      <c r="M3" s="16"/>
      <c r="N3" s="16"/>
      <c r="O3" s="12"/>
      <c r="P3" s="12"/>
      <c r="Q3" s="12"/>
      <c r="R3" s="12"/>
    </row>
    <row r="4">
      <c r="A4" s="12"/>
      <c r="B4" s="17"/>
      <c r="C4" s="17"/>
      <c r="D4" s="18"/>
      <c r="E4" s="19"/>
      <c r="F4" s="19"/>
      <c r="G4" s="19"/>
      <c r="H4" s="19"/>
      <c r="I4" s="108" t="s">
        <v>14</v>
      </c>
      <c r="J4" s="108"/>
      <c r="K4" s="108"/>
      <c r="L4" s="21"/>
      <c r="M4" s="19"/>
      <c r="N4" s="19"/>
      <c r="O4" s="21"/>
      <c r="P4" s="22"/>
      <c r="Q4" s="22"/>
      <c r="R4" s="22"/>
    </row>
    <row r="5">
      <c r="A5" s="12"/>
      <c r="B5" s="23" t="s">
        <v>15</v>
      </c>
      <c r="C5" s="24" t="s">
        <v>16</v>
      </c>
      <c r="D5" s="25" t="s">
        <v>17</v>
      </c>
      <c r="E5" s="95" t="s">
        <v>388</v>
      </c>
      <c r="F5" s="109">
        <v>6749.0</v>
      </c>
      <c r="G5" s="27" t="s">
        <v>135</v>
      </c>
      <c r="H5" s="27" t="s">
        <v>135</v>
      </c>
      <c r="I5" s="27" t="s">
        <v>135</v>
      </c>
      <c r="J5" s="109">
        <v>2550.0</v>
      </c>
      <c r="K5" s="27" t="s">
        <v>135</v>
      </c>
      <c r="L5" s="29" t="b">
        <v>0</v>
      </c>
      <c r="M5" s="30">
        <f>SUM(E5:L5)</f>
        <v>9299</v>
      </c>
      <c r="N5" s="31">
        <f>M5-8000</f>
        <v>1299</v>
      </c>
      <c r="O5" s="32"/>
      <c r="P5" s="33"/>
      <c r="Q5" s="34"/>
      <c r="R5" s="34"/>
    </row>
    <row r="6">
      <c r="A6" s="12"/>
      <c r="B6" s="35"/>
      <c r="C6" s="24" t="s">
        <v>5</v>
      </c>
      <c r="D6" s="36"/>
      <c r="F6" s="110">
        <v>2446.0</v>
      </c>
      <c r="J6" s="110">
        <f>180+783</f>
        <v>963</v>
      </c>
      <c r="N6" s="36"/>
      <c r="O6" s="38">
        <f>SUM(E6:K6)</f>
        <v>3409</v>
      </c>
      <c r="P6" s="33"/>
      <c r="Q6" s="34"/>
      <c r="R6" s="34"/>
    </row>
    <row r="7">
      <c r="A7" s="12"/>
      <c r="B7" s="39"/>
      <c r="C7" s="24" t="s">
        <v>20</v>
      </c>
      <c r="D7" s="40"/>
      <c r="E7" s="41"/>
      <c r="F7" s="111" t="s">
        <v>389</v>
      </c>
      <c r="G7" s="41"/>
      <c r="H7" s="41"/>
      <c r="I7" s="41"/>
      <c r="J7" s="111" t="s">
        <v>390</v>
      </c>
      <c r="K7" s="41"/>
      <c r="L7" s="41"/>
      <c r="M7" s="41"/>
      <c r="N7" s="40"/>
      <c r="O7" s="43">
        <f>M5/O6</f>
        <v>2.727779407</v>
      </c>
      <c r="P7" s="33"/>
      <c r="Q7" s="34"/>
      <c r="R7" s="34"/>
    </row>
    <row r="8">
      <c r="A8" s="12"/>
      <c r="B8" s="23" t="s">
        <v>25</v>
      </c>
      <c r="C8" s="24" t="s">
        <v>16</v>
      </c>
      <c r="D8" s="25" t="s">
        <v>26</v>
      </c>
      <c r="E8" s="27" t="s">
        <v>135</v>
      </c>
      <c r="F8" s="44" t="s">
        <v>391</v>
      </c>
      <c r="G8" s="109">
        <v>3800.0</v>
      </c>
      <c r="H8" s="27" t="s">
        <v>135</v>
      </c>
      <c r="I8" s="124" t="s">
        <v>62</v>
      </c>
      <c r="J8" s="109">
        <v>100.0</v>
      </c>
      <c r="K8" s="109">
        <v>100.0</v>
      </c>
      <c r="L8" s="29" t="b">
        <v>0</v>
      </c>
      <c r="M8" s="30">
        <f>SUM(E8:L8)</f>
        <v>4000</v>
      </c>
      <c r="N8" s="31">
        <f>M8-7000</f>
        <v>-3000</v>
      </c>
      <c r="O8" s="32"/>
      <c r="P8" s="33"/>
      <c r="Q8" s="34"/>
      <c r="R8" s="34"/>
    </row>
    <row r="9">
      <c r="A9" s="12"/>
      <c r="B9" s="35"/>
      <c r="C9" s="24" t="s">
        <v>5</v>
      </c>
      <c r="D9" s="36"/>
      <c r="G9" s="110">
        <f>136+1554</f>
        <v>1690</v>
      </c>
      <c r="J9" s="110" t="s">
        <v>392</v>
      </c>
      <c r="K9" s="110" t="s">
        <v>392</v>
      </c>
      <c r="N9" s="36"/>
      <c r="O9" s="38">
        <f>SUM(E9:K9)</f>
        <v>1690</v>
      </c>
      <c r="P9" s="33"/>
      <c r="Q9" s="34"/>
      <c r="R9" s="34"/>
    </row>
    <row r="10">
      <c r="A10" s="12"/>
      <c r="B10" s="39"/>
      <c r="C10" s="24" t="s">
        <v>20</v>
      </c>
      <c r="D10" s="40"/>
      <c r="E10" s="41"/>
      <c r="F10" s="41"/>
      <c r="G10" s="111" t="s">
        <v>393</v>
      </c>
      <c r="H10" s="41"/>
      <c r="I10" s="41"/>
      <c r="J10" s="111" t="s">
        <v>394</v>
      </c>
      <c r="K10" s="111" t="s">
        <v>394</v>
      </c>
      <c r="L10" s="41"/>
      <c r="M10" s="41"/>
      <c r="N10" s="40"/>
      <c r="O10" s="43">
        <f>M8/O9</f>
        <v>2.366863905</v>
      </c>
      <c r="P10" s="33"/>
      <c r="Q10" s="34"/>
      <c r="R10" s="34"/>
    </row>
    <row r="11">
      <c r="A11" s="12"/>
      <c r="B11" s="23" t="s">
        <v>29</v>
      </c>
      <c r="C11" s="24" t="s">
        <v>16</v>
      </c>
      <c r="D11" s="25" t="s">
        <v>30</v>
      </c>
      <c r="E11" s="27" t="s">
        <v>135</v>
      </c>
      <c r="F11" s="27" t="s">
        <v>135</v>
      </c>
      <c r="G11" s="109">
        <v>3700.0</v>
      </c>
      <c r="H11" s="27" t="s">
        <v>135</v>
      </c>
      <c r="I11" s="109">
        <v>4150.0</v>
      </c>
      <c r="J11" s="27" t="s">
        <v>135</v>
      </c>
      <c r="K11" s="27" t="s">
        <v>135</v>
      </c>
      <c r="L11" s="29" t="b">
        <v>0</v>
      </c>
      <c r="M11" s="30">
        <f>SUM(E11:L11)</f>
        <v>7850</v>
      </c>
      <c r="N11" s="31">
        <f>M11-7000</f>
        <v>850</v>
      </c>
      <c r="O11" s="32"/>
      <c r="P11" s="45"/>
      <c r="R11" s="46"/>
    </row>
    <row r="12">
      <c r="A12" s="12"/>
      <c r="B12" s="35"/>
      <c r="C12" s="24" t="s">
        <v>5</v>
      </c>
      <c r="D12" s="36"/>
      <c r="G12" s="110">
        <f>134+1752</f>
        <v>1886</v>
      </c>
      <c r="I12" s="110">
        <f>52+1510</f>
        <v>1562</v>
      </c>
      <c r="N12" s="36"/>
      <c r="O12" s="38">
        <f>SUM(E12:K12)</f>
        <v>3448</v>
      </c>
      <c r="P12" s="47"/>
      <c r="Q12" s="46"/>
      <c r="R12" s="46"/>
    </row>
    <row r="13">
      <c r="A13" s="12"/>
      <c r="B13" s="39"/>
      <c r="C13" s="24" t="s">
        <v>20</v>
      </c>
      <c r="D13" s="40"/>
      <c r="E13" s="41"/>
      <c r="F13" s="41"/>
      <c r="G13" s="111" t="s">
        <v>395</v>
      </c>
      <c r="H13" s="41"/>
      <c r="I13" s="111" t="s">
        <v>396</v>
      </c>
      <c r="J13" s="41"/>
      <c r="K13" s="41"/>
      <c r="L13" s="41"/>
      <c r="M13" s="41"/>
      <c r="N13" s="40"/>
      <c r="O13" s="43">
        <f>M11/O12</f>
        <v>2.276682135</v>
      </c>
      <c r="P13" s="47"/>
      <c r="Q13" s="34"/>
      <c r="R13" s="34"/>
    </row>
    <row r="14">
      <c r="A14" s="12"/>
      <c r="B14" s="23" t="s">
        <v>34</v>
      </c>
      <c r="C14" s="24" t="s">
        <v>16</v>
      </c>
      <c r="D14" s="25" t="s">
        <v>35</v>
      </c>
      <c r="E14" s="109">
        <v>5000.0</v>
      </c>
      <c r="F14" s="27" t="s">
        <v>135</v>
      </c>
      <c r="G14" s="27" t="s">
        <v>135</v>
      </c>
      <c r="H14" s="109">
        <v>1700.0</v>
      </c>
      <c r="I14" s="109">
        <v>4000.0</v>
      </c>
      <c r="J14" s="27" t="s">
        <v>135</v>
      </c>
      <c r="K14" s="27" t="s">
        <v>135</v>
      </c>
      <c r="L14" s="29" t="b">
        <v>0</v>
      </c>
      <c r="M14" s="30">
        <f>SUM(E14:L14)</f>
        <v>10700</v>
      </c>
      <c r="N14" s="31">
        <f>M14-7000</f>
        <v>3700</v>
      </c>
      <c r="O14" s="32"/>
      <c r="P14" s="33"/>
      <c r="Q14" s="34"/>
      <c r="R14" s="34"/>
    </row>
    <row r="15">
      <c r="A15" s="12"/>
      <c r="B15" s="35"/>
      <c r="C15" s="24" t="s">
        <v>5</v>
      </c>
      <c r="D15" s="36"/>
      <c r="E15" s="110">
        <f>26+1908</f>
        <v>1934</v>
      </c>
      <c r="H15" s="110">
        <v>816.0</v>
      </c>
      <c r="I15" s="110">
        <f>13+2115</f>
        <v>2128</v>
      </c>
      <c r="N15" s="36"/>
      <c r="O15" s="38">
        <f>SUM(E15:K15)</f>
        <v>4878</v>
      </c>
      <c r="P15" s="33"/>
      <c r="Q15" s="34"/>
      <c r="R15" s="34"/>
    </row>
    <row r="16">
      <c r="A16" s="12"/>
      <c r="B16" s="39"/>
      <c r="C16" s="24" t="s">
        <v>20</v>
      </c>
      <c r="D16" s="40"/>
      <c r="E16" s="111" t="s">
        <v>397</v>
      </c>
      <c r="F16" s="41"/>
      <c r="G16" s="41"/>
      <c r="H16" s="111" t="s">
        <v>398</v>
      </c>
      <c r="I16" s="111" t="s">
        <v>399</v>
      </c>
      <c r="J16" s="41"/>
      <c r="K16" s="41"/>
      <c r="L16" s="41"/>
      <c r="M16" s="41"/>
      <c r="N16" s="40"/>
      <c r="O16" s="43">
        <f>M14/O15</f>
        <v>2.193521935</v>
      </c>
      <c r="P16" s="33"/>
      <c r="Q16" s="34"/>
      <c r="R16" s="34"/>
    </row>
    <row r="17">
      <c r="A17" s="12"/>
      <c r="B17" s="23" t="s">
        <v>39</v>
      </c>
      <c r="C17" s="24" t="s">
        <v>16</v>
      </c>
      <c r="D17" s="25" t="s">
        <v>40</v>
      </c>
      <c r="E17" s="109">
        <v>1900.0</v>
      </c>
      <c r="F17" s="109">
        <v>4200.0</v>
      </c>
      <c r="G17" s="27" t="s">
        <v>135</v>
      </c>
      <c r="H17" s="109">
        <v>1100.0</v>
      </c>
      <c r="I17" s="109">
        <v>2500.0</v>
      </c>
      <c r="J17" s="27" t="s">
        <v>135</v>
      </c>
      <c r="K17" s="109">
        <v>1600.0</v>
      </c>
      <c r="L17" s="29" t="b">
        <v>0</v>
      </c>
      <c r="M17" s="30">
        <f>SUM(E17:L17)</f>
        <v>11300</v>
      </c>
      <c r="N17" s="31">
        <f>M17-7000</f>
        <v>4300</v>
      </c>
      <c r="O17" s="32"/>
      <c r="P17" s="33"/>
      <c r="Q17" s="33"/>
      <c r="R17" s="34"/>
    </row>
    <row r="18">
      <c r="A18" s="12"/>
      <c r="B18" s="35"/>
      <c r="C18" s="24" t="s">
        <v>5</v>
      </c>
      <c r="D18" s="36"/>
      <c r="E18" s="110">
        <f>772+151</f>
        <v>923</v>
      </c>
      <c r="F18" s="110">
        <f>1060+161</f>
        <v>1221</v>
      </c>
      <c r="H18" s="110">
        <f>761+23</f>
        <v>784</v>
      </c>
      <c r="I18" s="110">
        <f>770+75</f>
        <v>845</v>
      </c>
      <c r="K18" s="110">
        <f>728+67</f>
        <v>795</v>
      </c>
      <c r="N18" s="36"/>
      <c r="O18" s="38">
        <f>SUM(E18:K18)</f>
        <v>4568</v>
      </c>
      <c r="P18" s="33"/>
      <c r="Q18" s="33"/>
      <c r="R18" s="34"/>
    </row>
    <row r="19">
      <c r="A19" s="12"/>
      <c r="B19" s="39"/>
      <c r="C19" s="24" t="s">
        <v>20</v>
      </c>
      <c r="D19" s="40"/>
      <c r="E19" s="111" t="s">
        <v>400</v>
      </c>
      <c r="F19" s="111" t="s">
        <v>401</v>
      </c>
      <c r="G19" s="41"/>
      <c r="H19" s="111" t="s">
        <v>402</v>
      </c>
      <c r="I19" s="111" t="s">
        <v>403</v>
      </c>
      <c r="J19" s="41"/>
      <c r="K19" s="111" t="s">
        <v>404</v>
      </c>
      <c r="L19" s="41"/>
      <c r="M19" s="41"/>
      <c r="N19" s="40"/>
      <c r="O19" s="43">
        <f>M17/O18</f>
        <v>2.473730298</v>
      </c>
      <c r="P19" s="48"/>
      <c r="Q19" s="33"/>
      <c r="R19" s="34"/>
    </row>
    <row r="20">
      <c r="A20" s="12"/>
      <c r="B20" s="23" t="s">
        <v>45</v>
      </c>
      <c r="C20" s="24" t="s">
        <v>16</v>
      </c>
      <c r="D20" s="96" t="s">
        <v>46</v>
      </c>
      <c r="E20" s="112">
        <v>2800.0</v>
      </c>
      <c r="F20" s="27" t="s">
        <v>135</v>
      </c>
      <c r="G20" s="109">
        <v>1250.0</v>
      </c>
      <c r="H20" s="109">
        <v>1850.0</v>
      </c>
      <c r="I20" s="27" t="s">
        <v>135</v>
      </c>
      <c r="J20" s="105" t="s">
        <v>27</v>
      </c>
      <c r="K20" s="105" t="s">
        <v>27</v>
      </c>
      <c r="L20" s="29" t="b">
        <v>0</v>
      </c>
      <c r="M20" s="30">
        <f>SUM(E20:L20)</f>
        <v>5900</v>
      </c>
      <c r="N20" s="31">
        <f>M20-7000</f>
        <v>-1100</v>
      </c>
      <c r="O20" s="32"/>
      <c r="P20" s="33"/>
      <c r="Q20" s="33"/>
      <c r="R20" s="34"/>
    </row>
    <row r="21">
      <c r="A21" s="12"/>
      <c r="B21" s="35"/>
      <c r="C21" s="24" t="s">
        <v>5</v>
      </c>
      <c r="E21" s="122">
        <f>1055+23</f>
        <v>1078</v>
      </c>
      <c r="G21" s="110">
        <f>55+510</f>
        <v>565</v>
      </c>
      <c r="H21" s="110">
        <v>563.0</v>
      </c>
      <c r="N21" s="36"/>
      <c r="O21" s="38">
        <f>SUM(E21:K21)</f>
        <v>2206</v>
      </c>
      <c r="P21" s="33"/>
      <c r="Q21" s="33"/>
      <c r="R21" s="34"/>
    </row>
    <row r="22">
      <c r="A22" s="12"/>
      <c r="B22" s="39"/>
      <c r="C22" s="24" t="s">
        <v>20</v>
      </c>
      <c r="D22" s="41"/>
      <c r="E22" s="115" t="s">
        <v>405</v>
      </c>
      <c r="F22" s="41"/>
      <c r="G22" s="116" t="s">
        <v>406</v>
      </c>
      <c r="H22" s="116" t="s">
        <v>407</v>
      </c>
      <c r="I22" s="41"/>
      <c r="J22" s="41"/>
      <c r="K22" s="41"/>
      <c r="L22" s="41"/>
      <c r="M22" s="41"/>
      <c r="N22" s="40"/>
      <c r="O22" s="43">
        <f>M20/O21</f>
        <v>2.674524025</v>
      </c>
      <c r="P22" s="48"/>
      <c r="Q22" s="33"/>
      <c r="R22" s="34"/>
    </row>
    <row r="23">
      <c r="A23" s="12"/>
      <c r="B23" s="23" t="s">
        <v>50</v>
      </c>
      <c r="C23" s="24" t="s">
        <v>16</v>
      </c>
      <c r="D23" s="25" t="s">
        <v>51</v>
      </c>
      <c r="E23" s="63" t="s">
        <v>135</v>
      </c>
      <c r="F23" s="117">
        <v>6900.0</v>
      </c>
      <c r="G23" s="63" t="s">
        <v>135</v>
      </c>
      <c r="H23" s="63" t="s">
        <v>135</v>
      </c>
      <c r="I23" s="63" t="s">
        <v>135</v>
      </c>
      <c r="J23" s="117">
        <v>2200.0</v>
      </c>
      <c r="K23" s="63" t="s">
        <v>135</v>
      </c>
      <c r="L23" s="29" t="b">
        <v>0</v>
      </c>
      <c r="M23" s="30">
        <f>SUM(E23:L23)</f>
        <v>9100</v>
      </c>
      <c r="N23" s="31">
        <f>M23-7000</f>
        <v>2100</v>
      </c>
      <c r="O23" s="32"/>
      <c r="P23" s="33"/>
      <c r="Q23" s="34"/>
      <c r="R23" s="34"/>
    </row>
    <row r="24">
      <c r="A24" s="12"/>
      <c r="B24" s="35"/>
      <c r="C24" s="24" t="s">
        <v>5</v>
      </c>
      <c r="D24" s="36"/>
      <c r="F24" s="110">
        <v>2851.0</v>
      </c>
      <c r="J24" s="110">
        <v>1133.0</v>
      </c>
      <c r="N24" s="36"/>
      <c r="O24" s="38">
        <f>SUM(E24:K24)</f>
        <v>3984</v>
      </c>
      <c r="P24" s="48"/>
      <c r="Q24" s="34"/>
      <c r="R24" s="34"/>
    </row>
    <row r="25" ht="15.0" customHeight="1">
      <c r="A25" s="12"/>
      <c r="B25" s="39"/>
      <c r="C25" s="24" t="s">
        <v>20</v>
      </c>
      <c r="D25" s="40"/>
      <c r="E25" s="41"/>
      <c r="F25" s="111" t="s">
        <v>408</v>
      </c>
      <c r="G25" s="41"/>
      <c r="H25" s="41"/>
      <c r="I25" s="41"/>
      <c r="J25" s="111" t="s">
        <v>409</v>
      </c>
      <c r="K25" s="41"/>
      <c r="L25" s="41"/>
      <c r="M25" s="41"/>
      <c r="N25" s="40"/>
      <c r="O25" s="43">
        <f>M23/O24</f>
        <v>2.284136546</v>
      </c>
      <c r="P25" s="22"/>
      <c r="Q25" s="34"/>
      <c r="R25" s="34"/>
    </row>
    <row r="26">
      <c r="A26" s="12"/>
      <c r="B26" s="23" t="s">
        <v>56</v>
      </c>
      <c r="C26" s="24" t="s">
        <v>16</v>
      </c>
      <c r="D26" s="96" t="s">
        <v>57</v>
      </c>
      <c r="E26" s="120" t="s">
        <v>135</v>
      </c>
      <c r="F26" s="109">
        <v>1600.0</v>
      </c>
      <c r="G26" s="109">
        <v>1000.0</v>
      </c>
      <c r="H26" s="105" t="s">
        <v>27</v>
      </c>
      <c r="I26" s="105" t="s">
        <v>27</v>
      </c>
      <c r="J26" s="105" t="s">
        <v>27</v>
      </c>
      <c r="K26" s="105" t="s">
        <v>27</v>
      </c>
      <c r="L26" s="29" t="b">
        <v>0</v>
      </c>
      <c r="M26" s="30">
        <f>SUM(E26:L26)</f>
        <v>2600</v>
      </c>
      <c r="N26" s="31">
        <f>M26-7000</f>
        <v>-4400</v>
      </c>
      <c r="O26" s="32"/>
      <c r="P26" s="33"/>
      <c r="Q26" s="34"/>
      <c r="R26" s="34"/>
    </row>
    <row r="27">
      <c r="A27" s="12"/>
      <c r="B27" s="35"/>
      <c r="C27" s="24" t="s">
        <v>5</v>
      </c>
      <c r="E27" s="99"/>
      <c r="F27" s="110">
        <v>727.0</v>
      </c>
      <c r="G27" s="110">
        <f>291+182</f>
        <v>473</v>
      </c>
      <c r="N27" s="36"/>
      <c r="O27" s="38">
        <f>SUM(E27:K27)</f>
        <v>1200</v>
      </c>
      <c r="P27" s="33"/>
      <c r="Q27" s="34"/>
      <c r="R27" s="34"/>
    </row>
    <row r="28">
      <c r="A28" s="12"/>
      <c r="B28" s="39"/>
      <c r="C28" s="24" t="s">
        <v>20</v>
      </c>
      <c r="D28" s="41"/>
      <c r="E28" s="100"/>
      <c r="F28" s="116" t="s">
        <v>410</v>
      </c>
      <c r="G28" s="116" t="s">
        <v>411</v>
      </c>
      <c r="H28" s="41"/>
      <c r="I28" s="41"/>
      <c r="J28" s="41"/>
      <c r="K28" s="41"/>
      <c r="L28" s="41"/>
      <c r="M28" s="41"/>
      <c r="N28" s="40"/>
      <c r="O28" s="43">
        <f>M26/O27</f>
        <v>2.166666667</v>
      </c>
      <c r="P28" s="33"/>
      <c r="Q28" s="34"/>
      <c r="R28" s="34"/>
    </row>
    <row r="29">
      <c r="A29" s="12"/>
      <c r="B29" s="23" t="s">
        <v>60</v>
      </c>
      <c r="C29" s="24" t="s">
        <v>16</v>
      </c>
      <c r="D29" s="25" t="s">
        <v>61</v>
      </c>
      <c r="E29" s="125" t="s">
        <v>27</v>
      </c>
      <c r="F29" s="117">
        <v>3000.0</v>
      </c>
      <c r="G29" s="117">
        <v>1000.0</v>
      </c>
      <c r="H29" s="117">
        <f>900+750</f>
        <v>1650</v>
      </c>
      <c r="I29" s="117">
        <v>1100.0</v>
      </c>
      <c r="J29" s="117">
        <v>1100.0</v>
      </c>
      <c r="K29" s="117">
        <v>2400.0</v>
      </c>
      <c r="L29" s="29" t="b">
        <v>0</v>
      </c>
      <c r="M29" s="30">
        <f>SUM(E29:L29)</f>
        <v>10250</v>
      </c>
      <c r="N29" s="31">
        <f>M29-7000</f>
        <v>3250</v>
      </c>
      <c r="O29" s="32"/>
      <c r="P29" s="33"/>
      <c r="Q29" s="34"/>
      <c r="R29" s="34"/>
    </row>
    <row r="30">
      <c r="A30" s="12"/>
      <c r="B30" s="35"/>
      <c r="C30" s="24" t="s">
        <v>5</v>
      </c>
      <c r="D30" s="36"/>
      <c r="F30" s="110">
        <v>423.0</v>
      </c>
      <c r="G30" s="110">
        <v>93.0</v>
      </c>
      <c r="H30" s="110">
        <f>52+93</f>
        <v>145</v>
      </c>
      <c r="I30" s="110">
        <v>93.0</v>
      </c>
      <c r="J30" s="110">
        <v>93.0</v>
      </c>
      <c r="K30" s="110">
        <f>27+27+27+27</f>
        <v>108</v>
      </c>
      <c r="N30" s="36"/>
      <c r="O30" s="38">
        <f>SUM(E30:K30)</f>
        <v>955</v>
      </c>
      <c r="P30" s="33"/>
      <c r="Q30" s="34"/>
      <c r="R30" s="34"/>
    </row>
    <row r="31" ht="12.75" customHeight="1">
      <c r="A31" s="12"/>
      <c r="B31" s="39"/>
      <c r="C31" s="24" t="s">
        <v>20</v>
      </c>
      <c r="D31" s="40"/>
      <c r="E31" s="41"/>
      <c r="F31" s="111" t="s">
        <v>412</v>
      </c>
      <c r="G31" s="111" t="s">
        <v>413</v>
      </c>
      <c r="H31" s="111" t="s">
        <v>414</v>
      </c>
      <c r="I31" s="111" t="s">
        <v>415</v>
      </c>
      <c r="J31" s="111" t="s">
        <v>416</v>
      </c>
      <c r="K31" s="111" t="s">
        <v>417</v>
      </c>
      <c r="L31" s="41"/>
      <c r="M31" s="41"/>
      <c r="N31" s="40"/>
      <c r="O31" s="43">
        <f>M29/O30</f>
        <v>10.73298429</v>
      </c>
      <c r="P31" s="33"/>
      <c r="Q31" s="34"/>
      <c r="R31" s="34"/>
    </row>
    <row r="32">
      <c r="A32" s="12"/>
      <c r="B32" s="23" t="s">
        <v>219</v>
      </c>
      <c r="C32" s="24" t="s">
        <v>16</v>
      </c>
      <c r="D32" s="96" t="s">
        <v>220</v>
      </c>
      <c r="E32" s="120" t="s">
        <v>135</v>
      </c>
      <c r="F32" s="109">
        <v>1050.0</v>
      </c>
      <c r="G32" s="27" t="s">
        <v>135</v>
      </c>
      <c r="H32" s="109">
        <v>1600.0</v>
      </c>
      <c r="I32" s="105" t="s">
        <v>27</v>
      </c>
      <c r="J32" s="105" t="s">
        <v>27</v>
      </c>
      <c r="K32" s="105" t="s">
        <v>27</v>
      </c>
      <c r="L32" s="29" t="b">
        <v>0</v>
      </c>
      <c r="M32" s="30">
        <f>SUM(E32:L32)</f>
        <v>2650</v>
      </c>
      <c r="N32" s="31">
        <f>M32-7000</f>
        <v>-4350</v>
      </c>
      <c r="O32" s="32"/>
      <c r="P32" s="33"/>
      <c r="Q32" s="34"/>
      <c r="R32" s="34"/>
    </row>
    <row r="33">
      <c r="A33" s="12"/>
      <c r="B33" s="35"/>
      <c r="C33" s="24" t="s">
        <v>5</v>
      </c>
      <c r="E33" s="99"/>
      <c r="F33" s="110">
        <v>574.0</v>
      </c>
      <c r="H33" s="110">
        <v>330.0</v>
      </c>
      <c r="N33" s="36"/>
      <c r="O33" s="38">
        <f>SUM(E33:K33)</f>
        <v>904</v>
      </c>
      <c r="P33" s="33"/>
      <c r="Q33" s="34"/>
      <c r="R33" s="34"/>
    </row>
    <row r="34">
      <c r="A34" s="12"/>
      <c r="B34" s="39"/>
      <c r="C34" s="24" t="s">
        <v>20</v>
      </c>
      <c r="D34" s="41"/>
      <c r="E34" s="100"/>
      <c r="F34" s="116" t="s">
        <v>418</v>
      </c>
      <c r="G34" s="41"/>
      <c r="H34" s="116" t="s">
        <v>419</v>
      </c>
      <c r="I34" s="41"/>
      <c r="J34" s="41"/>
      <c r="K34" s="41"/>
      <c r="L34" s="41"/>
      <c r="M34" s="41"/>
      <c r="N34" s="40"/>
      <c r="O34" s="43">
        <f>M32/O33</f>
        <v>2.931415929</v>
      </c>
      <c r="P34" s="33"/>
      <c r="Q34" s="34"/>
      <c r="R34" s="34"/>
    </row>
    <row r="35">
      <c r="A35" s="12"/>
      <c r="B35" s="23" t="s">
        <v>73</v>
      </c>
      <c r="C35" s="24" t="s">
        <v>16</v>
      </c>
      <c r="D35" s="25" t="s">
        <v>74</v>
      </c>
      <c r="E35" s="126" t="s">
        <v>27</v>
      </c>
      <c r="F35" s="126" t="s">
        <v>27</v>
      </c>
      <c r="G35" s="126" t="s">
        <v>27</v>
      </c>
      <c r="H35" s="117">
        <v>2300.0</v>
      </c>
      <c r="I35" s="117">
        <v>2200.0</v>
      </c>
      <c r="J35" s="63" t="s">
        <v>135</v>
      </c>
      <c r="K35" s="63" t="s">
        <v>135</v>
      </c>
      <c r="L35" s="29" t="b">
        <v>0</v>
      </c>
      <c r="M35" s="30">
        <f>SUM(E35:L35)</f>
        <v>4500</v>
      </c>
      <c r="N35" s="31">
        <f>M35-7000</f>
        <v>-2500</v>
      </c>
      <c r="O35" s="32"/>
      <c r="P35" s="33"/>
      <c r="Q35" s="34"/>
      <c r="R35" s="34"/>
    </row>
    <row r="36">
      <c r="A36" s="12"/>
      <c r="B36" s="35"/>
      <c r="C36" s="24" t="s">
        <v>5</v>
      </c>
      <c r="D36" s="36"/>
      <c r="H36" s="110">
        <v>531.0</v>
      </c>
      <c r="I36" s="110">
        <v>471.0</v>
      </c>
      <c r="N36" s="36"/>
      <c r="O36" s="38">
        <f>SUM(E36:K36)</f>
        <v>1002</v>
      </c>
      <c r="P36" s="33"/>
      <c r="Q36" s="34"/>
      <c r="R36" s="34"/>
    </row>
    <row r="37">
      <c r="A37" s="12"/>
      <c r="B37" s="39"/>
      <c r="C37" s="24" t="s">
        <v>20</v>
      </c>
      <c r="D37" s="40"/>
      <c r="E37" s="41"/>
      <c r="F37" s="41"/>
      <c r="G37" s="41"/>
      <c r="H37" s="111" t="s">
        <v>420</v>
      </c>
      <c r="I37" s="111" t="s">
        <v>421</v>
      </c>
      <c r="J37" s="41"/>
      <c r="K37" s="41"/>
      <c r="L37" s="41"/>
      <c r="M37" s="41"/>
      <c r="N37" s="40"/>
      <c r="O37" s="43">
        <f>M35/O36</f>
        <v>4.491017964</v>
      </c>
      <c r="P37" s="33"/>
      <c r="Q37" s="34"/>
      <c r="R37" s="34"/>
    </row>
    <row r="38">
      <c r="A38" s="12"/>
      <c r="B38" s="23" t="s">
        <v>76</v>
      </c>
      <c r="C38" s="24" t="s">
        <v>16</v>
      </c>
      <c r="D38" s="25" t="s">
        <v>77</v>
      </c>
      <c r="E38" s="27" t="s">
        <v>135</v>
      </c>
      <c r="F38" s="109">
        <v>1050.0</v>
      </c>
      <c r="G38" s="127" t="s">
        <v>422</v>
      </c>
      <c r="H38" s="77" t="s">
        <v>62</v>
      </c>
      <c r="I38" s="109">
        <v>6000.0</v>
      </c>
      <c r="J38" s="27" t="s">
        <v>135</v>
      </c>
      <c r="K38" s="27" t="s">
        <v>135</v>
      </c>
      <c r="L38" s="29" t="b">
        <v>0</v>
      </c>
      <c r="M38" s="30">
        <f>SUM(E38:L38)</f>
        <v>7050</v>
      </c>
      <c r="N38" s="31">
        <f>M38-7000</f>
        <v>50</v>
      </c>
      <c r="O38" s="32"/>
      <c r="P38" s="33"/>
      <c r="Q38" s="34"/>
      <c r="R38" s="34"/>
    </row>
    <row r="39">
      <c r="A39" s="12"/>
      <c r="B39" s="35"/>
      <c r="C39" s="24" t="s">
        <v>5</v>
      </c>
      <c r="D39" s="36"/>
      <c r="F39" s="110">
        <v>529.0</v>
      </c>
      <c r="H39" s="35"/>
      <c r="I39" s="110">
        <v>2889.0</v>
      </c>
      <c r="N39" s="36"/>
      <c r="O39" s="38">
        <f>SUM(E39:K39)</f>
        <v>3418</v>
      </c>
      <c r="P39" s="33"/>
      <c r="Q39" s="34"/>
      <c r="R39" s="34"/>
    </row>
    <row r="40">
      <c r="A40" s="12"/>
      <c r="B40" s="39"/>
      <c r="C40" s="24" t="s">
        <v>20</v>
      </c>
      <c r="D40" s="40"/>
      <c r="E40" s="41"/>
      <c r="F40" s="111" t="s">
        <v>423</v>
      </c>
      <c r="G40" s="41"/>
      <c r="H40" s="35"/>
      <c r="I40" s="111" t="s">
        <v>424</v>
      </c>
      <c r="J40" s="41"/>
      <c r="K40" s="41"/>
      <c r="L40" s="41"/>
      <c r="M40" s="41"/>
      <c r="N40" s="40"/>
      <c r="O40" s="43">
        <f>M38/O39</f>
        <v>2.062609713</v>
      </c>
      <c r="P40" s="33"/>
      <c r="Q40" s="34"/>
      <c r="R40" s="34"/>
    </row>
    <row r="41">
      <c r="A41" s="12"/>
      <c r="B41" s="23" t="s">
        <v>82</v>
      </c>
      <c r="C41" s="24" t="s">
        <v>16</v>
      </c>
      <c r="D41" s="25" t="s">
        <v>83</v>
      </c>
      <c r="E41" s="109">
        <v>1900.0</v>
      </c>
      <c r="F41" s="109">
        <v>3300.0</v>
      </c>
      <c r="G41" s="27" t="s">
        <v>135</v>
      </c>
      <c r="H41" s="27" t="s">
        <v>135</v>
      </c>
      <c r="I41" s="109">
        <v>6300.0</v>
      </c>
      <c r="J41" s="27" t="s">
        <v>135</v>
      </c>
      <c r="K41" s="27" t="s">
        <v>135</v>
      </c>
      <c r="L41" s="29" t="b">
        <v>0</v>
      </c>
      <c r="M41" s="30">
        <f>SUM(E41:L41)</f>
        <v>11500</v>
      </c>
      <c r="N41" s="31">
        <f>M41-7000</f>
        <v>4500</v>
      </c>
      <c r="O41" s="32"/>
      <c r="P41" s="33"/>
      <c r="Q41" s="34"/>
      <c r="R41" s="34"/>
    </row>
    <row r="42">
      <c r="A42" s="12"/>
      <c r="B42" s="35"/>
      <c r="C42" s="24" t="s">
        <v>5</v>
      </c>
      <c r="D42" s="36"/>
      <c r="E42" s="110">
        <f>163+675</f>
        <v>838</v>
      </c>
      <c r="F42" s="110">
        <f>120+1096</f>
        <v>1216</v>
      </c>
      <c r="I42" s="110">
        <v>2849.0</v>
      </c>
      <c r="N42" s="36"/>
      <c r="O42" s="38">
        <f>SUM(E42:K42)</f>
        <v>4903</v>
      </c>
      <c r="P42" s="33"/>
      <c r="Q42" s="34"/>
      <c r="R42" s="34"/>
    </row>
    <row r="43">
      <c r="A43" s="12"/>
      <c r="B43" s="39"/>
      <c r="C43" s="24" t="s">
        <v>20</v>
      </c>
      <c r="D43" s="40"/>
      <c r="E43" s="111" t="s">
        <v>425</v>
      </c>
      <c r="F43" s="111" t="s">
        <v>426</v>
      </c>
      <c r="G43" s="41"/>
      <c r="H43" s="41"/>
      <c r="I43" s="111" t="s">
        <v>427</v>
      </c>
      <c r="J43" s="41"/>
      <c r="K43" s="41"/>
      <c r="L43" s="41"/>
      <c r="M43" s="41"/>
      <c r="N43" s="40"/>
      <c r="O43" s="43">
        <f>M41/O42</f>
        <v>2.345502753</v>
      </c>
      <c r="P43" s="33"/>
      <c r="Q43" s="34"/>
      <c r="R43" s="34"/>
    </row>
    <row r="44">
      <c r="A44" s="12"/>
      <c r="B44" s="23" t="s">
        <v>86</v>
      </c>
      <c r="C44" s="24" t="s">
        <v>16</v>
      </c>
      <c r="D44" s="96" t="s">
        <v>87</v>
      </c>
      <c r="E44" s="128" t="s">
        <v>27</v>
      </c>
      <c r="F44" s="105" t="s">
        <v>27</v>
      </c>
      <c r="G44" s="105" t="s">
        <v>27</v>
      </c>
      <c r="H44" s="105" t="s">
        <v>27</v>
      </c>
      <c r="I44" s="105" t="s">
        <v>27</v>
      </c>
      <c r="J44" s="105" t="s">
        <v>27</v>
      </c>
      <c r="K44" s="105" t="s">
        <v>27</v>
      </c>
      <c r="L44" s="29" t="b">
        <v>0</v>
      </c>
      <c r="M44" s="30">
        <f>SUM(E44:L44)</f>
        <v>0</v>
      </c>
      <c r="N44" s="31">
        <f>M44-7000</f>
        <v>-7000</v>
      </c>
      <c r="O44" s="32"/>
      <c r="P44" s="33"/>
      <c r="Q44" s="34"/>
      <c r="R44" s="34"/>
    </row>
    <row r="45">
      <c r="A45" s="12"/>
      <c r="B45" s="35"/>
      <c r="C45" s="24" t="s">
        <v>5</v>
      </c>
      <c r="E45" s="99"/>
      <c r="N45" s="36"/>
      <c r="O45" s="38">
        <f>SUM(E45:K45)</f>
        <v>0</v>
      </c>
      <c r="P45" s="33"/>
      <c r="Q45" s="34"/>
      <c r="R45" s="34"/>
    </row>
    <row r="46">
      <c r="A46" s="12"/>
      <c r="B46" s="39"/>
      <c r="C46" s="24" t="s">
        <v>20</v>
      </c>
      <c r="D46" s="41"/>
      <c r="E46" s="100"/>
      <c r="F46" s="41"/>
      <c r="G46" s="41"/>
      <c r="H46" s="41"/>
      <c r="I46" s="41"/>
      <c r="J46" s="41"/>
      <c r="K46" s="41"/>
      <c r="L46" s="41"/>
      <c r="M46" s="41"/>
      <c r="N46" s="40"/>
      <c r="O46" s="43" t="str">
        <f>M44/O45</f>
        <v>#DIV/0!</v>
      </c>
      <c r="P46" s="33"/>
      <c r="Q46" s="34"/>
      <c r="R46" s="34"/>
    </row>
    <row r="47">
      <c r="A47" s="12"/>
      <c r="B47" s="23" t="s">
        <v>94</v>
      </c>
      <c r="C47" s="24" t="s">
        <v>16</v>
      </c>
      <c r="D47" s="25" t="s">
        <v>95</v>
      </c>
      <c r="E47" s="125" t="s">
        <v>27</v>
      </c>
      <c r="F47" s="125" t="s">
        <v>27</v>
      </c>
      <c r="G47" s="129" t="s">
        <v>388</v>
      </c>
      <c r="H47" s="129" t="s">
        <v>388</v>
      </c>
      <c r="I47" s="117">
        <v>3400.0</v>
      </c>
      <c r="J47" s="63" t="s">
        <v>135</v>
      </c>
      <c r="K47" s="63" t="s">
        <v>135</v>
      </c>
      <c r="L47" s="29" t="b">
        <v>0</v>
      </c>
      <c r="M47" s="30">
        <f>SUM(E47:L47)</f>
        <v>3400</v>
      </c>
      <c r="N47" s="31">
        <f>M47-7000</f>
        <v>-3600</v>
      </c>
      <c r="O47" s="32"/>
      <c r="P47" s="33"/>
      <c r="Q47" s="34"/>
      <c r="R47" s="34"/>
    </row>
    <row r="48">
      <c r="A48" s="12"/>
      <c r="B48" s="35"/>
      <c r="C48" s="24" t="s">
        <v>5</v>
      </c>
      <c r="D48" s="36"/>
      <c r="I48" s="110">
        <v>1436.0</v>
      </c>
      <c r="N48" s="36"/>
      <c r="O48" s="38">
        <f>SUM(E48:K48)</f>
        <v>1436</v>
      </c>
      <c r="P48" s="33"/>
      <c r="Q48" s="34"/>
      <c r="R48" s="34"/>
    </row>
    <row r="49">
      <c r="A49" s="12"/>
      <c r="B49" s="39"/>
      <c r="C49" s="24" t="s">
        <v>20</v>
      </c>
      <c r="D49" s="40"/>
      <c r="E49" s="41"/>
      <c r="F49" s="41"/>
      <c r="G49" s="41"/>
      <c r="H49" s="41"/>
      <c r="I49" s="111" t="s">
        <v>428</v>
      </c>
      <c r="J49" s="41"/>
      <c r="K49" s="41"/>
      <c r="L49" s="41"/>
      <c r="M49" s="41"/>
      <c r="N49" s="40"/>
      <c r="O49" s="43">
        <f>M47/O48</f>
        <v>2.367688022</v>
      </c>
      <c r="P49" s="33"/>
      <c r="Q49" s="34"/>
      <c r="R49" s="34"/>
    </row>
    <row r="50">
      <c r="A50" s="12"/>
      <c r="B50" s="23" t="s">
        <v>98</v>
      </c>
      <c r="C50" s="24" t="s">
        <v>16</v>
      </c>
      <c r="D50" s="25" t="s">
        <v>99</v>
      </c>
      <c r="E50" s="109">
        <v>5700.0</v>
      </c>
      <c r="F50" s="27" t="s">
        <v>135</v>
      </c>
      <c r="G50" s="27" t="s">
        <v>135</v>
      </c>
      <c r="H50" s="109">
        <v>5100.0</v>
      </c>
      <c r="I50" s="27" t="s">
        <v>135</v>
      </c>
      <c r="J50" s="27" t="s">
        <v>135</v>
      </c>
      <c r="K50" s="27" t="s">
        <v>135</v>
      </c>
      <c r="L50" s="29" t="b">
        <v>0</v>
      </c>
      <c r="M50" s="30">
        <f>SUM(E50:L50)</f>
        <v>10800</v>
      </c>
      <c r="N50" s="31">
        <f>M50-7000</f>
        <v>3800</v>
      </c>
      <c r="O50" s="32"/>
      <c r="P50" s="33"/>
      <c r="Q50" s="34"/>
      <c r="R50" s="34"/>
    </row>
    <row r="51">
      <c r="A51" s="12"/>
      <c r="B51" s="35"/>
      <c r="C51" s="24" t="s">
        <v>5</v>
      </c>
      <c r="D51" s="36"/>
      <c r="E51" s="110">
        <v>2092.0</v>
      </c>
      <c r="H51" s="110">
        <v>2254.0</v>
      </c>
      <c r="N51" s="36"/>
      <c r="O51" s="38">
        <f>SUM(E51:K51)</f>
        <v>4346</v>
      </c>
      <c r="P51" s="33"/>
      <c r="Q51" s="34"/>
      <c r="R51" s="34"/>
    </row>
    <row r="52">
      <c r="A52" s="12"/>
      <c r="B52" s="39"/>
      <c r="C52" s="24" t="s">
        <v>20</v>
      </c>
      <c r="D52" s="40"/>
      <c r="E52" s="111" t="s">
        <v>429</v>
      </c>
      <c r="F52" s="41"/>
      <c r="G52" s="41"/>
      <c r="H52" s="111" t="s">
        <v>430</v>
      </c>
      <c r="I52" s="41"/>
      <c r="J52" s="41"/>
      <c r="K52" s="41"/>
      <c r="L52" s="41"/>
      <c r="M52" s="41"/>
      <c r="N52" s="40"/>
      <c r="O52" s="43">
        <f>M50/O51</f>
        <v>2.485043718</v>
      </c>
      <c r="P52" s="33"/>
      <c r="Q52" s="34"/>
      <c r="R52" s="34"/>
    </row>
    <row r="53">
      <c r="A53" s="12"/>
      <c r="B53" s="23" t="s">
        <v>104</v>
      </c>
      <c r="C53" s="24" t="s">
        <v>16</v>
      </c>
      <c r="D53" s="25" t="s">
        <v>105</v>
      </c>
      <c r="E53" s="109">
        <v>5650.0</v>
      </c>
      <c r="F53" s="27" t="s">
        <v>135</v>
      </c>
      <c r="G53" s="27" t="s">
        <v>135</v>
      </c>
      <c r="H53" s="130">
        <v>1700.0</v>
      </c>
      <c r="I53" s="109">
        <v>4800.0</v>
      </c>
      <c r="J53" s="27" t="s">
        <v>135</v>
      </c>
      <c r="K53" s="27" t="s">
        <v>135</v>
      </c>
      <c r="L53" s="29" t="b">
        <v>0</v>
      </c>
      <c r="M53" s="30">
        <f>SUM(E53:L53)</f>
        <v>12150</v>
      </c>
      <c r="N53" s="31">
        <f>M53-7000</f>
        <v>5150</v>
      </c>
      <c r="O53" s="32"/>
      <c r="P53" s="33"/>
      <c r="Q53" s="34"/>
      <c r="R53" s="34"/>
    </row>
    <row r="54">
      <c r="A54" s="12"/>
      <c r="B54" s="35"/>
      <c r="C54" s="24" t="s">
        <v>5</v>
      </c>
      <c r="D54" s="36"/>
      <c r="E54" s="110">
        <v>1956.0</v>
      </c>
      <c r="H54" s="131">
        <v>884.0</v>
      </c>
      <c r="I54" s="110">
        <v>2368.0</v>
      </c>
      <c r="N54" s="36"/>
      <c r="O54" s="38">
        <f>SUM(E54:K54)</f>
        <v>5208</v>
      </c>
      <c r="P54" s="33"/>
      <c r="Q54" s="34"/>
      <c r="R54" s="34"/>
    </row>
    <row r="55">
      <c r="A55" s="12"/>
      <c r="B55" s="39"/>
      <c r="C55" s="24" t="s">
        <v>20</v>
      </c>
      <c r="D55" s="40"/>
      <c r="E55" s="111" t="s">
        <v>431</v>
      </c>
      <c r="F55" s="41"/>
      <c r="G55" s="41"/>
      <c r="H55" s="111" t="s">
        <v>432</v>
      </c>
      <c r="I55" s="111" t="s">
        <v>433</v>
      </c>
      <c r="J55" s="41"/>
      <c r="K55" s="41"/>
      <c r="L55" s="41"/>
      <c r="M55" s="41"/>
      <c r="N55" s="40"/>
      <c r="O55" s="43">
        <f>M53/O54</f>
        <v>2.332949309</v>
      </c>
      <c r="P55" s="33"/>
      <c r="Q55" s="34"/>
      <c r="R55" s="34"/>
    </row>
    <row r="56">
      <c r="A56" s="12"/>
      <c r="B56" s="23" t="s">
        <v>108</v>
      </c>
      <c r="C56" s="24" t="s">
        <v>16</v>
      </c>
      <c r="D56" s="25" t="s">
        <v>109</v>
      </c>
      <c r="E56" s="109">
        <v>1375.0</v>
      </c>
      <c r="F56" s="109">
        <v>1600.0</v>
      </c>
      <c r="G56" s="109">
        <v>1600.0</v>
      </c>
      <c r="H56" s="109">
        <v>1400.0</v>
      </c>
      <c r="I56" s="109">
        <f>700+150</f>
        <v>850</v>
      </c>
      <c r="J56" s="27" t="s">
        <v>135</v>
      </c>
      <c r="K56" s="109">
        <v>1430.0</v>
      </c>
      <c r="L56" s="29" t="b">
        <v>0</v>
      </c>
      <c r="M56" s="30">
        <f>SUM(E56:L56)</f>
        <v>8255</v>
      </c>
      <c r="N56" s="31">
        <f>M56-7000</f>
        <v>1255</v>
      </c>
      <c r="O56" s="32"/>
      <c r="P56" s="33"/>
      <c r="Q56" s="34"/>
      <c r="R56" s="34"/>
    </row>
    <row r="57">
      <c r="A57" s="12"/>
      <c r="B57" s="35"/>
      <c r="C57" s="24" t="s">
        <v>5</v>
      </c>
      <c r="D57" s="36"/>
      <c r="E57" s="110">
        <f>428+104</f>
        <v>532</v>
      </c>
      <c r="F57" s="110">
        <f>603+15+23</f>
        <v>641</v>
      </c>
      <c r="G57" s="110">
        <f>589+70</f>
        <v>659</v>
      </c>
      <c r="H57" s="110">
        <f>616+77</f>
        <v>693</v>
      </c>
      <c r="I57" s="110">
        <f>136+132</f>
        <v>268</v>
      </c>
      <c r="K57" s="110">
        <f>87+372</f>
        <v>459</v>
      </c>
      <c r="N57" s="36"/>
      <c r="O57" s="38">
        <f>SUM(E57:K57)</f>
        <v>3252</v>
      </c>
      <c r="P57" s="33"/>
      <c r="Q57" s="34"/>
      <c r="R57" s="34"/>
    </row>
    <row r="58">
      <c r="A58" s="12"/>
      <c r="B58" s="39"/>
      <c r="C58" s="24" t="s">
        <v>20</v>
      </c>
      <c r="D58" s="40"/>
      <c r="E58" s="111" t="s">
        <v>434</v>
      </c>
      <c r="F58" s="111" t="s">
        <v>435</v>
      </c>
      <c r="G58" s="111" t="s">
        <v>436</v>
      </c>
      <c r="H58" s="111" t="s">
        <v>437</v>
      </c>
      <c r="I58" s="111" t="s">
        <v>438</v>
      </c>
      <c r="J58" s="41"/>
      <c r="K58" s="111" t="s">
        <v>439</v>
      </c>
      <c r="L58" s="41"/>
      <c r="M58" s="41"/>
      <c r="N58" s="40"/>
      <c r="O58" s="43">
        <f>M56/O57</f>
        <v>2.538437884</v>
      </c>
      <c r="P58" s="33"/>
      <c r="Q58" s="34"/>
      <c r="R58" s="34"/>
    </row>
    <row r="59">
      <c r="A59" s="12"/>
      <c r="B59" s="23" t="s">
        <v>249</v>
      </c>
      <c r="C59" s="24" t="s">
        <v>16</v>
      </c>
      <c r="D59" s="25" t="s">
        <v>250</v>
      </c>
      <c r="E59" s="44" t="s">
        <v>440</v>
      </c>
      <c r="F59" s="44" t="s">
        <v>440</v>
      </c>
      <c r="G59" s="109">
        <v>1750.0</v>
      </c>
      <c r="H59" s="109">
        <v>2300.0</v>
      </c>
      <c r="I59" s="109">
        <v>4400.0</v>
      </c>
      <c r="J59" s="27" t="s">
        <v>135</v>
      </c>
      <c r="K59" s="27" t="s">
        <v>135</v>
      </c>
      <c r="L59" s="29" t="b">
        <v>0</v>
      </c>
      <c r="M59" s="30">
        <f>SUM(E59:L59)</f>
        <v>8450</v>
      </c>
      <c r="N59" s="31">
        <f>M59-7000</f>
        <v>1450</v>
      </c>
      <c r="O59" s="32"/>
      <c r="P59" s="33"/>
      <c r="Q59" s="34"/>
      <c r="R59" s="34"/>
    </row>
    <row r="60">
      <c r="A60" s="12"/>
      <c r="B60" s="35"/>
      <c r="C60" s="24" t="s">
        <v>5</v>
      </c>
      <c r="D60" s="36"/>
      <c r="G60" s="110">
        <v>642.0</v>
      </c>
      <c r="H60" s="110">
        <v>734.0</v>
      </c>
      <c r="I60" s="110">
        <v>1982.0</v>
      </c>
      <c r="N60" s="36"/>
      <c r="O60" s="38">
        <f>SUM(E60:K60)</f>
        <v>3358</v>
      </c>
      <c r="P60" s="33"/>
      <c r="Q60" s="34"/>
      <c r="R60" s="34"/>
    </row>
    <row r="61">
      <c r="A61" s="12"/>
      <c r="B61" s="39"/>
      <c r="C61" s="24" t="s">
        <v>20</v>
      </c>
      <c r="D61" s="40"/>
      <c r="E61" s="41"/>
      <c r="F61" s="41"/>
      <c r="G61" s="111" t="s">
        <v>441</v>
      </c>
      <c r="H61" s="111" t="s">
        <v>442</v>
      </c>
      <c r="I61" s="111" t="s">
        <v>443</v>
      </c>
      <c r="J61" s="41"/>
      <c r="K61" s="41"/>
      <c r="L61" s="41"/>
      <c r="M61" s="41"/>
      <c r="N61" s="40"/>
      <c r="O61" s="43">
        <f>M59/O60</f>
        <v>2.516378797</v>
      </c>
      <c r="P61" s="33"/>
      <c r="Q61" s="34"/>
      <c r="R61" s="34"/>
    </row>
    <row r="62" ht="16.5" customHeight="1">
      <c r="A62" s="12"/>
      <c r="B62" s="23" t="s">
        <v>308</v>
      </c>
      <c r="C62" s="24" t="s">
        <v>16</v>
      </c>
      <c r="D62" s="25" t="s">
        <v>309</v>
      </c>
      <c r="E62" s="109">
        <v>900.0</v>
      </c>
      <c r="F62" s="109">
        <v>3300.0</v>
      </c>
      <c r="G62" s="27" t="s">
        <v>135</v>
      </c>
      <c r="H62" s="109">
        <v>3300.0</v>
      </c>
      <c r="I62" s="109">
        <v>4750.0</v>
      </c>
      <c r="J62" s="27" t="s">
        <v>135</v>
      </c>
      <c r="K62" s="27" t="s">
        <v>135</v>
      </c>
      <c r="L62" s="29" t="b">
        <v>0</v>
      </c>
      <c r="M62" s="30">
        <f>SUM(E62:L62)</f>
        <v>12250</v>
      </c>
      <c r="N62" s="31">
        <f>M62-7000</f>
        <v>5250</v>
      </c>
      <c r="O62" s="32"/>
      <c r="P62" s="33"/>
      <c r="Q62" s="34"/>
      <c r="R62" s="34"/>
    </row>
    <row r="63" ht="16.5" customHeight="1">
      <c r="A63" s="12"/>
      <c r="B63" s="35"/>
      <c r="C63" s="24" t="s">
        <v>5</v>
      </c>
      <c r="D63" s="36"/>
      <c r="E63" s="110">
        <v>457.0</v>
      </c>
      <c r="F63" s="110">
        <v>1686.0</v>
      </c>
      <c r="H63" s="110">
        <v>775.0</v>
      </c>
      <c r="I63" s="110">
        <v>2317.0</v>
      </c>
      <c r="N63" s="36"/>
      <c r="O63" s="38">
        <f>SUM(E63:K63)</f>
        <v>5235</v>
      </c>
      <c r="P63" s="33"/>
      <c r="Q63" s="34"/>
      <c r="R63" s="34"/>
    </row>
    <row r="64" ht="16.5" customHeight="1">
      <c r="A64" s="12"/>
      <c r="B64" s="39"/>
      <c r="C64" s="24" t="s">
        <v>20</v>
      </c>
      <c r="D64" s="40"/>
      <c r="E64" s="111" t="s">
        <v>444</v>
      </c>
      <c r="F64" s="111" t="s">
        <v>445</v>
      </c>
      <c r="G64" s="41"/>
      <c r="H64" s="111" t="s">
        <v>446</v>
      </c>
      <c r="I64" s="111" t="s">
        <v>447</v>
      </c>
      <c r="J64" s="41"/>
      <c r="K64" s="41"/>
      <c r="L64" s="41"/>
      <c r="M64" s="41"/>
      <c r="N64" s="40"/>
      <c r="O64" s="43">
        <f>M62/O63</f>
        <v>2.340019102</v>
      </c>
      <c r="P64" s="33"/>
      <c r="Q64" s="34"/>
      <c r="R64" s="34"/>
    </row>
    <row r="65" ht="16.5" customHeight="1">
      <c r="A65" s="12"/>
      <c r="B65" s="23" t="s">
        <v>448</v>
      </c>
      <c r="C65" s="24" t="s">
        <v>16</v>
      </c>
      <c r="D65" s="96" t="s">
        <v>449</v>
      </c>
      <c r="E65" s="97" t="s">
        <v>71</v>
      </c>
      <c r="F65" s="98" t="s">
        <v>71</v>
      </c>
      <c r="G65" s="98" t="s">
        <v>71</v>
      </c>
      <c r="H65" s="109">
        <v>1400.0</v>
      </c>
      <c r="I65" s="109">
        <v>6500.0</v>
      </c>
      <c r="J65" s="27" t="s">
        <v>135</v>
      </c>
      <c r="K65" s="27" t="s">
        <v>135</v>
      </c>
      <c r="L65" s="29" t="b">
        <v>0</v>
      </c>
      <c r="M65" s="30">
        <f>SUM(F65:L65)</f>
        <v>7900</v>
      </c>
      <c r="N65" s="31">
        <f>M65-7000</f>
        <v>900</v>
      </c>
      <c r="O65" s="32"/>
      <c r="P65" s="33"/>
      <c r="Q65" s="34"/>
      <c r="R65" s="34"/>
    </row>
    <row r="66" ht="16.5" customHeight="1">
      <c r="A66" s="12"/>
      <c r="B66" s="35"/>
      <c r="C66" s="24" t="s">
        <v>5</v>
      </c>
      <c r="E66" s="99"/>
      <c r="H66" s="110">
        <f>106+599</f>
        <v>705</v>
      </c>
      <c r="I66" s="110">
        <f>81+2258</f>
        <v>2339</v>
      </c>
      <c r="N66" s="36"/>
      <c r="O66" s="38">
        <f>SUM(F66:K66)</f>
        <v>3044</v>
      </c>
      <c r="P66" s="33"/>
      <c r="Q66" s="34"/>
      <c r="R66" s="34"/>
    </row>
    <row r="67" ht="16.5" customHeight="1">
      <c r="A67" s="12"/>
      <c r="B67" s="39"/>
      <c r="C67" s="24" t="s">
        <v>20</v>
      </c>
      <c r="D67" s="41"/>
      <c r="E67" s="100"/>
      <c r="F67" s="41"/>
      <c r="G67" s="41"/>
      <c r="H67" s="111" t="s">
        <v>450</v>
      </c>
      <c r="I67" s="111" t="s">
        <v>451</v>
      </c>
      <c r="J67" s="41"/>
      <c r="K67" s="41"/>
      <c r="L67" s="41"/>
      <c r="M67" s="41"/>
      <c r="N67" s="40"/>
      <c r="O67" s="43">
        <f>M65/O66</f>
        <v>2.595269382</v>
      </c>
      <c r="P67" s="33"/>
      <c r="Q67" s="34"/>
      <c r="R67" s="34"/>
    </row>
    <row r="68" ht="16.5" customHeight="1">
      <c r="A68" s="12"/>
      <c r="B68" s="23" t="s">
        <v>452</v>
      </c>
      <c r="C68" s="24" t="s">
        <v>16</v>
      </c>
      <c r="D68" s="25" t="s">
        <v>453</v>
      </c>
      <c r="E68" s="109"/>
      <c r="F68" s="109"/>
      <c r="G68" s="109"/>
      <c r="H68" s="109"/>
      <c r="I68" s="109"/>
      <c r="J68" s="109"/>
      <c r="K68" s="109"/>
      <c r="L68" s="29" t="b">
        <v>0</v>
      </c>
      <c r="M68" s="30">
        <f>SUM(F68:L68)</f>
        <v>0</v>
      </c>
      <c r="N68" s="31">
        <f>M68-7000</f>
        <v>-7000</v>
      </c>
      <c r="O68" s="32"/>
      <c r="P68" s="33"/>
      <c r="Q68" s="34"/>
      <c r="R68" s="34"/>
    </row>
    <row r="69" ht="16.5" customHeight="1">
      <c r="A69" s="12"/>
      <c r="B69" s="35"/>
      <c r="C69" s="24" t="s">
        <v>5</v>
      </c>
      <c r="D69" s="36"/>
      <c r="E69" s="110"/>
      <c r="F69" s="110"/>
      <c r="G69" s="110"/>
      <c r="H69" s="110"/>
      <c r="I69" s="110"/>
      <c r="J69" s="110"/>
      <c r="K69" s="110"/>
      <c r="N69" s="36"/>
      <c r="O69" s="38">
        <f>SUM(F69:K69)</f>
        <v>0</v>
      </c>
      <c r="P69" s="33"/>
      <c r="Q69" s="34"/>
      <c r="R69" s="34"/>
    </row>
    <row r="70" ht="16.5" customHeight="1">
      <c r="A70" s="12"/>
      <c r="B70" s="39"/>
      <c r="C70" s="24" t="s">
        <v>20</v>
      </c>
      <c r="D70" s="40"/>
      <c r="E70" s="116"/>
      <c r="F70" s="116"/>
      <c r="G70" s="116"/>
      <c r="H70" s="116"/>
      <c r="I70" s="111"/>
      <c r="J70" s="111"/>
      <c r="K70" s="111"/>
      <c r="L70" s="41"/>
      <c r="M70" s="41"/>
      <c r="N70" s="40"/>
      <c r="O70" s="43" t="str">
        <f>M68/O69</f>
        <v>#DIV/0!</v>
      </c>
      <c r="P70" s="33"/>
      <c r="Q70" s="34"/>
      <c r="R70" s="34"/>
    </row>
    <row r="71" ht="16.5" customHeight="1">
      <c r="A71" s="12"/>
      <c r="B71" s="23" t="s">
        <v>114</v>
      </c>
      <c r="C71" s="24" t="s">
        <v>16</v>
      </c>
      <c r="D71" s="25" t="s">
        <v>115</v>
      </c>
      <c r="E71" s="117">
        <v>2450.0</v>
      </c>
      <c r="F71" s="117">
        <v>1200.0</v>
      </c>
      <c r="G71" s="117">
        <v>2175.0</v>
      </c>
      <c r="H71" s="27" t="s">
        <v>135</v>
      </c>
      <c r="I71" s="109">
        <v>1300.0</v>
      </c>
      <c r="J71" s="109">
        <v>4650.0</v>
      </c>
      <c r="K71" s="27" t="s">
        <v>135</v>
      </c>
      <c r="L71" s="29" t="b">
        <v>0</v>
      </c>
      <c r="M71" s="30">
        <f>SUM(E71:L71)</f>
        <v>11775</v>
      </c>
      <c r="N71" s="31">
        <f>M71-7000</f>
        <v>4775</v>
      </c>
      <c r="O71" s="32"/>
      <c r="P71" s="33"/>
      <c r="Q71" s="34"/>
      <c r="R71" s="34"/>
    </row>
    <row r="72">
      <c r="A72" s="12"/>
      <c r="B72" s="35"/>
      <c r="C72" s="24" t="s">
        <v>5</v>
      </c>
      <c r="D72" s="36"/>
      <c r="E72" s="110">
        <f>644+127</f>
        <v>771</v>
      </c>
      <c r="F72" s="110">
        <f>489+1</f>
        <v>490</v>
      </c>
      <c r="G72" s="110">
        <f>448+57</f>
        <v>505</v>
      </c>
      <c r="I72" s="110">
        <f>459+152</f>
        <v>611</v>
      </c>
      <c r="J72" s="110">
        <f>1690+140</f>
        <v>1830</v>
      </c>
      <c r="N72" s="36"/>
      <c r="O72" s="38">
        <f>SUM(E72:K72)</f>
        <v>4207</v>
      </c>
      <c r="P72" s="33"/>
      <c r="Q72" s="34"/>
      <c r="R72" s="34"/>
    </row>
    <row r="73">
      <c r="A73" s="12"/>
      <c r="B73" s="39"/>
      <c r="C73" s="24" t="s">
        <v>20</v>
      </c>
      <c r="D73" s="40"/>
      <c r="E73" s="116" t="s">
        <v>454</v>
      </c>
      <c r="F73" s="116" t="s">
        <v>455</v>
      </c>
      <c r="G73" s="116" t="s">
        <v>456</v>
      </c>
      <c r="H73" s="41"/>
      <c r="I73" s="116" t="s">
        <v>457</v>
      </c>
      <c r="J73" s="116" t="s">
        <v>458</v>
      </c>
      <c r="K73" s="41"/>
      <c r="L73" s="41"/>
      <c r="M73" s="41"/>
      <c r="N73" s="40"/>
      <c r="O73" s="43">
        <f>M71/O72</f>
        <v>2.798906584</v>
      </c>
      <c r="P73" s="33"/>
      <c r="Q73" s="34"/>
      <c r="R73" s="34"/>
    </row>
    <row r="74" ht="14.25" customHeight="1">
      <c r="A74" s="51"/>
      <c r="B74" s="52"/>
      <c r="C74" s="53"/>
      <c r="D74" s="54">
        <f>counta(D5:D73)</f>
        <v>23</v>
      </c>
      <c r="E74" s="37">
        <f t="shared" ref="E74:K74" si="2">$D$74-(COUNTIF(E5:E73, "TRUCK ISSUE") + COUNTIF(E5:E73, "NEW DRIVER") + COUNTIF(E5:E73, "LEFT") + COUNTIF(E5:E73, "YARD"))</f>
        <v>22</v>
      </c>
      <c r="F74" s="37">
        <f t="shared" si="2"/>
        <v>22</v>
      </c>
      <c r="G74" s="37">
        <f t="shared" si="2"/>
        <v>22</v>
      </c>
      <c r="H74" s="37">
        <f t="shared" si="2"/>
        <v>23</v>
      </c>
      <c r="I74" s="37">
        <f t="shared" si="2"/>
        <v>23</v>
      </c>
      <c r="J74" s="37">
        <f t="shared" si="2"/>
        <v>23</v>
      </c>
      <c r="K74" s="37">
        <f t="shared" si="2"/>
        <v>23</v>
      </c>
      <c r="L74" s="55"/>
      <c r="M74" s="55"/>
      <c r="N74" s="55"/>
      <c r="O74" s="55"/>
      <c r="P74" s="55"/>
      <c r="Q74" s="56"/>
      <c r="R74" s="56"/>
    </row>
    <row r="75" ht="14.25" customHeight="1">
      <c r="A75" s="51"/>
      <c r="B75" s="55"/>
      <c r="C75" s="55"/>
      <c r="D75" s="48"/>
      <c r="E75" s="48"/>
      <c r="F75" s="48"/>
      <c r="G75" s="48"/>
      <c r="H75" s="48"/>
      <c r="I75" s="48"/>
      <c r="J75" s="48"/>
      <c r="K75" s="48"/>
      <c r="L75" s="55"/>
      <c r="M75" s="55"/>
      <c r="N75" s="55"/>
      <c r="O75" s="55"/>
      <c r="P75" s="55"/>
      <c r="Q75" s="56"/>
      <c r="R75" s="56"/>
    </row>
    <row r="76">
      <c r="A76" s="12"/>
      <c r="B76" s="57" t="s">
        <v>120</v>
      </c>
      <c r="C76" s="58"/>
      <c r="D76" s="59" t="s">
        <v>121</v>
      </c>
      <c r="E76" s="60">
        <f t="shared" ref="E76:K76" si="3">SUM(E71,E56,E53,E50,E47,E44,E41,E38,E35,E32,E29,E26,E23,E20,E17,E14,E11,E8,E5,E59,E65,E62,E68)</f>
        <v>27675</v>
      </c>
      <c r="F76" s="60">
        <f t="shared" si="3"/>
        <v>33949</v>
      </c>
      <c r="G76" s="60">
        <f t="shared" si="3"/>
        <v>16275</v>
      </c>
      <c r="H76" s="60">
        <f t="shared" si="3"/>
        <v>25400</v>
      </c>
      <c r="I76" s="60">
        <f t="shared" si="3"/>
        <v>52250</v>
      </c>
      <c r="J76" s="60">
        <f t="shared" si="3"/>
        <v>10600</v>
      </c>
      <c r="K76" s="60">
        <f t="shared" si="3"/>
        <v>5530</v>
      </c>
      <c r="L76" s="61" t="s">
        <v>122</v>
      </c>
      <c r="M76" s="62">
        <f>SUM(E76:L76)</f>
        <v>171679</v>
      </c>
      <c r="N76" s="63"/>
      <c r="O76" s="64" t="s">
        <v>123</v>
      </c>
      <c r="P76" s="65">
        <f>COUNTIF(E5:K73, "No loads")</f>
        <v>0</v>
      </c>
      <c r="Q76" s="66"/>
      <c r="R76" s="66"/>
    </row>
    <row r="77">
      <c r="A77" s="12"/>
      <c r="B77" s="67">
        <f>D74</f>
        <v>23</v>
      </c>
      <c r="C77" s="68"/>
      <c r="D77" s="69" t="s">
        <v>124</v>
      </c>
      <c r="E77" s="70">
        <f t="shared" ref="E77:K77" si="4">E74</f>
        <v>22</v>
      </c>
      <c r="F77" s="70">
        <f t="shared" si="4"/>
        <v>22</v>
      </c>
      <c r="G77" s="70">
        <f t="shared" si="4"/>
        <v>22</v>
      </c>
      <c r="H77" s="70">
        <f t="shared" si="4"/>
        <v>23</v>
      </c>
      <c r="I77" s="70">
        <f t="shared" si="4"/>
        <v>23</v>
      </c>
      <c r="J77" s="70">
        <f t="shared" si="4"/>
        <v>23</v>
      </c>
      <c r="K77" s="70">
        <f t="shared" si="4"/>
        <v>23</v>
      </c>
      <c r="L77" s="71" t="s">
        <v>125</v>
      </c>
      <c r="M77" s="72">
        <f t="shared" ref="M77:M78" si="6">AVERAGE(E77:L77)</f>
        <v>22.57142857</v>
      </c>
      <c r="N77" s="63"/>
      <c r="O77" s="73" t="s">
        <v>27</v>
      </c>
      <c r="P77" s="74">
        <f>COUNTIF(E5:K73, "Home")</f>
        <v>22</v>
      </c>
      <c r="Q77" s="66"/>
      <c r="R77" s="66"/>
    </row>
    <row r="78">
      <c r="A78" s="12"/>
      <c r="B78" s="75"/>
      <c r="C78" s="75"/>
      <c r="D78" s="69" t="s">
        <v>124</v>
      </c>
      <c r="E78" s="76">
        <f t="shared" ref="E78:J78" si="5">$D$74-(COUNTIF(E5:E73, "TRUCK ISSUE") + COUNTIF(E5:E73, "NEW DRIVER") + COUNTIF(E5:E73, "LEFT") + COUNTIF(E5:E73, "YARD")+ COUNTIF(E5:E73, "HOME"))</f>
        <v>18</v>
      </c>
      <c r="F78" s="76">
        <f t="shared" si="5"/>
        <v>19</v>
      </c>
      <c r="G78" s="76">
        <f t="shared" si="5"/>
        <v>20</v>
      </c>
      <c r="H78" s="76">
        <f t="shared" si="5"/>
        <v>21</v>
      </c>
      <c r="I78" s="76">
        <f t="shared" si="5"/>
        <v>20</v>
      </c>
      <c r="J78" s="76">
        <f t="shared" si="5"/>
        <v>19</v>
      </c>
      <c r="K78" s="76">
        <f>$D$74-(COUNTIF(K5:K73, "TRUCK ISSUE") + COUNTIF(K5:K73, "NEW DRIVER") + COUNTIF(K5:K73, "LEFT") + COUNTIF(K5:K73, "YARD")+ COUNTIF(K5:K73, "HOME")+COUNTIF(K5:K73, "REST"))</f>
        <v>19</v>
      </c>
      <c r="L78" s="71" t="s">
        <v>126</v>
      </c>
      <c r="M78" s="72">
        <f t="shared" si="6"/>
        <v>19.42857143</v>
      </c>
      <c r="N78" s="66"/>
      <c r="O78" s="77" t="s">
        <v>62</v>
      </c>
      <c r="P78" s="74">
        <f>COUNTIF(E6:K74, "Rest")</f>
        <v>2</v>
      </c>
      <c r="Q78" s="66"/>
      <c r="R78" s="66"/>
    </row>
    <row r="79" ht="24.75" customHeight="1">
      <c r="A79" s="12"/>
      <c r="B79" s="75"/>
      <c r="C79" s="75"/>
      <c r="D79" s="78" t="s">
        <v>127</v>
      </c>
      <c r="E79" s="79">
        <f t="shared" ref="E79:K79" si="7">SUM(E72,E57,E54,E51,E48,E45,E42,E39,E36,E33,E30,E27,E24,E21,E18,E15,E12,E9, E63, E66, E6,E60,E69)</f>
        <v>10581</v>
      </c>
      <c r="F79" s="79">
        <f t="shared" si="7"/>
        <v>12804</v>
      </c>
      <c r="G79" s="79">
        <f t="shared" si="7"/>
        <v>6513</v>
      </c>
      <c r="H79" s="79">
        <f t="shared" si="7"/>
        <v>9214</v>
      </c>
      <c r="I79" s="79">
        <f t="shared" si="7"/>
        <v>22158</v>
      </c>
      <c r="J79" s="79">
        <f t="shared" si="7"/>
        <v>4019</v>
      </c>
      <c r="K79" s="79">
        <f t="shared" si="7"/>
        <v>1362</v>
      </c>
      <c r="L79" s="80" t="s">
        <v>128</v>
      </c>
      <c r="M79" s="81">
        <f>SUM(E79:K79)</f>
        <v>66651</v>
      </c>
      <c r="N79" s="66"/>
      <c r="O79" s="82" t="s">
        <v>88</v>
      </c>
      <c r="P79" s="74">
        <f>COUNTIF(E5:K73, "TRUCK ISSUE")</f>
        <v>0</v>
      </c>
      <c r="Q79" s="75"/>
      <c r="R79" s="75"/>
    </row>
    <row r="80">
      <c r="A80" s="12"/>
      <c r="B80" s="75"/>
      <c r="C80" s="75"/>
      <c r="D80" s="78" t="s">
        <v>129</v>
      </c>
      <c r="E80" s="83">
        <f t="shared" ref="E80:K80" si="8">E76/E79</f>
        <v>2.615537284</v>
      </c>
      <c r="F80" s="83">
        <f t="shared" si="8"/>
        <v>2.651437051</v>
      </c>
      <c r="G80" s="83">
        <f t="shared" si="8"/>
        <v>2.498848457</v>
      </c>
      <c r="H80" s="83">
        <f t="shared" si="8"/>
        <v>2.756674626</v>
      </c>
      <c r="I80" s="83">
        <f t="shared" si="8"/>
        <v>2.358064807</v>
      </c>
      <c r="J80" s="83">
        <f t="shared" si="8"/>
        <v>2.637472008</v>
      </c>
      <c r="K80" s="83">
        <f t="shared" si="8"/>
        <v>4.06020558</v>
      </c>
      <c r="L80" s="80" t="s">
        <v>130</v>
      </c>
      <c r="M80" s="84">
        <f>M76/M79</f>
        <v>2.575790311</v>
      </c>
      <c r="N80" s="63"/>
      <c r="O80" s="82" t="s">
        <v>71</v>
      </c>
      <c r="P80" s="74">
        <f>COUNTIF(E5:K73, "YARD")</f>
        <v>3</v>
      </c>
      <c r="Q80" s="66"/>
      <c r="R80" s="66"/>
    </row>
    <row r="81">
      <c r="A81" s="12"/>
      <c r="B81" s="75"/>
      <c r="C81" s="75"/>
      <c r="D81" s="85" t="s">
        <v>131</v>
      </c>
      <c r="E81" s="86">
        <f t="shared" ref="E81:K81" si="9">E76/E77</f>
        <v>1257.954545</v>
      </c>
      <c r="F81" s="86">
        <f t="shared" si="9"/>
        <v>1543.136364</v>
      </c>
      <c r="G81" s="86">
        <f t="shared" si="9"/>
        <v>739.7727273</v>
      </c>
      <c r="H81" s="86">
        <f t="shared" si="9"/>
        <v>1104.347826</v>
      </c>
      <c r="I81" s="86">
        <f t="shared" si="9"/>
        <v>2271.73913</v>
      </c>
      <c r="J81" s="86">
        <f t="shared" si="9"/>
        <v>460.8695652</v>
      </c>
      <c r="K81" s="86">
        <f t="shared" si="9"/>
        <v>240.4347826</v>
      </c>
      <c r="L81" s="80" t="s">
        <v>132</v>
      </c>
      <c r="M81" s="84">
        <f>M76/M77</f>
        <v>7606.031646</v>
      </c>
      <c r="N81" s="63"/>
      <c r="O81" s="87" t="s">
        <v>133</v>
      </c>
      <c r="P81" s="88">
        <f>COUNTIF(E5:K73, "MISSED APPOINMENT TIME")+COUNTIF(E5:K73, "CANCELLED")</f>
        <v>0</v>
      </c>
      <c r="Q81" s="48"/>
      <c r="R81" s="48"/>
    </row>
    <row r="82">
      <c r="A82" s="12"/>
      <c r="B82" s="66"/>
      <c r="C82" s="66"/>
      <c r="D82" s="66"/>
      <c r="E82" s="66"/>
      <c r="F82" s="66"/>
      <c r="G82" s="66"/>
      <c r="H82" s="66"/>
      <c r="I82" s="66"/>
      <c r="J82" s="66"/>
      <c r="K82" s="89"/>
      <c r="L82" s="90" t="s">
        <v>134</v>
      </c>
      <c r="M82" s="91">
        <f>M76/M78</f>
        <v>8836.419118</v>
      </c>
      <c r="N82" s="92"/>
      <c r="O82" s="92"/>
      <c r="P82" s="92"/>
      <c r="Q82" s="48"/>
      <c r="R82" s="48"/>
    </row>
    <row r="83">
      <c r="A83" s="93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3"/>
      <c r="P83" s="92"/>
      <c r="Q83" s="22"/>
      <c r="R83" s="22"/>
    </row>
    <row r="84">
      <c r="A84" s="93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19"/>
      <c r="P84" s="22"/>
      <c r="Q84" s="22"/>
      <c r="R84" s="22"/>
    </row>
    <row r="85">
      <c r="A85" s="93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19"/>
      <c r="P85" s="22"/>
      <c r="Q85" s="22"/>
      <c r="R85" s="22"/>
    </row>
    <row r="86" hidden="1">
      <c r="A86" s="93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19"/>
      <c r="P86" s="22"/>
      <c r="Q86" s="22"/>
      <c r="R86" s="22"/>
    </row>
    <row r="87" hidden="1">
      <c r="A87" s="93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19"/>
      <c r="P87" s="22"/>
      <c r="Q87" s="22"/>
      <c r="R87" s="22"/>
    </row>
    <row r="88" hidden="1">
      <c r="A88" s="93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19"/>
      <c r="P88" s="22"/>
      <c r="Q88" s="22"/>
      <c r="R88" s="22"/>
    </row>
    <row r="89" hidden="1">
      <c r="A89" s="93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19"/>
      <c r="P89" s="22"/>
      <c r="Q89" s="22"/>
      <c r="R89" s="22"/>
    </row>
    <row r="90" hidden="1">
      <c r="A90" s="93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19"/>
      <c r="P90" s="22"/>
      <c r="Q90" s="22"/>
      <c r="R90" s="22"/>
    </row>
    <row r="91" hidden="1">
      <c r="A91" s="93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19"/>
      <c r="P91" s="22"/>
      <c r="Q91" s="22"/>
      <c r="R91" s="22"/>
    </row>
    <row r="92" hidden="1">
      <c r="A92" s="93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19"/>
      <c r="P92" s="22"/>
      <c r="Q92" s="22"/>
      <c r="R92" s="22"/>
    </row>
    <row r="93" hidden="1">
      <c r="A93" s="93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19"/>
      <c r="P93" s="22"/>
      <c r="Q93" s="22"/>
      <c r="R93" s="22"/>
    </row>
    <row r="94" hidden="1">
      <c r="A94" s="93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19"/>
      <c r="P94" s="22"/>
      <c r="Q94" s="22"/>
      <c r="R94" s="22"/>
    </row>
    <row r="95" hidden="1">
      <c r="A95" s="93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19"/>
      <c r="P95" s="22"/>
      <c r="Q95" s="22"/>
      <c r="R95" s="22"/>
    </row>
    <row r="96" hidden="1">
      <c r="A96" s="93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19"/>
      <c r="P96" s="22"/>
      <c r="Q96" s="22"/>
      <c r="R96" s="22"/>
    </row>
    <row r="97" hidden="1">
      <c r="A97" s="93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19"/>
      <c r="P97" s="22"/>
      <c r="Q97" s="22"/>
      <c r="R97" s="22"/>
    </row>
    <row r="98" hidden="1">
      <c r="A98" s="93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19"/>
      <c r="P98" s="22"/>
      <c r="Q98" s="22"/>
      <c r="R98" s="22"/>
    </row>
    <row r="99" hidden="1">
      <c r="A99" s="93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19"/>
      <c r="P99" s="22"/>
      <c r="Q99" s="22"/>
      <c r="R99" s="22"/>
    </row>
    <row r="100" hidden="1">
      <c r="A100" s="93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19"/>
      <c r="P100" s="22"/>
      <c r="Q100" s="22"/>
      <c r="R100" s="22"/>
    </row>
    <row r="101" hidden="1">
      <c r="A101" s="93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19"/>
      <c r="P101" s="22"/>
      <c r="Q101" s="22"/>
      <c r="R101" s="22"/>
    </row>
    <row r="102" hidden="1">
      <c r="A102" s="93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19"/>
      <c r="P102" s="22"/>
      <c r="Q102" s="22"/>
      <c r="R102" s="22"/>
    </row>
    <row r="103" hidden="1">
      <c r="A103" s="93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19"/>
      <c r="P103" s="22"/>
      <c r="Q103" s="22"/>
      <c r="R103" s="22"/>
    </row>
    <row r="104" hidden="1">
      <c r="A104" s="93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19"/>
      <c r="P104" s="22"/>
      <c r="Q104" s="22"/>
      <c r="R104" s="22"/>
    </row>
    <row r="105" hidden="1">
      <c r="A105" s="93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19"/>
      <c r="P105" s="22"/>
      <c r="Q105" s="22"/>
      <c r="R105" s="22"/>
    </row>
    <row r="106" hidden="1">
      <c r="A106" s="93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19"/>
      <c r="P106" s="22"/>
      <c r="Q106" s="22"/>
      <c r="R106" s="22"/>
    </row>
    <row r="107" hidden="1">
      <c r="A107" s="93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19"/>
      <c r="P107" s="22"/>
      <c r="Q107" s="22"/>
      <c r="R107" s="22"/>
    </row>
    <row r="108" hidden="1">
      <c r="A108" s="93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19"/>
      <c r="P108" s="22"/>
      <c r="Q108" s="22"/>
      <c r="R108" s="22"/>
    </row>
    <row r="109" hidden="1">
      <c r="A109" s="93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19"/>
      <c r="P109" s="22"/>
      <c r="Q109" s="22"/>
      <c r="R109" s="22"/>
    </row>
    <row r="110" hidden="1">
      <c r="A110" s="93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19"/>
      <c r="P110" s="22"/>
      <c r="Q110" s="22"/>
      <c r="R110" s="22"/>
    </row>
    <row r="111" hidden="1">
      <c r="A111" s="93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19"/>
      <c r="P111" s="22"/>
      <c r="Q111" s="22"/>
      <c r="R111" s="22"/>
    </row>
    <row r="112" hidden="1">
      <c r="A112" s="93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19"/>
      <c r="P112" s="22"/>
      <c r="Q112" s="22"/>
      <c r="R112" s="22"/>
    </row>
    <row r="113" hidden="1">
      <c r="A113" s="93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19"/>
      <c r="P113" s="22"/>
      <c r="Q113" s="22"/>
      <c r="R113" s="22"/>
    </row>
    <row r="114" hidden="1">
      <c r="A114" s="93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19"/>
      <c r="P114" s="22"/>
      <c r="Q114" s="22"/>
      <c r="R114" s="22"/>
    </row>
    <row r="115" hidden="1">
      <c r="A115" s="93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19"/>
      <c r="P115" s="22"/>
      <c r="Q115" s="22"/>
      <c r="R115" s="22"/>
    </row>
    <row r="116" hidden="1">
      <c r="A116" s="93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19"/>
      <c r="P116" s="22"/>
      <c r="Q116" s="22"/>
      <c r="R116" s="22"/>
    </row>
    <row r="117" hidden="1">
      <c r="A117" s="93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19"/>
      <c r="P117" s="22"/>
      <c r="Q117" s="22"/>
      <c r="R117" s="22"/>
    </row>
    <row r="118" hidden="1">
      <c r="A118" s="93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19"/>
      <c r="P118" s="22"/>
      <c r="Q118" s="22"/>
      <c r="R118" s="22"/>
    </row>
    <row r="119" hidden="1">
      <c r="A119" s="93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19"/>
      <c r="P119" s="22"/>
      <c r="Q119" s="22"/>
      <c r="R119" s="22"/>
    </row>
    <row r="120" hidden="1">
      <c r="A120" s="93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19"/>
      <c r="P120" s="22"/>
      <c r="Q120" s="22"/>
      <c r="R120" s="22"/>
    </row>
    <row r="121" hidden="1">
      <c r="A121" s="93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19"/>
      <c r="P121" s="22"/>
      <c r="Q121" s="22"/>
      <c r="R121" s="22"/>
    </row>
    <row r="122" hidden="1">
      <c r="A122" s="93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19"/>
      <c r="P122" s="22"/>
      <c r="Q122" s="22"/>
      <c r="R122" s="22"/>
    </row>
    <row r="123" hidden="1">
      <c r="A123" s="93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19"/>
      <c r="P123" s="22"/>
      <c r="Q123" s="22"/>
      <c r="R123" s="22"/>
    </row>
    <row r="124" hidden="1">
      <c r="A124" s="93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19"/>
      <c r="P124" s="22"/>
      <c r="Q124" s="22"/>
      <c r="R124" s="22"/>
    </row>
    <row r="125" hidden="1">
      <c r="A125" s="93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19"/>
      <c r="P125" s="22"/>
      <c r="Q125" s="22"/>
      <c r="R125" s="22"/>
    </row>
    <row r="126" hidden="1">
      <c r="A126" s="93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19"/>
      <c r="P126" s="22"/>
      <c r="Q126" s="22"/>
      <c r="R126" s="22"/>
    </row>
    <row r="127" hidden="1">
      <c r="A127" s="93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19"/>
      <c r="P127" s="22"/>
      <c r="Q127" s="22"/>
      <c r="R127" s="22"/>
    </row>
    <row r="128" hidden="1">
      <c r="A128" s="93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19"/>
      <c r="P128" s="22"/>
      <c r="Q128" s="22"/>
      <c r="R128" s="22"/>
    </row>
    <row r="129" hidden="1">
      <c r="A129" s="93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19"/>
      <c r="P129" s="22"/>
      <c r="Q129" s="22"/>
      <c r="R129" s="22"/>
    </row>
    <row r="130" hidden="1">
      <c r="A130" s="93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19"/>
      <c r="P130" s="22"/>
      <c r="Q130" s="22"/>
      <c r="R130" s="22"/>
    </row>
    <row r="131" hidden="1">
      <c r="A131" s="93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19"/>
      <c r="P131" s="22"/>
      <c r="Q131" s="22"/>
      <c r="R131" s="22"/>
    </row>
    <row r="132" hidden="1">
      <c r="A132" s="93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19"/>
      <c r="P132" s="22"/>
      <c r="Q132" s="22"/>
      <c r="R132" s="22"/>
    </row>
    <row r="133" hidden="1">
      <c r="A133" s="93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19"/>
      <c r="P133" s="22"/>
      <c r="Q133" s="22"/>
      <c r="R133" s="22"/>
    </row>
    <row r="134" hidden="1">
      <c r="A134" s="93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19"/>
      <c r="P134" s="22"/>
      <c r="Q134" s="22"/>
      <c r="R134" s="22"/>
    </row>
    <row r="135" hidden="1">
      <c r="A135" s="93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19"/>
      <c r="P135" s="22"/>
      <c r="Q135" s="22"/>
      <c r="R135" s="22"/>
    </row>
    <row r="136" hidden="1">
      <c r="A136" s="93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19"/>
      <c r="P136" s="22"/>
      <c r="Q136" s="22"/>
      <c r="R136" s="22"/>
    </row>
    <row r="137" hidden="1">
      <c r="A137" s="93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19"/>
      <c r="P137" s="22"/>
      <c r="Q137" s="22"/>
      <c r="R137" s="22"/>
    </row>
    <row r="138" hidden="1">
      <c r="A138" s="93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19"/>
      <c r="P138" s="22"/>
      <c r="Q138" s="22"/>
      <c r="R138" s="22"/>
    </row>
    <row r="139" hidden="1">
      <c r="A139" s="93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19"/>
      <c r="P139" s="22"/>
      <c r="Q139" s="22"/>
      <c r="R139" s="22"/>
    </row>
    <row r="140" hidden="1">
      <c r="A140" s="93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19"/>
      <c r="P140" s="22"/>
      <c r="Q140" s="22"/>
      <c r="R140" s="22"/>
    </row>
    <row r="141" hidden="1">
      <c r="A141" s="93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19"/>
      <c r="P141" s="22"/>
      <c r="Q141" s="22"/>
      <c r="R141" s="22"/>
    </row>
    <row r="142" hidden="1">
      <c r="A142" s="93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19"/>
      <c r="P142" s="22"/>
      <c r="Q142" s="22"/>
      <c r="R142" s="22"/>
    </row>
    <row r="143" hidden="1">
      <c r="A143" s="93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19"/>
      <c r="P143" s="22"/>
      <c r="Q143" s="22"/>
      <c r="R143" s="22"/>
    </row>
    <row r="144" hidden="1">
      <c r="A144" s="93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19"/>
      <c r="P144" s="22"/>
      <c r="Q144" s="22"/>
      <c r="R144" s="22"/>
    </row>
    <row r="145" hidden="1">
      <c r="A145" s="93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19"/>
      <c r="P145" s="22"/>
      <c r="Q145" s="22"/>
      <c r="R145" s="22"/>
    </row>
    <row r="146" hidden="1">
      <c r="A146" s="93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19"/>
      <c r="P146" s="22"/>
      <c r="Q146" s="22"/>
      <c r="R146" s="22"/>
    </row>
    <row r="147" hidden="1">
      <c r="A147" s="93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19"/>
      <c r="P147" s="22"/>
      <c r="Q147" s="22"/>
      <c r="R147" s="22"/>
    </row>
    <row r="148" hidden="1">
      <c r="A148" s="93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19"/>
      <c r="P148" s="22"/>
      <c r="Q148" s="22"/>
      <c r="R148" s="22"/>
    </row>
    <row r="149" hidden="1">
      <c r="A149" s="93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19"/>
      <c r="P149" s="22"/>
      <c r="Q149" s="22"/>
      <c r="R149" s="22"/>
    </row>
    <row r="150" hidden="1">
      <c r="A150" s="93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19"/>
      <c r="P150" s="22"/>
      <c r="Q150" s="22"/>
      <c r="R150" s="22"/>
    </row>
    <row r="151" hidden="1">
      <c r="A151" s="93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19"/>
      <c r="P151" s="22"/>
      <c r="Q151" s="22"/>
      <c r="R151" s="22"/>
    </row>
    <row r="152" hidden="1">
      <c r="A152" s="93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19"/>
      <c r="P152" s="22"/>
      <c r="Q152" s="22"/>
      <c r="R152" s="22"/>
    </row>
    <row r="153" hidden="1">
      <c r="A153" s="93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19"/>
      <c r="P153" s="22"/>
      <c r="Q153" s="22"/>
      <c r="R153" s="22"/>
    </row>
    <row r="154" hidden="1">
      <c r="A154" s="93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19"/>
      <c r="P154" s="22"/>
      <c r="Q154" s="22"/>
      <c r="R154" s="22"/>
    </row>
    <row r="155" hidden="1">
      <c r="A155" s="93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19"/>
      <c r="P155" s="22"/>
      <c r="Q155" s="22"/>
      <c r="R155" s="22"/>
    </row>
    <row r="156" hidden="1">
      <c r="A156" s="93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19"/>
      <c r="P156" s="22"/>
      <c r="Q156" s="22"/>
      <c r="R156" s="22"/>
    </row>
    <row r="157" hidden="1">
      <c r="A157" s="93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19"/>
      <c r="P157" s="22"/>
      <c r="Q157" s="22"/>
      <c r="R157" s="22"/>
    </row>
    <row r="158" hidden="1">
      <c r="A158" s="93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19"/>
      <c r="P158" s="22"/>
      <c r="Q158" s="22"/>
      <c r="R158" s="22"/>
    </row>
    <row r="159" hidden="1">
      <c r="A159" s="93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19"/>
      <c r="P159" s="22"/>
      <c r="Q159" s="22"/>
      <c r="R159" s="22"/>
    </row>
    <row r="160" hidden="1">
      <c r="A160" s="93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19"/>
      <c r="P160" s="22"/>
      <c r="Q160" s="22"/>
      <c r="R160" s="22"/>
    </row>
    <row r="161" hidden="1">
      <c r="A161" s="93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19"/>
      <c r="P161" s="22"/>
      <c r="Q161" s="22"/>
      <c r="R161" s="22"/>
    </row>
    <row r="162" hidden="1">
      <c r="A162" s="93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19"/>
      <c r="P162" s="22"/>
      <c r="Q162" s="22"/>
      <c r="R162" s="22"/>
    </row>
    <row r="163" hidden="1">
      <c r="A163" s="93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19"/>
      <c r="P163" s="22"/>
      <c r="Q163" s="22"/>
      <c r="R163" s="22"/>
    </row>
    <row r="164" hidden="1">
      <c r="A164" s="93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19"/>
      <c r="P164" s="22"/>
      <c r="Q164" s="22"/>
      <c r="R164" s="22"/>
    </row>
    <row r="165" hidden="1">
      <c r="A165" s="93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19"/>
      <c r="P165" s="22"/>
      <c r="Q165" s="22"/>
      <c r="R165" s="22"/>
    </row>
    <row r="166" hidden="1">
      <c r="A166" s="93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19"/>
      <c r="P166" s="22"/>
      <c r="Q166" s="22"/>
      <c r="R166" s="22"/>
    </row>
    <row r="167" hidden="1">
      <c r="A167" s="93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19"/>
      <c r="P167" s="22"/>
      <c r="Q167" s="22"/>
      <c r="R167" s="22"/>
    </row>
    <row r="168" hidden="1">
      <c r="A168" s="93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19"/>
      <c r="P168" s="22"/>
      <c r="Q168" s="22"/>
      <c r="R168" s="22"/>
    </row>
    <row r="169" hidden="1">
      <c r="A169" s="93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19"/>
      <c r="P169" s="22"/>
      <c r="Q169" s="22"/>
      <c r="R169" s="22"/>
    </row>
    <row r="170" hidden="1">
      <c r="A170" s="93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19"/>
      <c r="P170" s="22"/>
      <c r="Q170" s="22"/>
      <c r="R170" s="22"/>
    </row>
    <row r="171" hidden="1">
      <c r="A171" s="93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19"/>
      <c r="P171" s="22"/>
      <c r="Q171" s="22"/>
      <c r="R171" s="22"/>
    </row>
    <row r="172" hidden="1">
      <c r="A172" s="93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19"/>
      <c r="P172" s="22"/>
      <c r="Q172" s="22"/>
      <c r="R172" s="22"/>
    </row>
    <row r="173" hidden="1">
      <c r="A173" s="93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19"/>
      <c r="P173" s="22"/>
      <c r="Q173" s="22"/>
      <c r="R173" s="22"/>
    </row>
    <row r="174" hidden="1">
      <c r="A174" s="93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19"/>
      <c r="P174" s="22"/>
      <c r="Q174" s="22"/>
      <c r="R174" s="22"/>
    </row>
    <row r="175" hidden="1">
      <c r="A175" s="93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19"/>
      <c r="P175" s="22"/>
      <c r="Q175" s="22"/>
      <c r="R175" s="22"/>
    </row>
    <row r="176" hidden="1">
      <c r="A176" s="93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19"/>
      <c r="P176" s="22"/>
      <c r="Q176" s="22"/>
      <c r="R176" s="22"/>
    </row>
    <row r="177" hidden="1">
      <c r="A177" s="93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19"/>
      <c r="P177" s="22"/>
      <c r="Q177" s="22"/>
      <c r="R177" s="22"/>
    </row>
    <row r="178" hidden="1">
      <c r="A178" s="93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19"/>
      <c r="P178" s="22"/>
      <c r="Q178" s="22"/>
      <c r="R178" s="22"/>
    </row>
    <row r="179" hidden="1">
      <c r="A179" s="93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19"/>
      <c r="P179" s="22"/>
      <c r="Q179" s="22"/>
      <c r="R179" s="22"/>
    </row>
    <row r="180" hidden="1">
      <c r="A180" s="93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19"/>
      <c r="P180" s="22"/>
      <c r="Q180" s="22"/>
      <c r="R180" s="22"/>
    </row>
    <row r="181" hidden="1">
      <c r="A181" s="93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19"/>
      <c r="P181" s="22"/>
      <c r="Q181" s="22"/>
      <c r="R181" s="22"/>
    </row>
    <row r="182" hidden="1">
      <c r="A182" s="93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19"/>
      <c r="P182" s="22"/>
      <c r="Q182" s="22"/>
      <c r="R182" s="22"/>
    </row>
    <row r="183" hidden="1">
      <c r="A183" s="93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19"/>
      <c r="P183" s="22"/>
      <c r="Q183" s="22"/>
      <c r="R183" s="22"/>
    </row>
    <row r="184" hidden="1">
      <c r="A184" s="93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19"/>
      <c r="P184" s="22"/>
      <c r="Q184" s="22"/>
      <c r="R184" s="22"/>
    </row>
    <row r="185" hidden="1">
      <c r="A185" s="93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19"/>
      <c r="P185" s="22"/>
      <c r="Q185" s="22"/>
      <c r="R185" s="22"/>
    </row>
    <row r="186" hidden="1">
      <c r="A186" s="93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19"/>
      <c r="P186" s="22"/>
      <c r="Q186" s="22"/>
      <c r="R186" s="22"/>
    </row>
    <row r="187" hidden="1">
      <c r="A187" s="93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19"/>
      <c r="P187" s="22"/>
      <c r="Q187" s="22"/>
      <c r="R187" s="22"/>
    </row>
    <row r="188" hidden="1">
      <c r="A188" s="93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19"/>
      <c r="P188" s="22"/>
      <c r="Q188" s="22"/>
      <c r="R188" s="22"/>
    </row>
    <row r="189" hidden="1">
      <c r="A189" s="93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19"/>
      <c r="P189" s="22"/>
      <c r="Q189" s="22"/>
      <c r="R189" s="22"/>
    </row>
    <row r="190" hidden="1">
      <c r="A190" s="93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19"/>
      <c r="P190" s="22"/>
      <c r="Q190" s="22"/>
      <c r="R190" s="22"/>
    </row>
    <row r="191" hidden="1">
      <c r="A191" s="93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19"/>
      <c r="P191" s="22"/>
      <c r="Q191" s="22"/>
      <c r="R191" s="22"/>
    </row>
    <row r="192" hidden="1">
      <c r="A192" s="93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19"/>
      <c r="P192" s="22"/>
      <c r="Q192" s="22"/>
      <c r="R192" s="22"/>
    </row>
    <row r="193" hidden="1">
      <c r="A193" s="93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19"/>
      <c r="P193" s="22"/>
      <c r="Q193" s="22"/>
      <c r="R193" s="22"/>
    </row>
    <row r="194" hidden="1">
      <c r="A194" s="93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19"/>
      <c r="P194" s="22"/>
      <c r="Q194" s="22"/>
      <c r="R194" s="22"/>
    </row>
    <row r="195" hidden="1">
      <c r="A195" s="93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19"/>
      <c r="P195" s="22"/>
      <c r="Q195" s="22"/>
      <c r="R195" s="22"/>
    </row>
    <row r="196" hidden="1">
      <c r="A196" s="93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19"/>
      <c r="P196" s="22"/>
      <c r="Q196" s="22"/>
      <c r="R196" s="22"/>
    </row>
    <row r="197" hidden="1">
      <c r="A197" s="93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19"/>
      <c r="P197" s="22"/>
      <c r="Q197" s="22"/>
      <c r="R197" s="22"/>
    </row>
    <row r="198" hidden="1">
      <c r="A198" s="93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19"/>
      <c r="P198" s="22"/>
      <c r="Q198" s="22"/>
      <c r="R198" s="22"/>
    </row>
    <row r="199" hidden="1">
      <c r="A199" s="93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19"/>
      <c r="P199" s="22"/>
      <c r="Q199" s="22"/>
      <c r="R199" s="22"/>
    </row>
    <row r="200" hidden="1">
      <c r="A200" s="93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19"/>
      <c r="P200" s="22"/>
      <c r="Q200" s="22"/>
      <c r="R200" s="22"/>
    </row>
    <row r="201" hidden="1">
      <c r="A201" s="93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19"/>
      <c r="P201" s="22"/>
      <c r="Q201" s="22"/>
      <c r="R201" s="22"/>
    </row>
    <row r="202" hidden="1">
      <c r="A202" s="93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19"/>
      <c r="P202" s="22"/>
      <c r="Q202" s="22"/>
      <c r="R202" s="22"/>
    </row>
    <row r="203" hidden="1">
      <c r="A203" s="93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19"/>
      <c r="P203" s="22"/>
      <c r="Q203" s="22"/>
      <c r="R203" s="22"/>
    </row>
    <row r="204" hidden="1">
      <c r="A204" s="93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19"/>
      <c r="P204" s="22"/>
      <c r="Q204" s="22"/>
      <c r="R204" s="22"/>
    </row>
    <row r="205" hidden="1">
      <c r="A205" s="93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19"/>
      <c r="P205" s="22"/>
      <c r="Q205" s="22"/>
      <c r="R205" s="22"/>
    </row>
    <row r="206" hidden="1">
      <c r="A206" s="93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19"/>
      <c r="P206" s="22"/>
      <c r="Q206" s="22"/>
      <c r="R206" s="22"/>
    </row>
    <row r="207" hidden="1">
      <c r="A207" s="93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19"/>
      <c r="P207" s="22"/>
      <c r="Q207" s="22"/>
      <c r="R207" s="22"/>
    </row>
    <row r="208" hidden="1">
      <c r="A208" s="93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19"/>
      <c r="P208" s="22"/>
      <c r="Q208" s="22"/>
      <c r="R208" s="22"/>
    </row>
    <row r="209" hidden="1">
      <c r="A209" s="93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19"/>
      <c r="P209" s="22"/>
      <c r="Q209" s="22"/>
      <c r="R209" s="22"/>
    </row>
    <row r="210" hidden="1">
      <c r="A210" s="93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19"/>
      <c r="P210" s="22"/>
      <c r="Q210" s="22"/>
      <c r="R210" s="22"/>
    </row>
    <row r="211" hidden="1">
      <c r="A211" s="93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19"/>
      <c r="P211" s="22"/>
      <c r="Q211" s="22"/>
      <c r="R211" s="22"/>
    </row>
    <row r="212" hidden="1">
      <c r="A212" s="93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19"/>
      <c r="P212" s="22"/>
      <c r="Q212" s="22"/>
      <c r="R212" s="22"/>
    </row>
    <row r="213" hidden="1">
      <c r="A213" s="93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19"/>
      <c r="P213" s="22"/>
      <c r="Q213" s="22"/>
      <c r="R213" s="22"/>
    </row>
    <row r="214" hidden="1">
      <c r="A214" s="93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19"/>
      <c r="P214" s="22"/>
      <c r="Q214" s="22"/>
      <c r="R214" s="22"/>
    </row>
    <row r="215" hidden="1">
      <c r="A215" s="93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19"/>
      <c r="P215" s="22"/>
      <c r="Q215" s="22"/>
      <c r="R215" s="22"/>
    </row>
    <row r="216" hidden="1">
      <c r="A216" s="93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19"/>
      <c r="P216" s="22"/>
      <c r="Q216" s="22"/>
      <c r="R216" s="22"/>
    </row>
    <row r="217" hidden="1">
      <c r="A217" s="93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19"/>
      <c r="P217" s="22"/>
      <c r="Q217" s="22"/>
      <c r="R217" s="22"/>
    </row>
    <row r="218" hidden="1">
      <c r="A218" s="93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19"/>
      <c r="P218" s="22"/>
      <c r="Q218" s="22"/>
      <c r="R218" s="22"/>
    </row>
    <row r="219" hidden="1">
      <c r="A219" s="93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19"/>
      <c r="P219" s="22"/>
      <c r="Q219" s="22"/>
      <c r="R219" s="22"/>
    </row>
    <row r="220" hidden="1">
      <c r="A220" s="93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19"/>
      <c r="P220" s="22"/>
      <c r="Q220" s="22"/>
      <c r="R220" s="22"/>
    </row>
    <row r="221" hidden="1">
      <c r="A221" s="93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19"/>
      <c r="P221" s="22"/>
      <c r="Q221" s="22"/>
      <c r="R221" s="22"/>
    </row>
    <row r="222" hidden="1">
      <c r="A222" s="93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19"/>
      <c r="P222" s="22"/>
      <c r="Q222" s="22"/>
      <c r="R222" s="22"/>
    </row>
    <row r="223" hidden="1">
      <c r="A223" s="93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19"/>
      <c r="P223" s="22"/>
      <c r="Q223" s="22"/>
      <c r="R223" s="22"/>
    </row>
    <row r="224" hidden="1">
      <c r="A224" s="93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19"/>
      <c r="P224" s="22"/>
      <c r="Q224" s="22"/>
      <c r="R224" s="22"/>
    </row>
    <row r="225" hidden="1">
      <c r="A225" s="93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19"/>
      <c r="P225" s="22"/>
      <c r="Q225" s="22"/>
      <c r="R225" s="22"/>
    </row>
    <row r="226" hidden="1">
      <c r="A226" s="93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19"/>
      <c r="P226" s="22"/>
      <c r="Q226" s="22"/>
      <c r="R226" s="22"/>
    </row>
    <row r="227" hidden="1">
      <c r="A227" s="93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19"/>
      <c r="P227" s="22"/>
      <c r="Q227" s="22"/>
      <c r="R227" s="22"/>
    </row>
    <row r="228" hidden="1">
      <c r="A228" s="93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19"/>
      <c r="P228" s="22"/>
      <c r="Q228" s="22"/>
      <c r="R228" s="22"/>
    </row>
    <row r="229" hidden="1">
      <c r="A229" s="93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19"/>
      <c r="P229" s="22"/>
      <c r="Q229" s="22"/>
      <c r="R229" s="22"/>
    </row>
    <row r="230" hidden="1">
      <c r="A230" s="93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19"/>
      <c r="P230" s="22"/>
      <c r="Q230" s="22"/>
      <c r="R230" s="22"/>
    </row>
    <row r="231" hidden="1">
      <c r="A231" s="93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19"/>
      <c r="P231" s="22"/>
      <c r="Q231" s="22"/>
      <c r="R231" s="22"/>
    </row>
    <row r="232" hidden="1">
      <c r="A232" s="93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19"/>
      <c r="P232" s="22"/>
      <c r="Q232" s="22"/>
      <c r="R232" s="22"/>
    </row>
    <row r="233" hidden="1">
      <c r="A233" s="93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19"/>
      <c r="P233" s="22"/>
      <c r="Q233" s="22"/>
      <c r="R233" s="22"/>
    </row>
    <row r="234" hidden="1">
      <c r="A234" s="93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19"/>
      <c r="P234" s="22"/>
      <c r="Q234" s="22"/>
      <c r="R234" s="22"/>
    </row>
    <row r="235" hidden="1">
      <c r="A235" s="93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19"/>
      <c r="P235" s="22"/>
      <c r="Q235" s="22"/>
      <c r="R235" s="22"/>
    </row>
    <row r="236" hidden="1">
      <c r="A236" s="93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19"/>
      <c r="P236" s="22"/>
      <c r="Q236" s="22"/>
      <c r="R236" s="22"/>
    </row>
    <row r="237" hidden="1">
      <c r="A237" s="93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19"/>
      <c r="P237" s="22"/>
      <c r="Q237" s="22"/>
      <c r="R237" s="22"/>
    </row>
    <row r="238" hidden="1">
      <c r="A238" s="93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19"/>
      <c r="P238" s="22"/>
      <c r="Q238" s="22"/>
      <c r="R238" s="22"/>
    </row>
    <row r="239" hidden="1">
      <c r="A239" s="93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19"/>
      <c r="P239" s="22"/>
      <c r="Q239" s="22"/>
      <c r="R239" s="22"/>
    </row>
    <row r="240" hidden="1">
      <c r="A240" s="93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19"/>
      <c r="P240" s="22"/>
      <c r="Q240" s="22"/>
      <c r="R240" s="22"/>
    </row>
    <row r="241" hidden="1">
      <c r="A241" s="93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19"/>
      <c r="P241" s="22"/>
      <c r="Q241" s="22"/>
      <c r="R241" s="22"/>
    </row>
    <row r="242" hidden="1">
      <c r="A242" s="93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19"/>
      <c r="P242" s="22"/>
      <c r="Q242" s="22"/>
      <c r="R242" s="22"/>
    </row>
    <row r="243" hidden="1">
      <c r="A243" s="93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19"/>
      <c r="P243" s="22"/>
      <c r="Q243" s="22"/>
      <c r="R243" s="22"/>
    </row>
    <row r="244" hidden="1">
      <c r="A244" s="93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19"/>
      <c r="P244" s="22"/>
      <c r="Q244" s="22"/>
      <c r="R244" s="22"/>
    </row>
    <row r="245" hidden="1">
      <c r="A245" s="93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19"/>
      <c r="P245" s="22"/>
      <c r="Q245" s="22"/>
      <c r="R245" s="22"/>
    </row>
    <row r="246" hidden="1">
      <c r="A246" s="93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19"/>
      <c r="P246" s="22"/>
      <c r="Q246" s="22"/>
      <c r="R246" s="22"/>
    </row>
    <row r="247" hidden="1">
      <c r="A247" s="93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19"/>
      <c r="P247" s="22"/>
      <c r="Q247" s="22"/>
      <c r="R247" s="22"/>
    </row>
    <row r="248" hidden="1">
      <c r="A248" s="93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19"/>
      <c r="P248" s="22"/>
      <c r="Q248" s="22"/>
      <c r="R248" s="22"/>
    </row>
    <row r="249" hidden="1">
      <c r="A249" s="93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19"/>
      <c r="P249" s="22"/>
      <c r="Q249" s="22"/>
      <c r="R249" s="22"/>
    </row>
    <row r="250" hidden="1">
      <c r="A250" s="93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19"/>
      <c r="P250" s="22"/>
      <c r="Q250" s="22"/>
      <c r="R250" s="22"/>
    </row>
    <row r="251" hidden="1">
      <c r="A251" s="93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19"/>
      <c r="P251" s="22"/>
      <c r="Q251" s="22"/>
      <c r="R251" s="22"/>
    </row>
    <row r="252" hidden="1">
      <c r="A252" s="93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19"/>
      <c r="P252" s="22"/>
      <c r="Q252" s="22"/>
      <c r="R252" s="22"/>
    </row>
    <row r="253" hidden="1">
      <c r="A253" s="93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19"/>
      <c r="P253" s="22"/>
      <c r="Q253" s="22"/>
      <c r="R253" s="22"/>
    </row>
    <row r="254" hidden="1">
      <c r="A254" s="93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19"/>
      <c r="P254" s="22"/>
      <c r="Q254" s="22"/>
      <c r="R254" s="22"/>
    </row>
    <row r="255" hidden="1">
      <c r="A255" s="93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19"/>
      <c r="P255" s="22"/>
      <c r="Q255" s="22"/>
      <c r="R255" s="22"/>
    </row>
    <row r="256" hidden="1">
      <c r="A256" s="93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19"/>
      <c r="P256" s="22"/>
      <c r="Q256" s="22"/>
      <c r="R256" s="22"/>
    </row>
    <row r="257" hidden="1">
      <c r="A257" s="93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19"/>
      <c r="P257" s="22"/>
      <c r="Q257" s="22"/>
      <c r="R257" s="22"/>
    </row>
    <row r="258" hidden="1">
      <c r="A258" s="93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19"/>
      <c r="P258" s="22"/>
      <c r="Q258" s="22"/>
      <c r="R258" s="22"/>
    </row>
    <row r="259" hidden="1">
      <c r="A259" s="93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19"/>
      <c r="P259" s="22"/>
      <c r="Q259" s="22"/>
      <c r="R259" s="22"/>
    </row>
    <row r="260" hidden="1">
      <c r="A260" s="93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19"/>
      <c r="P260" s="22"/>
      <c r="Q260" s="22"/>
      <c r="R260" s="22"/>
    </row>
    <row r="261" hidden="1">
      <c r="A261" s="93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19"/>
      <c r="P261" s="22"/>
      <c r="Q261" s="22"/>
      <c r="R261" s="22"/>
    </row>
    <row r="262" hidden="1">
      <c r="A262" s="93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19"/>
      <c r="P262" s="22"/>
      <c r="Q262" s="22"/>
      <c r="R262" s="22"/>
    </row>
    <row r="263" hidden="1">
      <c r="A263" s="93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19"/>
      <c r="P263" s="22"/>
      <c r="Q263" s="22"/>
      <c r="R263" s="22"/>
    </row>
    <row r="264" hidden="1">
      <c r="A264" s="93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19"/>
      <c r="P264" s="22"/>
      <c r="Q264" s="22"/>
      <c r="R264" s="22"/>
    </row>
    <row r="265" hidden="1">
      <c r="A265" s="93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19"/>
      <c r="P265" s="22"/>
      <c r="Q265" s="22"/>
      <c r="R265" s="22"/>
    </row>
    <row r="266" hidden="1">
      <c r="A266" s="93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19"/>
      <c r="P266" s="22"/>
      <c r="Q266" s="22"/>
      <c r="R266" s="22"/>
    </row>
    <row r="267" hidden="1">
      <c r="A267" s="93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19"/>
      <c r="P267" s="22"/>
      <c r="Q267" s="22"/>
      <c r="R267" s="22"/>
    </row>
    <row r="268" hidden="1">
      <c r="A268" s="93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19"/>
      <c r="P268" s="22"/>
      <c r="Q268" s="22"/>
      <c r="R268" s="22"/>
    </row>
    <row r="269" hidden="1">
      <c r="A269" s="93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19"/>
      <c r="P269" s="22"/>
      <c r="Q269" s="22"/>
      <c r="R269" s="22"/>
    </row>
    <row r="270" hidden="1">
      <c r="A270" s="93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19"/>
      <c r="P270" s="22"/>
      <c r="Q270" s="22"/>
      <c r="R270" s="22"/>
    </row>
    <row r="271" hidden="1">
      <c r="A271" s="93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19"/>
      <c r="P271" s="22"/>
      <c r="Q271" s="22"/>
      <c r="R271" s="22"/>
    </row>
    <row r="272" hidden="1">
      <c r="A272" s="93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19"/>
      <c r="P272" s="22"/>
      <c r="Q272" s="22"/>
      <c r="R272" s="22"/>
    </row>
    <row r="273" hidden="1">
      <c r="A273" s="93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19"/>
      <c r="P273" s="22"/>
      <c r="Q273" s="22"/>
      <c r="R273" s="22"/>
    </row>
    <row r="274" hidden="1">
      <c r="A274" s="93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19"/>
      <c r="P274" s="22"/>
      <c r="Q274" s="22"/>
      <c r="R274" s="22"/>
    </row>
    <row r="275" hidden="1">
      <c r="A275" s="93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19"/>
      <c r="P275" s="22"/>
      <c r="Q275" s="22"/>
      <c r="R275" s="22"/>
    </row>
    <row r="276" hidden="1">
      <c r="A276" s="93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19"/>
      <c r="P276" s="22"/>
      <c r="Q276" s="22"/>
      <c r="R276" s="22"/>
    </row>
    <row r="277" hidden="1">
      <c r="A277" s="93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19"/>
      <c r="P277" s="22"/>
      <c r="Q277" s="22"/>
      <c r="R277" s="22"/>
    </row>
    <row r="278" hidden="1">
      <c r="A278" s="93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19"/>
      <c r="P278" s="22"/>
      <c r="Q278" s="22"/>
      <c r="R278" s="22"/>
    </row>
    <row r="279" hidden="1">
      <c r="A279" s="93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19"/>
      <c r="P279" s="22"/>
      <c r="Q279" s="22"/>
      <c r="R279" s="22"/>
    </row>
    <row r="280" hidden="1">
      <c r="A280" s="93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19"/>
      <c r="P280" s="22"/>
      <c r="Q280" s="22"/>
      <c r="R280" s="22"/>
    </row>
    <row r="281" hidden="1">
      <c r="A281" s="93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19"/>
      <c r="P281" s="22"/>
      <c r="Q281" s="22"/>
      <c r="R281" s="22"/>
    </row>
    <row r="282" hidden="1">
      <c r="A282" s="93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19"/>
      <c r="P282" s="22"/>
      <c r="Q282" s="22"/>
      <c r="R282" s="22"/>
    </row>
    <row r="283" hidden="1">
      <c r="A283" s="93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19"/>
      <c r="P283" s="22"/>
      <c r="Q283" s="22"/>
      <c r="R283" s="22"/>
    </row>
    <row r="284" hidden="1">
      <c r="A284" s="93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19"/>
      <c r="P284" s="22"/>
      <c r="Q284" s="22"/>
      <c r="R284" s="22"/>
    </row>
    <row r="285" hidden="1">
      <c r="A285" s="93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19"/>
      <c r="P285" s="22"/>
      <c r="Q285" s="22"/>
      <c r="R285" s="22"/>
    </row>
    <row r="286" hidden="1">
      <c r="A286" s="93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19"/>
      <c r="P286" s="22"/>
      <c r="Q286" s="22"/>
      <c r="R286" s="22"/>
    </row>
    <row r="287" hidden="1">
      <c r="A287" s="93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19"/>
      <c r="P287" s="22"/>
      <c r="Q287" s="22"/>
      <c r="R287" s="22"/>
    </row>
    <row r="288" hidden="1">
      <c r="A288" s="93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19"/>
      <c r="P288" s="22"/>
      <c r="Q288" s="22"/>
      <c r="R288" s="22"/>
    </row>
    <row r="289" hidden="1">
      <c r="A289" s="93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19"/>
      <c r="P289" s="22"/>
      <c r="Q289" s="22"/>
      <c r="R289" s="22"/>
    </row>
    <row r="290" hidden="1">
      <c r="A290" s="93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19"/>
      <c r="P290" s="22"/>
      <c r="Q290" s="22"/>
      <c r="R290" s="22"/>
    </row>
    <row r="291" hidden="1">
      <c r="A291" s="93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19"/>
      <c r="P291" s="22"/>
      <c r="Q291" s="22"/>
      <c r="R291" s="22"/>
    </row>
    <row r="292" hidden="1">
      <c r="A292" s="93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19"/>
      <c r="P292" s="22"/>
      <c r="Q292" s="22"/>
      <c r="R292" s="22"/>
    </row>
    <row r="293" hidden="1">
      <c r="A293" s="93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19"/>
      <c r="P293" s="22"/>
      <c r="Q293" s="22"/>
      <c r="R293" s="22"/>
    </row>
    <row r="294" hidden="1">
      <c r="A294" s="93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19"/>
      <c r="P294" s="22"/>
      <c r="Q294" s="22"/>
      <c r="R294" s="22"/>
    </row>
    <row r="295" hidden="1">
      <c r="A295" s="93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19"/>
      <c r="P295" s="22"/>
      <c r="Q295" s="22"/>
      <c r="R295" s="22"/>
    </row>
    <row r="296" hidden="1">
      <c r="A296" s="93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19"/>
      <c r="P296" s="22"/>
      <c r="Q296" s="22"/>
      <c r="R296" s="22"/>
    </row>
    <row r="297" hidden="1">
      <c r="A297" s="93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19"/>
      <c r="P297" s="22"/>
      <c r="Q297" s="22"/>
      <c r="R297" s="22"/>
    </row>
    <row r="298" hidden="1">
      <c r="A298" s="93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19"/>
      <c r="P298" s="22"/>
      <c r="Q298" s="22"/>
      <c r="R298" s="22"/>
    </row>
    <row r="299" hidden="1">
      <c r="A299" s="93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19"/>
      <c r="P299" s="22"/>
      <c r="Q299" s="22"/>
      <c r="R299" s="22"/>
    </row>
    <row r="300" hidden="1">
      <c r="A300" s="93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19"/>
      <c r="P300" s="22"/>
      <c r="Q300" s="22"/>
      <c r="R300" s="22"/>
    </row>
    <row r="301" hidden="1">
      <c r="A301" s="93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19"/>
      <c r="P301" s="22"/>
      <c r="Q301" s="22"/>
      <c r="R301" s="22"/>
    </row>
    <row r="302" hidden="1">
      <c r="A302" s="93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19"/>
      <c r="P302" s="22"/>
      <c r="Q302" s="22"/>
      <c r="R302" s="22"/>
    </row>
    <row r="303" hidden="1">
      <c r="A303" s="93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19"/>
      <c r="P303" s="22"/>
      <c r="Q303" s="22"/>
      <c r="R303" s="22"/>
    </row>
    <row r="304" hidden="1">
      <c r="A304" s="93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19"/>
      <c r="P304" s="22"/>
      <c r="Q304" s="22"/>
      <c r="R304" s="22"/>
    </row>
    <row r="305" hidden="1">
      <c r="A305" s="93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19"/>
      <c r="P305" s="22"/>
      <c r="Q305" s="22"/>
      <c r="R305" s="22"/>
    </row>
    <row r="306" hidden="1">
      <c r="A306" s="93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19"/>
      <c r="P306" s="22"/>
      <c r="Q306" s="22"/>
      <c r="R306" s="22"/>
    </row>
    <row r="307" hidden="1">
      <c r="A307" s="93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19"/>
      <c r="P307" s="22"/>
      <c r="Q307" s="22"/>
      <c r="R307" s="22"/>
    </row>
    <row r="308" hidden="1">
      <c r="A308" s="93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19"/>
      <c r="P308" s="22"/>
      <c r="Q308" s="22"/>
      <c r="R308" s="22"/>
    </row>
    <row r="309" hidden="1">
      <c r="A309" s="93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19"/>
      <c r="P309" s="22"/>
      <c r="Q309" s="22"/>
      <c r="R309" s="22"/>
    </row>
    <row r="310" hidden="1">
      <c r="A310" s="93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19"/>
      <c r="P310" s="22"/>
      <c r="Q310" s="22"/>
      <c r="R310" s="22"/>
    </row>
    <row r="311" hidden="1">
      <c r="A311" s="93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19"/>
      <c r="P311" s="22"/>
      <c r="Q311" s="22"/>
      <c r="R311" s="22"/>
    </row>
    <row r="312" hidden="1">
      <c r="A312" s="93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19"/>
      <c r="P312" s="22"/>
      <c r="Q312" s="22"/>
      <c r="R312" s="22"/>
    </row>
    <row r="313" hidden="1">
      <c r="A313" s="93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19"/>
      <c r="P313" s="22"/>
      <c r="Q313" s="22"/>
      <c r="R313" s="22"/>
    </row>
    <row r="314" hidden="1">
      <c r="A314" s="93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19"/>
      <c r="P314" s="22"/>
      <c r="Q314" s="22"/>
      <c r="R314" s="22"/>
    </row>
    <row r="315" hidden="1">
      <c r="A315" s="93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19"/>
      <c r="P315" s="22"/>
      <c r="Q315" s="22"/>
      <c r="R315" s="22"/>
    </row>
    <row r="316" hidden="1">
      <c r="A316" s="93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19"/>
      <c r="P316" s="22"/>
      <c r="Q316" s="22"/>
      <c r="R316" s="22"/>
    </row>
    <row r="317" hidden="1">
      <c r="A317" s="93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19"/>
      <c r="P317" s="22"/>
      <c r="Q317" s="22"/>
      <c r="R317" s="22"/>
    </row>
    <row r="318" hidden="1">
      <c r="A318" s="93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19"/>
      <c r="P318" s="22"/>
      <c r="Q318" s="22"/>
      <c r="R318" s="22"/>
    </row>
    <row r="319" hidden="1">
      <c r="A319" s="93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19"/>
      <c r="P319" s="22"/>
      <c r="Q319" s="22"/>
      <c r="R319" s="22"/>
    </row>
    <row r="320" hidden="1">
      <c r="A320" s="93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19"/>
      <c r="P320" s="22"/>
      <c r="Q320" s="22"/>
      <c r="R320" s="22"/>
    </row>
    <row r="321" hidden="1">
      <c r="A321" s="93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19"/>
      <c r="P321" s="22"/>
      <c r="Q321" s="22"/>
      <c r="R321" s="22"/>
    </row>
    <row r="322" hidden="1">
      <c r="A322" s="93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19"/>
      <c r="P322" s="22"/>
      <c r="Q322" s="22"/>
      <c r="R322" s="22"/>
    </row>
    <row r="323" hidden="1">
      <c r="A323" s="93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19"/>
      <c r="P323" s="22"/>
      <c r="Q323" s="22"/>
      <c r="R323" s="22"/>
    </row>
    <row r="324" hidden="1">
      <c r="A324" s="93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19"/>
      <c r="P324" s="22"/>
      <c r="Q324" s="22"/>
      <c r="R324" s="22"/>
    </row>
    <row r="325" hidden="1">
      <c r="A325" s="93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19"/>
      <c r="P325" s="22"/>
      <c r="Q325" s="22"/>
      <c r="R325" s="22"/>
    </row>
    <row r="326" hidden="1">
      <c r="A326" s="93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19"/>
      <c r="P326" s="22"/>
      <c r="Q326" s="22"/>
      <c r="R326" s="22"/>
    </row>
    <row r="327" hidden="1">
      <c r="A327" s="93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19"/>
      <c r="P327" s="22"/>
      <c r="Q327" s="22"/>
      <c r="R327" s="22"/>
    </row>
    <row r="328" hidden="1">
      <c r="A328" s="93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19"/>
      <c r="P328" s="22"/>
      <c r="Q328" s="22"/>
      <c r="R328" s="22"/>
    </row>
    <row r="329" hidden="1">
      <c r="A329" s="93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19"/>
      <c r="P329" s="22"/>
      <c r="Q329" s="22"/>
      <c r="R329" s="22"/>
    </row>
    <row r="330" hidden="1">
      <c r="A330" s="93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19"/>
      <c r="P330" s="22"/>
      <c r="Q330" s="22"/>
      <c r="R330" s="22"/>
    </row>
    <row r="331" hidden="1">
      <c r="A331" s="93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19"/>
      <c r="P331" s="22"/>
      <c r="Q331" s="22"/>
      <c r="R331" s="22"/>
    </row>
    <row r="332" hidden="1">
      <c r="A332" s="93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19"/>
      <c r="P332" s="22"/>
      <c r="Q332" s="22"/>
      <c r="R332" s="22"/>
    </row>
    <row r="333" hidden="1">
      <c r="A333" s="93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19"/>
      <c r="P333" s="22"/>
      <c r="Q333" s="22"/>
      <c r="R333" s="22"/>
    </row>
    <row r="334" hidden="1">
      <c r="A334" s="93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19"/>
      <c r="P334" s="22"/>
      <c r="Q334" s="22"/>
      <c r="R334" s="22"/>
    </row>
    <row r="335" hidden="1">
      <c r="A335" s="93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19"/>
      <c r="P335" s="22"/>
      <c r="Q335" s="22"/>
      <c r="R335" s="22"/>
    </row>
    <row r="336" hidden="1">
      <c r="A336" s="93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19"/>
      <c r="P336" s="22"/>
      <c r="Q336" s="22"/>
      <c r="R336" s="22"/>
    </row>
    <row r="337" hidden="1">
      <c r="A337" s="93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19"/>
      <c r="P337" s="22"/>
      <c r="Q337" s="22"/>
      <c r="R337" s="22"/>
    </row>
    <row r="338" hidden="1">
      <c r="A338" s="93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19"/>
      <c r="P338" s="22"/>
      <c r="Q338" s="22"/>
      <c r="R338" s="22"/>
    </row>
    <row r="339" hidden="1">
      <c r="A339" s="93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19"/>
      <c r="P339" s="22"/>
      <c r="Q339" s="22"/>
      <c r="R339" s="22"/>
    </row>
    <row r="340" hidden="1">
      <c r="A340" s="93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19"/>
      <c r="P340" s="22"/>
      <c r="Q340" s="22"/>
      <c r="R340" s="22"/>
    </row>
    <row r="341" hidden="1">
      <c r="A341" s="93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19"/>
      <c r="P341" s="22"/>
      <c r="Q341" s="22"/>
      <c r="R341" s="22"/>
    </row>
    <row r="342" hidden="1">
      <c r="A342" s="93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19"/>
      <c r="P342" s="22"/>
      <c r="Q342" s="22"/>
      <c r="R342" s="22"/>
    </row>
    <row r="343" hidden="1">
      <c r="A343" s="93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19"/>
      <c r="P343" s="22"/>
      <c r="Q343" s="22"/>
      <c r="R343" s="22"/>
    </row>
    <row r="344" hidden="1">
      <c r="A344" s="93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19"/>
      <c r="P344" s="22"/>
      <c r="Q344" s="22"/>
      <c r="R344" s="22"/>
    </row>
    <row r="345" hidden="1">
      <c r="A345" s="93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19"/>
      <c r="P345" s="22"/>
      <c r="Q345" s="22"/>
      <c r="R345" s="22"/>
    </row>
    <row r="346" hidden="1">
      <c r="A346" s="93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19"/>
      <c r="P346" s="22"/>
      <c r="Q346" s="22"/>
      <c r="R346" s="22"/>
    </row>
    <row r="347" hidden="1">
      <c r="A347" s="93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19"/>
      <c r="P347" s="22"/>
      <c r="Q347" s="22"/>
      <c r="R347" s="22"/>
    </row>
    <row r="348" hidden="1">
      <c r="A348" s="93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19"/>
      <c r="P348" s="22"/>
      <c r="Q348" s="22"/>
      <c r="R348" s="22"/>
    </row>
    <row r="349" hidden="1">
      <c r="A349" s="93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19"/>
      <c r="P349" s="22"/>
      <c r="Q349" s="22"/>
      <c r="R349" s="22"/>
    </row>
    <row r="350" hidden="1">
      <c r="A350" s="93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19"/>
      <c r="P350" s="22"/>
      <c r="Q350" s="22"/>
      <c r="R350" s="22"/>
    </row>
    <row r="351" hidden="1">
      <c r="A351" s="93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19"/>
      <c r="P351" s="22"/>
      <c r="Q351" s="22"/>
      <c r="R351" s="22"/>
    </row>
    <row r="352" hidden="1">
      <c r="A352" s="93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19"/>
      <c r="P352" s="22"/>
      <c r="Q352" s="22"/>
      <c r="R352" s="22"/>
    </row>
    <row r="353" hidden="1">
      <c r="A353" s="93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19"/>
      <c r="P353" s="22"/>
      <c r="Q353" s="22"/>
      <c r="R353" s="22"/>
    </row>
    <row r="354" hidden="1">
      <c r="A354" s="93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19"/>
      <c r="P354" s="22"/>
      <c r="Q354" s="22"/>
      <c r="R354" s="22"/>
    </row>
    <row r="355" hidden="1">
      <c r="A355" s="93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19"/>
      <c r="P355" s="22"/>
      <c r="Q355" s="22"/>
      <c r="R355" s="22"/>
    </row>
    <row r="356" hidden="1">
      <c r="A356" s="93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19"/>
      <c r="P356" s="22"/>
      <c r="Q356" s="22"/>
      <c r="R356" s="22"/>
    </row>
    <row r="357" hidden="1">
      <c r="A357" s="93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19"/>
      <c r="P357" s="22"/>
      <c r="Q357" s="22"/>
      <c r="R357" s="22"/>
    </row>
    <row r="358" hidden="1">
      <c r="A358" s="93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19"/>
      <c r="P358" s="22"/>
      <c r="Q358" s="22"/>
      <c r="R358" s="22"/>
    </row>
    <row r="359" hidden="1">
      <c r="A359" s="93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19"/>
      <c r="P359" s="22"/>
      <c r="Q359" s="22"/>
      <c r="R359" s="22"/>
    </row>
    <row r="360" hidden="1">
      <c r="A360" s="93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19"/>
      <c r="P360" s="22"/>
      <c r="Q360" s="22"/>
      <c r="R360" s="22"/>
    </row>
    <row r="361" hidden="1">
      <c r="A361" s="93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19"/>
      <c r="P361" s="22"/>
      <c r="Q361" s="22"/>
      <c r="R361" s="22"/>
    </row>
    <row r="362" hidden="1">
      <c r="A362" s="93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19"/>
      <c r="P362" s="22"/>
      <c r="Q362" s="22"/>
      <c r="R362" s="22"/>
    </row>
    <row r="363" hidden="1">
      <c r="A363" s="93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19"/>
      <c r="P363" s="22"/>
      <c r="Q363" s="22"/>
      <c r="R363" s="22"/>
    </row>
    <row r="364" hidden="1">
      <c r="A364" s="93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19"/>
      <c r="P364" s="22"/>
      <c r="Q364" s="22"/>
      <c r="R364" s="22"/>
    </row>
    <row r="365" hidden="1">
      <c r="A365" s="93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19"/>
      <c r="P365" s="22"/>
      <c r="Q365" s="22"/>
      <c r="R365" s="22"/>
    </row>
    <row r="366" hidden="1">
      <c r="A366" s="93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19"/>
      <c r="P366" s="22"/>
      <c r="Q366" s="22"/>
      <c r="R366" s="22"/>
    </row>
    <row r="367" hidden="1">
      <c r="A367" s="93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19"/>
      <c r="P367" s="22"/>
      <c r="Q367" s="22"/>
      <c r="R367" s="22"/>
    </row>
    <row r="368" hidden="1">
      <c r="A368" s="93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19"/>
      <c r="P368" s="22"/>
      <c r="Q368" s="22"/>
      <c r="R368" s="22"/>
    </row>
    <row r="369" hidden="1">
      <c r="A369" s="93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19"/>
      <c r="P369" s="22"/>
      <c r="Q369" s="22"/>
      <c r="R369" s="22"/>
    </row>
    <row r="370" hidden="1">
      <c r="A370" s="93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19"/>
      <c r="P370" s="22"/>
      <c r="Q370" s="22"/>
      <c r="R370" s="22"/>
    </row>
    <row r="371" hidden="1">
      <c r="A371" s="93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19"/>
      <c r="P371" s="22"/>
      <c r="Q371" s="22"/>
      <c r="R371" s="22"/>
    </row>
    <row r="372" hidden="1">
      <c r="A372" s="93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19"/>
      <c r="P372" s="22"/>
      <c r="Q372" s="22"/>
      <c r="R372" s="22"/>
    </row>
    <row r="373" hidden="1">
      <c r="A373" s="93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19"/>
      <c r="P373" s="22"/>
      <c r="Q373" s="22"/>
      <c r="R373" s="22"/>
    </row>
    <row r="374" hidden="1">
      <c r="A374" s="93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19"/>
      <c r="P374" s="22"/>
      <c r="Q374" s="22"/>
      <c r="R374" s="22"/>
    </row>
    <row r="375" hidden="1">
      <c r="A375" s="93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19"/>
      <c r="P375" s="22"/>
      <c r="Q375" s="22"/>
      <c r="R375" s="22"/>
    </row>
    <row r="376" hidden="1">
      <c r="A376" s="93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19"/>
      <c r="P376" s="22"/>
      <c r="Q376" s="22"/>
      <c r="R376" s="22"/>
    </row>
    <row r="377" hidden="1">
      <c r="A377" s="93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19"/>
      <c r="P377" s="22"/>
      <c r="Q377" s="22"/>
      <c r="R377" s="22"/>
    </row>
    <row r="378" hidden="1">
      <c r="A378" s="93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19"/>
      <c r="P378" s="22"/>
      <c r="Q378" s="22"/>
      <c r="R378" s="22"/>
    </row>
    <row r="379" hidden="1">
      <c r="A379" s="93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19"/>
      <c r="P379" s="22"/>
      <c r="Q379" s="22"/>
      <c r="R379" s="22"/>
    </row>
    <row r="380" hidden="1">
      <c r="A380" s="93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19"/>
      <c r="P380" s="22"/>
      <c r="Q380" s="22"/>
      <c r="R380" s="22"/>
    </row>
    <row r="381" hidden="1">
      <c r="A381" s="93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19"/>
      <c r="P381" s="22"/>
      <c r="Q381" s="22"/>
      <c r="R381" s="22"/>
    </row>
    <row r="382" hidden="1">
      <c r="A382" s="93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19"/>
      <c r="P382" s="22"/>
      <c r="Q382" s="22"/>
      <c r="R382" s="22"/>
    </row>
    <row r="383" hidden="1">
      <c r="A383" s="93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19"/>
      <c r="P383" s="22"/>
      <c r="Q383" s="22"/>
      <c r="R383" s="22"/>
    </row>
    <row r="384" hidden="1">
      <c r="A384" s="93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19"/>
      <c r="P384" s="22"/>
      <c r="Q384" s="22"/>
      <c r="R384" s="22"/>
    </row>
    <row r="385" hidden="1">
      <c r="A385" s="93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19"/>
      <c r="P385" s="22"/>
      <c r="Q385" s="22"/>
      <c r="R385" s="22"/>
    </row>
    <row r="386" hidden="1">
      <c r="A386" s="93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19"/>
      <c r="P386" s="22"/>
      <c r="Q386" s="22"/>
      <c r="R386" s="22"/>
    </row>
    <row r="387" hidden="1">
      <c r="A387" s="93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19"/>
      <c r="P387" s="22"/>
      <c r="Q387" s="22"/>
      <c r="R387" s="22"/>
    </row>
    <row r="388" hidden="1">
      <c r="A388" s="93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19"/>
      <c r="P388" s="22"/>
      <c r="Q388" s="22"/>
      <c r="R388" s="22"/>
    </row>
    <row r="389" hidden="1">
      <c r="A389" s="93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19"/>
      <c r="P389" s="22"/>
      <c r="Q389" s="22"/>
      <c r="R389" s="22"/>
    </row>
    <row r="390" hidden="1">
      <c r="A390" s="93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19"/>
      <c r="P390" s="22"/>
      <c r="Q390" s="22"/>
      <c r="R390" s="22"/>
    </row>
    <row r="391" hidden="1">
      <c r="A391" s="93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19"/>
      <c r="P391" s="22"/>
      <c r="Q391" s="22"/>
      <c r="R391" s="22"/>
    </row>
    <row r="392" hidden="1">
      <c r="A392" s="93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19"/>
      <c r="P392" s="22"/>
      <c r="Q392" s="22"/>
      <c r="R392" s="22"/>
    </row>
    <row r="393" hidden="1">
      <c r="A393" s="93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19"/>
      <c r="P393" s="22"/>
      <c r="Q393" s="22"/>
      <c r="R393" s="22"/>
    </row>
    <row r="394" hidden="1">
      <c r="A394" s="93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19"/>
      <c r="P394" s="22"/>
      <c r="Q394" s="22"/>
      <c r="R394" s="22"/>
    </row>
    <row r="395" hidden="1">
      <c r="A395" s="93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19"/>
      <c r="P395" s="22"/>
      <c r="Q395" s="22"/>
      <c r="R395" s="22"/>
    </row>
    <row r="396" hidden="1">
      <c r="A396" s="93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19"/>
      <c r="P396" s="22"/>
      <c r="Q396" s="22"/>
      <c r="R396" s="22"/>
    </row>
    <row r="397" hidden="1">
      <c r="A397" s="93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19"/>
      <c r="P397" s="22"/>
      <c r="Q397" s="22"/>
      <c r="R397" s="22"/>
    </row>
    <row r="398" hidden="1">
      <c r="A398" s="93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19"/>
      <c r="P398" s="22"/>
      <c r="Q398" s="22"/>
      <c r="R398" s="22"/>
    </row>
    <row r="399" hidden="1">
      <c r="A399" s="93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19"/>
      <c r="P399" s="22"/>
      <c r="Q399" s="22"/>
      <c r="R399" s="22"/>
    </row>
    <row r="400" hidden="1">
      <c r="A400" s="93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19"/>
      <c r="P400" s="22"/>
      <c r="Q400" s="22"/>
      <c r="R400" s="22"/>
    </row>
    <row r="401" hidden="1">
      <c r="A401" s="93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19"/>
      <c r="P401" s="22"/>
      <c r="Q401" s="22"/>
      <c r="R401" s="22"/>
    </row>
    <row r="402" hidden="1">
      <c r="A402" s="93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19"/>
      <c r="P402" s="22"/>
      <c r="Q402" s="22"/>
      <c r="R402" s="22"/>
    </row>
    <row r="403" hidden="1">
      <c r="A403" s="93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19"/>
      <c r="P403" s="22"/>
      <c r="Q403" s="22"/>
      <c r="R403" s="22"/>
    </row>
    <row r="404" hidden="1">
      <c r="A404" s="93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19"/>
      <c r="P404" s="22"/>
      <c r="Q404" s="22"/>
      <c r="R404" s="22"/>
    </row>
    <row r="405" hidden="1">
      <c r="A405" s="93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19"/>
      <c r="P405" s="22"/>
      <c r="Q405" s="22"/>
      <c r="R405" s="22"/>
    </row>
    <row r="406" hidden="1">
      <c r="A406" s="93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19"/>
      <c r="P406" s="22"/>
      <c r="Q406" s="22"/>
      <c r="R406" s="22"/>
    </row>
    <row r="407" hidden="1">
      <c r="A407" s="93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19"/>
      <c r="P407" s="22"/>
      <c r="Q407" s="22"/>
      <c r="R407" s="22"/>
    </row>
    <row r="408" hidden="1">
      <c r="A408" s="93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19"/>
      <c r="P408" s="22"/>
      <c r="Q408" s="22"/>
      <c r="R408" s="22"/>
    </row>
    <row r="409" hidden="1">
      <c r="A409" s="93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19"/>
      <c r="P409" s="22"/>
      <c r="Q409" s="22"/>
      <c r="R409" s="22"/>
    </row>
    <row r="410" hidden="1">
      <c r="A410" s="93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19"/>
      <c r="P410" s="22"/>
      <c r="Q410" s="22"/>
      <c r="R410" s="22"/>
    </row>
    <row r="411" hidden="1">
      <c r="A411" s="93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19"/>
      <c r="P411" s="22"/>
      <c r="Q411" s="22"/>
      <c r="R411" s="22"/>
    </row>
    <row r="412" hidden="1">
      <c r="A412" s="93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19"/>
      <c r="P412" s="22"/>
      <c r="Q412" s="22"/>
      <c r="R412" s="22"/>
    </row>
    <row r="413" hidden="1">
      <c r="A413" s="93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19"/>
      <c r="P413" s="22"/>
      <c r="Q413" s="22"/>
      <c r="R413" s="22"/>
    </row>
    <row r="414" hidden="1">
      <c r="A414" s="93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19"/>
      <c r="P414" s="22"/>
      <c r="Q414" s="22"/>
      <c r="R414" s="22"/>
    </row>
    <row r="415" hidden="1">
      <c r="A415" s="93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19"/>
      <c r="P415" s="22"/>
      <c r="Q415" s="22"/>
      <c r="R415" s="22"/>
    </row>
    <row r="416" hidden="1">
      <c r="A416" s="93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19"/>
      <c r="P416" s="22"/>
      <c r="Q416" s="22"/>
      <c r="R416" s="22"/>
    </row>
    <row r="417" hidden="1">
      <c r="A417" s="93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19"/>
      <c r="P417" s="22"/>
      <c r="Q417" s="22"/>
      <c r="R417" s="22"/>
    </row>
    <row r="418" hidden="1">
      <c r="A418" s="93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19"/>
      <c r="P418" s="22"/>
      <c r="Q418" s="22"/>
      <c r="R418" s="22"/>
    </row>
    <row r="419" hidden="1">
      <c r="A419" s="93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19"/>
      <c r="P419" s="22"/>
      <c r="Q419" s="22"/>
      <c r="R419" s="22"/>
    </row>
    <row r="420" hidden="1">
      <c r="A420" s="93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19"/>
      <c r="P420" s="22"/>
      <c r="Q420" s="22"/>
      <c r="R420" s="22"/>
    </row>
    <row r="421" hidden="1">
      <c r="A421" s="93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19"/>
      <c r="P421" s="22"/>
      <c r="Q421" s="22"/>
      <c r="R421" s="22"/>
    </row>
    <row r="422" hidden="1">
      <c r="A422" s="93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19"/>
      <c r="P422" s="22"/>
      <c r="Q422" s="22"/>
      <c r="R422" s="22"/>
    </row>
    <row r="423" hidden="1">
      <c r="A423" s="93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19"/>
      <c r="P423" s="22"/>
      <c r="Q423" s="22"/>
      <c r="R423" s="22"/>
    </row>
    <row r="424" hidden="1">
      <c r="A424" s="93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19"/>
      <c r="P424" s="22"/>
      <c r="Q424" s="22"/>
      <c r="R424" s="22"/>
    </row>
    <row r="425" hidden="1">
      <c r="A425" s="93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19"/>
      <c r="P425" s="22"/>
      <c r="Q425" s="22"/>
      <c r="R425" s="22"/>
    </row>
    <row r="426" hidden="1">
      <c r="A426" s="93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19"/>
      <c r="P426" s="22"/>
      <c r="Q426" s="22"/>
      <c r="R426" s="22"/>
    </row>
    <row r="427" hidden="1">
      <c r="A427" s="93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19"/>
      <c r="P427" s="22"/>
      <c r="Q427" s="22"/>
      <c r="R427" s="22"/>
    </row>
    <row r="428" hidden="1">
      <c r="A428" s="93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19"/>
      <c r="P428" s="22"/>
      <c r="Q428" s="22"/>
      <c r="R428" s="22"/>
    </row>
    <row r="429" hidden="1">
      <c r="A429" s="93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19"/>
      <c r="P429" s="22"/>
      <c r="Q429" s="22"/>
      <c r="R429" s="22"/>
    </row>
    <row r="430" hidden="1">
      <c r="A430" s="93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19"/>
      <c r="P430" s="22"/>
      <c r="Q430" s="22"/>
      <c r="R430" s="22"/>
    </row>
    <row r="431" hidden="1">
      <c r="A431" s="93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19"/>
      <c r="P431" s="22"/>
      <c r="Q431" s="22"/>
      <c r="R431" s="22"/>
    </row>
    <row r="432" hidden="1">
      <c r="A432" s="93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19"/>
      <c r="P432" s="22"/>
      <c r="Q432" s="22"/>
      <c r="R432" s="22"/>
    </row>
    <row r="433" hidden="1">
      <c r="A433" s="93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19"/>
      <c r="P433" s="22"/>
      <c r="Q433" s="22"/>
      <c r="R433" s="22"/>
    </row>
    <row r="434" hidden="1">
      <c r="A434" s="93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19"/>
      <c r="P434" s="22"/>
      <c r="Q434" s="22"/>
      <c r="R434" s="22"/>
    </row>
    <row r="435" hidden="1">
      <c r="A435" s="93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19"/>
      <c r="P435" s="22"/>
      <c r="Q435" s="22"/>
      <c r="R435" s="22"/>
    </row>
    <row r="436" hidden="1">
      <c r="A436" s="93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19"/>
      <c r="P436" s="22"/>
      <c r="Q436" s="22"/>
      <c r="R436" s="22"/>
    </row>
    <row r="437" hidden="1">
      <c r="A437" s="93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19"/>
      <c r="P437" s="22"/>
      <c r="Q437" s="22"/>
      <c r="R437" s="22"/>
    </row>
    <row r="438" hidden="1">
      <c r="A438" s="93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19"/>
      <c r="P438" s="22"/>
      <c r="Q438" s="22"/>
      <c r="R438" s="22"/>
    </row>
    <row r="439" hidden="1">
      <c r="A439" s="93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19"/>
      <c r="P439" s="22"/>
      <c r="Q439" s="22"/>
      <c r="R439" s="22"/>
    </row>
    <row r="440" hidden="1">
      <c r="A440" s="93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19"/>
      <c r="P440" s="22"/>
      <c r="Q440" s="22"/>
      <c r="R440" s="22"/>
    </row>
    <row r="441" hidden="1">
      <c r="A441" s="93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19"/>
      <c r="P441" s="22"/>
      <c r="Q441" s="22"/>
      <c r="R441" s="22"/>
    </row>
    <row r="442" hidden="1">
      <c r="A442" s="93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19"/>
      <c r="P442" s="22"/>
      <c r="Q442" s="22"/>
      <c r="R442" s="22"/>
    </row>
    <row r="443" hidden="1">
      <c r="A443" s="93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19"/>
      <c r="P443" s="22"/>
      <c r="Q443" s="22"/>
      <c r="R443" s="22"/>
    </row>
    <row r="444" hidden="1">
      <c r="A444" s="93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19"/>
      <c r="P444" s="22"/>
      <c r="Q444" s="22"/>
      <c r="R444" s="22"/>
    </row>
    <row r="445" hidden="1">
      <c r="A445" s="93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19"/>
      <c r="P445" s="22"/>
      <c r="Q445" s="22"/>
      <c r="R445" s="22"/>
    </row>
    <row r="446" hidden="1">
      <c r="A446" s="93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19"/>
      <c r="P446" s="22"/>
      <c r="Q446" s="22"/>
      <c r="R446" s="22"/>
    </row>
    <row r="447" hidden="1">
      <c r="A447" s="93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19"/>
      <c r="P447" s="22"/>
      <c r="Q447" s="22"/>
      <c r="R447" s="22"/>
    </row>
    <row r="448" hidden="1">
      <c r="A448" s="93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19"/>
      <c r="P448" s="22"/>
      <c r="Q448" s="22"/>
      <c r="R448" s="22"/>
    </row>
    <row r="449" hidden="1">
      <c r="A449" s="93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19"/>
      <c r="P449" s="22"/>
      <c r="Q449" s="22"/>
      <c r="R449" s="22"/>
    </row>
    <row r="450" hidden="1">
      <c r="A450" s="93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19"/>
      <c r="P450" s="22"/>
      <c r="Q450" s="22"/>
      <c r="R450" s="22"/>
    </row>
    <row r="451" hidden="1">
      <c r="A451" s="93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19"/>
      <c r="P451" s="22"/>
      <c r="Q451" s="22"/>
      <c r="R451" s="22"/>
    </row>
    <row r="452" hidden="1">
      <c r="A452" s="93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19"/>
      <c r="P452" s="22"/>
      <c r="Q452" s="22"/>
      <c r="R452" s="22"/>
    </row>
    <row r="453" hidden="1">
      <c r="A453" s="93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19"/>
      <c r="P453" s="22"/>
      <c r="Q453" s="22"/>
      <c r="R453" s="22"/>
    </row>
    <row r="454" hidden="1">
      <c r="A454" s="93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19"/>
      <c r="P454" s="22"/>
      <c r="Q454" s="22"/>
      <c r="R454" s="22"/>
    </row>
    <row r="455" hidden="1">
      <c r="A455" s="93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19"/>
      <c r="P455" s="22"/>
      <c r="Q455" s="22"/>
      <c r="R455" s="22"/>
    </row>
    <row r="456" hidden="1">
      <c r="A456" s="93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19"/>
      <c r="P456" s="22"/>
      <c r="Q456" s="22"/>
      <c r="R456" s="22"/>
    </row>
    <row r="457" hidden="1">
      <c r="A457" s="93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19"/>
      <c r="P457" s="22"/>
      <c r="Q457" s="22"/>
      <c r="R457" s="22"/>
    </row>
    <row r="458" hidden="1">
      <c r="A458" s="93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19"/>
      <c r="P458" s="22"/>
      <c r="Q458" s="22"/>
      <c r="R458" s="22"/>
    </row>
    <row r="459" hidden="1">
      <c r="A459" s="93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19"/>
      <c r="P459" s="22"/>
      <c r="Q459" s="22"/>
      <c r="R459" s="22"/>
    </row>
    <row r="460" hidden="1">
      <c r="A460" s="93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19"/>
      <c r="P460" s="22"/>
      <c r="Q460" s="22"/>
      <c r="R460" s="22"/>
    </row>
    <row r="461" hidden="1">
      <c r="A461" s="93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19"/>
      <c r="P461" s="22"/>
      <c r="Q461" s="22"/>
      <c r="R461" s="22"/>
    </row>
    <row r="462" hidden="1">
      <c r="A462" s="93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19"/>
      <c r="P462" s="22"/>
      <c r="Q462" s="22"/>
      <c r="R462" s="22"/>
    </row>
    <row r="463" hidden="1">
      <c r="A463" s="93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19"/>
      <c r="P463" s="22"/>
      <c r="Q463" s="22"/>
      <c r="R463" s="22"/>
    </row>
    <row r="464" hidden="1">
      <c r="A464" s="93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19"/>
      <c r="P464" s="22"/>
      <c r="Q464" s="22"/>
      <c r="R464" s="22"/>
    </row>
    <row r="465" hidden="1">
      <c r="A465" s="93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19"/>
      <c r="P465" s="22"/>
      <c r="Q465" s="22"/>
      <c r="R465" s="22"/>
    </row>
    <row r="466" hidden="1">
      <c r="A466" s="93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19"/>
      <c r="P466" s="22"/>
      <c r="Q466" s="22"/>
      <c r="R466" s="22"/>
    </row>
    <row r="467" hidden="1">
      <c r="A467" s="93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19"/>
      <c r="P467" s="22"/>
      <c r="Q467" s="22"/>
      <c r="R467" s="22"/>
    </row>
    <row r="468" hidden="1">
      <c r="A468" s="93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19"/>
      <c r="P468" s="22"/>
      <c r="Q468" s="22"/>
      <c r="R468" s="22"/>
    </row>
    <row r="469" hidden="1">
      <c r="A469" s="93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19"/>
      <c r="P469" s="22"/>
      <c r="Q469" s="22"/>
      <c r="R469" s="22"/>
    </row>
    <row r="470" hidden="1">
      <c r="A470" s="93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19"/>
      <c r="P470" s="22"/>
      <c r="Q470" s="22"/>
      <c r="R470" s="22"/>
    </row>
    <row r="471" hidden="1">
      <c r="A471" s="93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19"/>
      <c r="P471" s="22"/>
      <c r="Q471" s="22"/>
      <c r="R471" s="22"/>
    </row>
    <row r="472" hidden="1">
      <c r="A472" s="93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19"/>
      <c r="P472" s="22"/>
      <c r="Q472" s="22"/>
      <c r="R472" s="22"/>
    </row>
    <row r="473" hidden="1">
      <c r="A473" s="93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19"/>
      <c r="P473" s="22"/>
      <c r="Q473" s="22"/>
      <c r="R473" s="22"/>
    </row>
    <row r="474" hidden="1">
      <c r="A474" s="93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19"/>
      <c r="P474" s="22"/>
      <c r="Q474" s="22"/>
      <c r="R474" s="22"/>
    </row>
    <row r="475" hidden="1">
      <c r="A475" s="93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19"/>
      <c r="P475" s="22"/>
      <c r="Q475" s="22"/>
      <c r="R475" s="22"/>
    </row>
    <row r="476" hidden="1">
      <c r="A476" s="93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19"/>
      <c r="P476" s="22"/>
      <c r="Q476" s="22"/>
      <c r="R476" s="22"/>
    </row>
    <row r="477" hidden="1">
      <c r="A477" s="93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19"/>
      <c r="P477" s="22"/>
      <c r="Q477" s="22"/>
      <c r="R477" s="22"/>
    </row>
    <row r="478" hidden="1">
      <c r="A478" s="93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19"/>
      <c r="P478" s="22"/>
      <c r="Q478" s="22"/>
      <c r="R478" s="22"/>
    </row>
    <row r="479" hidden="1">
      <c r="A479" s="93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19"/>
      <c r="P479" s="22"/>
      <c r="Q479" s="22"/>
      <c r="R479" s="22"/>
    </row>
    <row r="480" hidden="1">
      <c r="A480" s="93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19"/>
      <c r="P480" s="22"/>
      <c r="Q480" s="22"/>
      <c r="R480" s="22"/>
    </row>
    <row r="481" hidden="1">
      <c r="A481" s="93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19"/>
      <c r="P481" s="22"/>
      <c r="Q481" s="22"/>
      <c r="R481" s="22"/>
    </row>
    <row r="482" hidden="1">
      <c r="A482" s="93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19"/>
      <c r="P482" s="22"/>
      <c r="Q482" s="22"/>
      <c r="R482" s="22"/>
    </row>
    <row r="483" hidden="1">
      <c r="A483" s="93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19"/>
      <c r="P483" s="22"/>
      <c r="Q483" s="22"/>
      <c r="R483" s="22"/>
    </row>
    <row r="484" hidden="1">
      <c r="A484" s="93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19"/>
      <c r="P484" s="22"/>
      <c r="Q484" s="22"/>
      <c r="R484" s="22"/>
    </row>
    <row r="485" hidden="1">
      <c r="A485" s="93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19"/>
      <c r="P485" s="22"/>
      <c r="Q485" s="22"/>
      <c r="R485" s="22"/>
    </row>
    <row r="486" hidden="1">
      <c r="A486" s="93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19"/>
      <c r="P486" s="22"/>
      <c r="Q486" s="22"/>
      <c r="R486" s="22"/>
    </row>
    <row r="487" hidden="1">
      <c r="A487" s="93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19"/>
      <c r="P487" s="22"/>
      <c r="Q487" s="22"/>
      <c r="R487" s="22"/>
    </row>
    <row r="488" hidden="1">
      <c r="A488" s="93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19"/>
      <c r="P488" s="22"/>
      <c r="Q488" s="22"/>
      <c r="R488" s="22"/>
    </row>
    <row r="489" hidden="1">
      <c r="A489" s="93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19"/>
      <c r="P489" s="22"/>
      <c r="Q489" s="22"/>
      <c r="R489" s="22"/>
    </row>
    <row r="490" hidden="1">
      <c r="A490" s="93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19"/>
      <c r="P490" s="22"/>
      <c r="Q490" s="22"/>
      <c r="R490" s="22"/>
    </row>
    <row r="491" hidden="1">
      <c r="A491" s="93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19"/>
      <c r="P491" s="22"/>
      <c r="Q491" s="22"/>
      <c r="R491" s="22"/>
    </row>
    <row r="492" hidden="1">
      <c r="A492" s="93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19"/>
      <c r="P492" s="22"/>
      <c r="Q492" s="22"/>
      <c r="R492" s="22"/>
    </row>
    <row r="493" hidden="1">
      <c r="A493" s="93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19"/>
      <c r="P493" s="22"/>
      <c r="Q493" s="22"/>
      <c r="R493" s="22"/>
    </row>
    <row r="494" hidden="1">
      <c r="A494" s="93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19"/>
      <c r="P494" s="22"/>
      <c r="Q494" s="22"/>
      <c r="R494" s="22"/>
    </row>
    <row r="495" hidden="1">
      <c r="A495" s="93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19"/>
      <c r="P495" s="22"/>
      <c r="Q495" s="22"/>
      <c r="R495" s="22"/>
    </row>
    <row r="496" hidden="1">
      <c r="A496" s="93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19"/>
      <c r="P496" s="22"/>
      <c r="Q496" s="22"/>
      <c r="R496" s="22"/>
    </row>
    <row r="497" hidden="1">
      <c r="A497" s="93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19"/>
      <c r="P497" s="22"/>
      <c r="Q497" s="22"/>
      <c r="R497" s="22"/>
    </row>
    <row r="498" hidden="1">
      <c r="A498" s="93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19"/>
      <c r="P498" s="22"/>
      <c r="Q498" s="22"/>
      <c r="R498" s="22"/>
    </row>
    <row r="499" hidden="1">
      <c r="A499" s="93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19"/>
      <c r="P499" s="22"/>
      <c r="Q499" s="22"/>
      <c r="R499" s="22"/>
    </row>
    <row r="500" hidden="1">
      <c r="A500" s="93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19"/>
      <c r="P500" s="22"/>
      <c r="Q500" s="22"/>
      <c r="R500" s="22"/>
    </row>
    <row r="501" hidden="1">
      <c r="A501" s="93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19"/>
      <c r="P501" s="22"/>
      <c r="Q501" s="22"/>
      <c r="R501" s="22"/>
    </row>
    <row r="502" hidden="1">
      <c r="A502" s="93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19"/>
      <c r="P502" s="22"/>
      <c r="Q502" s="22"/>
      <c r="R502" s="22"/>
    </row>
    <row r="503" hidden="1">
      <c r="A503" s="93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19"/>
      <c r="P503" s="22"/>
      <c r="Q503" s="22"/>
      <c r="R503" s="22"/>
    </row>
    <row r="504" hidden="1">
      <c r="A504" s="93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19"/>
      <c r="P504" s="22"/>
      <c r="Q504" s="22"/>
      <c r="R504" s="22"/>
    </row>
    <row r="505" hidden="1">
      <c r="A505" s="93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19"/>
      <c r="P505" s="22"/>
      <c r="Q505" s="22"/>
      <c r="R505" s="22"/>
    </row>
    <row r="506" hidden="1">
      <c r="A506" s="93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19"/>
      <c r="P506" s="22"/>
      <c r="Q506" s="22"/>
      <c r="R506" s="22"/>
    </row>
    <row r="507" hidden="1">
      <c r="A507" s="93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19"/>
      <c r="P507" s="22"/>
      <c r="Q507" s="22"/>
      <c r="R507" s="22"/>
    </row>
    <row r="508" hidden="1">
      <c r="A508" s="93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19"/>
      <c r="P508" s="22"/>
      <c r="Q508" s="22"/>
      <c r="R508" s="22"/>
    </row>
    <row r="509" hidden="1">
      <c r="A509" s="93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19"/>
      <c r="P509" s="22"/>
      <c r="Q509" s="22"/>
      <c r="R509" s="22"/>
    </row>
    <row r="510" hidden="1">
      <c r="A510" s="93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19"/>
      <c r="P510" s="22"/>
      <c r="Q510" s="22"/>
      <c r="R510" s="22"/>
    </row>
    <row r="511" hidden="1">
      <c r="A511" s="93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19"/>
      <c r="P511" s="22"/>
      <c r="Q511" s="22"/>
      <c r="R511" s="22"/>
    </row>
    <row r="512" hidden="1">
      <c r="A512" s="93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19"/>
      <c r="P512" s="22"/>
      <c r="Q512" s="22"/>
      <c r="R512" s="22"/>
    </row>
    <row r="513" hidden="1">
      <c r="A513" s="93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19"/>
      <c r="P513" s="22"/>
      <c r="Q513" s="22"/>
      <c r="R513" s="22"/>
    </row>
    <row r="514" hidden="1">
      <c r="A514" s="93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19"/>
      <c r="P514" s="22"/>
      <c r="Q514" s="22"/>
      <c r="R514" s="22"/>
    </row>
    <row r="515" hidden="1">
      <c r="A515" s="93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19"/>
      <c r="P515" s="22"/>
      <c r="Q515" s="22"/>
      <c r="R515" s="22"/>
    </row>
    <row r="516" hidden="1">
      <c r="A516" s="93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19"/>
      <c r="P516" s="22"/>
      <c r="Q516" s="22"/>
      <c r="R516" s="22"/>
    </row>
    <row r="517" hidden="1">
      <c r="A517" s="93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19"/>
      <c r="P517" s="22"/>
      <c r="Q517" s="22"/>
      <c r="R517" s="22"/>
    </row>
    <row r="518" hidden="1">
      <c r="A518" s="93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19"/>
      <c r="P518" s="22"/>
      <c r="Q518" s="22"/>
      <c r="R518" s="22"/>
    </row>
    <row r="519" hidden="1">
      <c r="A519" s="93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19"/>
      <c r="P519" s="22"/>
      <c r="Q519" s="22"/>
      <c r="R519" s="22"/>
    </row>
    <row r="520" hidden="1">
      <c r="A520" s="93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19"/>
      <c r="P520" s="22"/>
      <c r="Q520" s="22"/>
      <c r="R520" s="22"/>
    </row>
    <row r="521" hidden="1">
      <c r="A521" s="93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19"/>
      <c r="P521" s="22"/>
      <c r="Q521" s="22"/>
      <c r="R521" s="22"/>
    </row>
    <row r="522" hidden="1">
      <c r="A522" s="93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19"/>
      <c r="P522" s="22"/>
      <c r="Q522" s="22"/>
      <c r="R522" s="22"/>
    </row>
    <row r="523" hidden="1">
      <c r="A523" s="93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19"/>
      <c r="P523" s="22"/>
      <c r="Q523" s="22"/>
      <c r="R523" s="22"/>
    </row>
    <row r="524" hidden="1">
      <c r="A524" s="93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19"/>
      <c r="P524" s="22"/>
      <c r="Q524" s="22"/>
      <c r="R524" s="22"/>
    </row>
    <row r="525" hidden="1">
      <c r="A525" s="93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19"/>
      <c r="P525" s="22"/>
      <c r="Q525" s="22"/>
      <c r="R525" s="22"/>
    </row>
    <row r="526" hidden="1">
      <c r="A526" s="93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19"/>
      <c r="P526" s="22"/>
      <c r="Q526" s="22"/>
      <c r="R526" s="22"/>
    </row>
    <row r="527" hidden="1">
      <c r="A527" s="93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19"/>
      <c r="P527" s="22"/>
      <c r="Q527" s="22"/>
      <c r="R527" s="22"/>
    </row>
    <row r="528" hidden="1">
      <c r="A528" s="93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19"/>
      <c r="P528" s="22"/>
      <c r="Q528" s="22"/>
      <c r="R528" s="22"/>
    </row>
    <row r="529" hidden="1">
      <c r="A529" s="93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19"/>
      <c r="P529" s="22"/>
      <c r="Q529" s="22"/>
      <c r="R529" s="22"/>
    </row>
    <row r="530" hidden="1">
      <c r="A530" s="93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19"/>
      <c r="P530" s="22"/>
      <c r="Q530" s="22"/>
      <c r="R530" s="22"/>
    </row>
    <row r="531" hidden="1">
      <c r="A531" s="93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19"/>
      <c r="P531" s="22"/>
      <c r="Q531" s="22"/>
      <c r="R531" s="22"/>
    </row>
    <row r="532" hidden="1">
      <c r="A532" s="93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19"/>
      <c r="P532" s="22"/>
      <c r="Q532" s="22"/>
      <c r="R532" s="22"/>
    </row>
    <row r="533" hidden="1">
      <c r="A533" s="93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19"/>
      <c r="P533" s="22"/>
      <c r="Q533" s="22"/>
      <c r="R533" s="22"/>
    </row>
    <row r="534" hidden="1">
      <c r="A534" s="93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19"/>
      <c r="P534" s="22"/>
      <c r="Q534" s="22"/>
      <c r="R534" s="22"/>
    </row>
    <row r="535" hidden="1">
      <c r="A535" s="93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19"/>
      <c r="P535" s="22"/>
      <c r="Q535" s="22"/>
      <c r="R535" s="22"/>
    </row>
    <row r="536" hidden="1">
      <c r="A536" s="93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19"/>
      <c r="P536" s="22"/>
      <c r="Q536" s="22"/>
      <c r="R536" s="22"/>
    </row>
    <row r="537" hidden="1">
      <c r="A537" s="93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19"/>
      <c r="P537" s="22"/>
      <c r="Q537" s="22"/>
      <c r="R537" s="22"/>
    </row>
    <row r="538" hidden="1">
      <c r="A538" s="93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19"/>
      <c r="P538" s="22"/>
      <c r="Q538" s="22"/>
      <c r="R538" s="22"/>
    </row>
    <row r="539" hidden="1">
      <c r="A539" s="93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19"/>
      <c r="P539" s="22"/>
      <c r="Q539" s="22"/>
      <c r="R539" s="22"/>
    </row>
    <row r="540" hidden="1">
      <c r="A540" s="93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19"/>
      <c r="P540" s="22"/>
      <c r="Q540" s="22"/>
      <c r="R540" s="22"/>
    </row>
    <row r="541" hidden="1">
      <c r="A541" s="93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19"/>
      <c r="P541" s="22"/>
      <c r="Q541" s="22"/>
      <c r="R541" s="22"/>
    </row>
    <row r="542" hidden="1">
      <c r="A542" s="93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19"/>
      <c r="P542" s="22"/>
      <c r="Q542" s="22"/>
      <c r="R542" s="22"/>
    </row>
    <row r="543" hidden="1">
      <c r="A543" s="93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19"/>
      <c r="P543" s="22"/>
      <c r="Q543" s="22"/>
      <c r="R543" s="22"/>
    </row>
    <row r="544" hidden="1">
      <c r="A544" s="93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19"/>
      <c r="P544" s="22"/>
      <c r="Q544" s="22"/>
      <c r="R544" s="22"/>
    </row>
    <row r="545" hidden="1">
      <c r="A545" s="93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19"/>
      <c r="P545" s="22"/>
      <c r="Q545" s="22"/>
      <c r="R545" s="22"/>
    </row>
    <row r="546" hidden="1">
      <c r="A546" s="93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19"/>
      <c r="P546" s="22"/>
      <c r="Q546" s="22"/>
      <c r="R546" s="22"/>
    </row>
    <row r="547" hidden="1">
      <c r="A547" s="93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19"/>
      <c r="P547" s="22"/>
      <c r="Q547" s="22"/>
      <c r="R547" s="22"/>
    </row>
    <row r="548" hidden="1">
      <c r="A548" s="93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19"/>
      <c r="P548" s="22"/>
      <c r="Q548" s="22"/>
      <c r="R548" s="22"/>
    </row>
    <row r="549" hidden="1">
      <c r="A549" s="93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19"/>
      <c r="P549" s="22"/>
      <c r="Q549" s="22"/>
      <c r="R549" s="22"/>
    </row>
    <row r="550" hidden="1">
      <c r="A550" s="93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19"/>
      <c r="P550" s="22"/>
      <c r="Q550" s="22"/>
      <c r="R550" s="22"/>
    </row>
    <row r="551" hidden="1">
      <c r="A551" s="93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19"/>
      <c r="P551" s="22"/>
      <c r="Q551" s="22"/>
      <c r="R551" s="22"/>
    </row>
    <row r="552" hidden="1">
      <c r="A552" s="93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19"/>
      <c r="P552" s="22"/>
      <c r="Q552" s="22"/>
      <c r="R552" s="22"/>
    </row>
    <row r="553" hidden="1">
      <c r="A553" s="93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19"/>
      <c r="P553" s="22"/>
      <c r="Q553" s="22"/>
      <c r="R553" s="22"/>
    </row>
    <row r="554" hidden="1">
      <c r="A554" s="93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19"/>
      <c r="P554" s="22"/>
      <c r="Q554" s="22"/>
      <c r="R554" s="22"/>
    </row>
    <row r="555" hidden="1">
      <c r="A555" s="93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19"/>
      <c r="P555" s="22"/>
      <c r="Q555" s="22"/>
      <c r="R555" s="22"/>
    </row>
    <row r="556" hidden="1">
      <c r="A556" s="93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19"/>
      <c r="P556" s="22"/>
      <c r="Q556" s="22"/>
      <c r="R556" s="22"/>
    </row>
    <row r="557" hidden="1">
      <c r="A557" s="93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19"/>
      <c r="P557" s="22"/>
      <c r="Q557" s="22"/>
      <c r="R557" s="22"/>
    </row>
    <row r="558" hidden="1">
      <c r="A558" s="93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19"/>
      <c r="P558" s="22"/>
      <c r="Q558" s="22"/>
      <c r="R558" s="22"/>
    </row>
    <row r="559" hidden="1">
      <c r="A559" s="93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19"/>
      <c r="P559" s="22"/>
      <c r="Q559" s="22"/>
      <c r="R559" s="22"/>
    </row>
    <row r="560" hidden="1">
      <c r="A560" s="93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19"/>
      <c r="P560" s="22"/>
      <c r="Q560" s="22"/>
      <c r="R560" s="22"/>
    </row>
    <row r="561" hidden="1">
      <c r="A561" s="93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19"/>
      <c r="P561" s="22"/>
      <c r="Q561" s="22"/>
      <c r="R561" s="22"/>
    </row>
    <row r="562" hidden="1">
      <c r="A562" s="93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19"/>
      <c r="P562" s="22"/>
      <c r="Q562" s="22"/>
      <c r="R562" s="22"/>
    </row>
    <row r="563" hidden="1">
      <c r="A563" s="93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19"/>
      <c r="P563" s="22"/>
      <c r="Q563" s="22"/>
      <c r="R563" s="22"/>
    </row>
    <row r="564" hidden="1">
      <c r="A564" s="93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19"/>
      <c r="P564" s="22"/>
      <c r="Q564" s="22"/>
      <c r="R564" s="22"/>
    </row>
    <row r="565" hidden="1">
      <c r="A565" s="93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19"/>
      <c r="P565" s="22"/>
      <c r="Q565" s="22"/>
      <c r="R565" s="22"/>
    </row>
    <row r="566" hidden="1">
      <c r="A566" s="93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19"/>
      <c r="P566" s="22"/>
      <c r="Q566" s="22"/>
      <c r="R566" s="22"/>
    </row>
    <row r="567" hidden="1">
      <c r="A567" s="93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19"/>
      <c r="P567" s="22"/>
      <c r="Q567" s="22"/>
      <c r="R567" s="22"/>
    </row>
    <row r="568" hidden="1">
      <c r="A568" s="93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19"/>
      <c r="P568" s="22"/>
      <c r="Q568" s="22"/>
      <c r="R568" s="22"/>
    </row>
    <row r="569" hidden="1">
      <c r="A569" s="93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19"/>
      <c r="P569" s="22"/>
      <c r="Q569" s="22"/>
      <c r="R569" s="22"/>
    </row>
    <row r="570" hidden="1">
      <c r="A570" s="93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19"/>
      <c r="P570" s="22"/>
      <c r="Q570" s="22"/>
      <c r="R570" s="22"/>
    </row>
    <row r="571" hidden="1">
      <c r="A571" s="93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19"/>
      <c r="P571" s="22"/>
      <c r="Q571" s="22"/>
      <c r="R571" s="22"/>
    </row>
    <row r="572" hidden="1">
      <c r="A572" s="93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19"/>
      <c r="P572" s="22"/>
      <c r="Q572" s="22"/>
      <c r="R572" s="22"/>
    </row>
    <row r="573" hidden="1">
      <c r="A573" s="93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19"/>
      <c r="P573" s="22"/>
      <c r="Q573" s="22"/>
      <c r="R573" s="22"/>
    </row>
    <row r="574" hidden="1">
      <c r="A574" s="93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19"/>
      <c r="P574" s="22"/>
      <c r="Q574" s="22"/>
      <c r="R574" s="22"/>
    </row>
    <row r="575" hidden="1">
      <c r="A575" s="93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19"/>
      <c r="P575" s="22"/>
      <c r="Q575" s="22"/>
      <c r="R575" s="22"/>
    </row>
    <row r="576" hidden="1">
      <c r="A576" s="93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19"/>
      <c r="P576" s="22"/>
      <c r="Q576" s="22"/>
      <c r="R576" s="22"/>
    </row>
    <row r="577" hidden="1">
      <c r="A577" s="93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19"/>
      <c r="P577" s="22"/>
      <c r="Q577" s="22"/>
      <c r="R577" s="22"/>
    </row>
    <row r="578" hidden="1">
      <c r="A578" s="93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19"/>
      <c r="P578" s="22"/>
      <c r="Q578" s="22"/>
      <c r="R578" s="22"/>
    </row>
    <row r="579" hidden="1">
      <c r="A579" s="93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19"/>
      <c r="P579" s="22"/>
      <c r="Q579" s="22"/>
      <c r="R579" s="22"/>
    </row>
    <row r="580" hidden="1">
      <c r="A580" s="93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19"/>
      <c r="P580" s="22"/>
      <c r="Q580" s="22"/>
      <c r="R580" s="22"/>
    </row>
    <row r="581" hidden="1">
      <c r="A581" s="93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19"/>
      <c r="P581" s="22"/>
      <c r="Q581" s="22"/>
      <c r="R581" s="22"/>
    </row>
    <row r="582" hidden="1">
      <c r="A582" s="93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19"/>
      <c r="P582" s="22"/>
      <c r="Q582" s="22"/>
      <c r="R582" s="22"/>
    </row>
    <row r="583" hidden="1">
      <c r="A583" s="93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19"/>
      <c r="P583" s="22"/>
      <c r="Q583" s="22"/>
      <c r="R583" s="22"/>
    </row>
    <row r="584" hidden="1">
      <c r="A584" s="93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19"/>
      <c r="P584" s="22"/>
      <c r="Q584" s="22"/>
      <c r="R584" s="22"/>
    </row>
    <row r="585" hidden="1">
      <c r="A585" s="93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19"/>
      <c r="P585" s="22"/>
      <c r="Q585" s="22"/>
      <c r="R585" s="22"/>
    </row>
    <row r="586" hidden="1">
      <c r="A586" s="93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19"/>
      <c r="P586" s="22"/>
      <c r="Q586" s="22"/>
      <c r="R586" s="22"/>
    </row>
    <row r="587" hidden="1">
      <c r="A587" s="93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19"/>
      <c r="P587" s="22"/>
      <c r="Q587" s="22"/>
      <c r="R587" s="22"/>
    </row>
    <row r="588" hidden="1">
      <c r="A588" s="93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19"/>
      <c r="P588" s="22"/>
      <c r="Q588" s="22"/>
      <c r="R588" s="22"/>
    </row>
    <row r="589" hidden="1">
      <c r="A589" s="93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19"/>
      <c r="P589" s="22"/>
      <c r="Q589" s="22"/>
      <c r="R589" s="22"/>
    </row>
    <row r="590" hidden="1">
      <c r="A590" s="93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19"/>
      <c r="P590" s="22"/>
      <c r="Q590" s="22"/>
      <c r="R590" s="22"/>
    </row>
    <row r="591" hidden="1">
      <c r="A591" s="93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19"/>
      <c r="P591" s="22"/>
      <c r="Q591" s="22"/>
      <c r="R591" s="22"/>
    </row>
    <row r="592" hidden="1">
      <c r="A592" s="93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19"/>
      <c r="P592" s="22"/>
      <c r="Q592" s="22"/>
      <c r="R592" s="22"/>
    </row>
    <row r="593" hidden="1">
      <c r="A593" s="93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19"/>
      <c r="P593" s="22"/>
      <c r="Q593" s="22"/>
      <c r="R593" s="22"/>
    </row>
    <row r="594" hidden="1">
      <c r="A594" s="93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19"/>
      <c r="P594" s="22"/>
      <c r="Q594" s="22"/>
      <c r="R594" s="22"/>
    </row>
    <row r="595" hidden="1">
      <c r="A595" s="93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19"/>
      <c r="P595" s="22"/>
      <c r="Q595" s="22"/>
      <c r="R595" s="22"/>
    </row>
    <row r="596" hidden="1">
      <c r="A596" s="93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19"/>
      <c r="P596" s="22"/>
      <c r="Q596" s="22"/>
      <c r="R596" s="22"/>
    </row>
    <row r="597" hidden="1">
      <c r="A597" s="93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19"/>
      <c r="P597" s="22"/>
      <c r="Q597" s="22"/>
      <c r="R597" s="22"/>
    </row>
    <row r="598" hidden="1">
      <c r="A598" s="93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19"/>
      <c r="P598" s="22"/>
      <c r="Q598" s="22"/>
      <c r="R598" s="22"/>
    </row>
    <row r="599" hidden="1">
      <c r="A599" s="93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19"/>
      <c r="P599" s="22"/>
      <c r="Q599" s="22"/>
      <c r="R599" s="22"/>
    </row>
    <row r="600" hidden="1">
      <c r="A600" s="93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19"/>
      <c r="P600" s="22"/>
      <c r="Q600" s="22"/>
      <c r="R600" s="22"/>
    </row>
    <row r="601" hidden="1">
      <c r="A601" s="93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19"/>
      <c r="P601" s="22"/>
      <c r="Q601" s="22"/>
      <c r="R601" s="22"/>
    </row>
    <row r="602" hidden="1">
      <c r="A602" s="93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19"/>
      <c r="P602" s="22"/>
      <c r="Q602" s="22"/>
      <c r="R602" s="22"/>
    </row>
    <row r="603" hidden="1">
      <c r="A603" s="93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19"/>
      <c r="P603" s="22"/>
      <c r="Q603" s="22"/>
      <c r="R603" s="22"/>
    </row>
    <row r="604" hidden="1">
      <c r="A604" s="93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19"/>
      <c r="P604" s="22"/>
      <c r="Q604" s="22"/>
      <c r="R604" s="22"/>
    </row>
    <row r="605" hidden="1">
      <c r="A605" s="93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19"/>
      <c r="P605" s="22"/>
      <c r="Q605" s="22"/>
      <c r="R605" s="22"/>
    </row>
    <row r="606" hidden="1">
      <c r="A606" s="93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19"/>
      <c r="P606" s="22"/>
      <c r="Q606" s="22"/>
      <c r="R606" s="22"/>
    </row>
    <row r="607" hidden="1">
      <c r="A607" s="93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19"/>
      <c r="P607" s="22"/>
      <c r="Q607" s="22"/>
      <c r="R607" s="22"/>
    </row>
    <row r="608" hidden="1">
      <c r="A608" s="93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19"/>
      <c r="P608" s="22"/>
      <c r="Q608" s="22"/>
      <c r="R608" s="22"/>
    </row>
    <row r="609" hidden="1">
      <c r="A609" s="93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19"/>
      <c r="P609" s="22"/>
      <c r="Q609" s="22"/>
      <c r="R609" s="22"/>
    </row>
    <row r="610" hidden="1">
      <c r="A610" s="93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19"/>
      <c r="P610" s="22"/>
      <c r="Q610" s="22"/>
      <c r="R610" s="22"/>
    </row>
    <row r="611" hidden="1">
      <c r="A611" s="93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19"/>
      <c r="P611" s="22"/>
      <c r="Q611" s="22"/>
      <c r="R611" s="22"/>
    </row>
    <row r="612" hidden="1">
      <c r="A612" s="93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19"/>
      <c r="P612" s="22"/>
      <c r="Q612" s="22"/>
      <c r="R612" s="22"/>
    </row>
    <row r="613" hidden="1">
      <c r="A613" s="93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19"/>
      <c r="P613" s="22"/>
      <c r="Q613" s="22"/>
      <c r="R613" s="22"/>
    </row>
    <row r="614" hidden="1">
      <c r="A614" s="93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19"/>
      <c r="P614" s="22"/>
      <c r="Q614" s="22"/>
      <c r="R614" s="22"/>
    </row>
    <row r="615" hidden="1">
      <c r="A615" s="93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19"/>
      <c r="P615" s="22"/>
      <c r="Q615" s="22"/>
      <c r="R615" s="22"/>
    </row>
    <row r="616" hidden="1">
      <c r="A616" s="93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19"/>
      <c r="P616" s="22"/>
      <c r="Q616" s="22"/>
      <c r="R616" s="22"/>
    </row>
    <row r="617" hidden="1">
      <c r="A617" s="93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19"/>
      <c r="P617" s="22"/>
      <c r="Q617" s="22"/>
      <c r="R617" s="22"/>
    </row>
    <row r="618" hidden="1">
      <c r="A618" s="93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19"/>
      <c r="P618" s="22"/>
      <c r="Q618" s="22"/>
      <c r="R618" s="22"/>
    </row>
    <row r="619" hidden="1">
      <c r="A619" s="93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19"/>
      <c r="P619" s="22"/>
      <c r="Q619" s="22"/>
      <c r="R619" s="22"/>
    </row>
    <row r="620" hidden="1">
      <c r="A620" s="93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19"/>
      <c r="P620" s="22"/>
      <c r="Q620" s="22"/>
      <c r="R620" s="22"/>
    </row>
    <row r="621" hidden="1">
      <c r="A621" s="93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19"/>
      <c r="P621" s="22"/>
      <c r="Q621" s="22"/>
      <c r="R621" s="22"/>
    </row>
    <row r="622" hidden="1">
      <c r="A622" s="93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19"/>
      <c r="P622" s="22"/>
      <c r="Q622" s="22"/>
      <c r="R622" s="22"/>
    </row>
    <row r="623" hidden="1">
      <c r="A623" s="93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19"/>
      <c r="P623" s="22"/>
      <c r="Q623" s="22"/>
      <c r="R623" s="22"/>
    </row>
    <row r="624" hidden="1">
      <c r="A624" s="93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19"/>
      <c r="P624" s="22"/>
      <c r="Q624" s="22"/>
      <c r="R624" s="22"/>
    </row>
    <row r="625" hidden="1">
      <c r="A625" s="93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19"/>
      <c r="P625" s="22"/>
      <c r="Q625" s="22"/>
      <c r="R625" s="22"/>
    </row>
    <row r="626" hidden="1">
      <c r="A626" s="93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19"/>
      <c r="P626" s="22"/>
      <c r="Q626" s="22"/>
      <c r="R626" s="22"/>
    </row>
    <row r="627" hidden="1">
      <c r="A627" s="93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19"/>
      <c r="P627" s="22"/>
      <c r="Q627" s="22"/>
      <c r="R627" s="22"/>
    </row>
    <row r="628" hidden="1">
      <c r="A628" s="93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19"/>
      <c r="P628" s="22"/>
      <c r="Q628" s="22"/>
      <c r="R628" s="22"/>
    </row>
    <row r="629" hidden="1">
      <c r="A629" s="93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19"/>
      <c r="P629" s="22"/>
      <c r="Q629" s="22"/>
      <c r="R629" s="22"/>
    </row>
    <row r="630" hidden="1">
      <c r="A630" s="93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19"/>
      <c r="P630" s="22"/>
      <c r="Q630" s="22"/>
      <c r="R630" s="22"/>
    </row>
    <row r="631" hidden="1">
      <c r="A631" s="93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19"/>
      <c r="P631" s="22"/>
      <c r="Q631" s="22"/>
      <c r="R631" s="22"/>
    </row>
    <row r="632" hidden="1">
      <c r="A632" s="93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19"/>
      <c r="P632" s="22"/>
      <c r="Q632" s="22"/>
      <c r="R632" s="22"/>
    </row>
    <row r="633" hidden="1">
      <c r="A633" s="93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19"/>
      <c r="P633" s="22"/>
      <c r="Q633" s="22"/>
      <c r="R633" s="22"/>
    </row>
    <row r="634" hidden="1">
      <c r="A634" s="93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19"/>
      <c r="P634" s="22"/>
      <c r="Q634" s="22"/>
      <c r="R634" s="22"/>
    </row>
    <row r="635" hidden="1">
      <c r="A635" s="93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19"/>
      <c r="P635" s="22"/>
      <c r="Q635" s="22"/>
      <c r="R635" s="22"/>
    </row>
    <row r="636" hidden="1">
      <c r="A636" s="93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19"/>
      <c r="P636" s="22"/>
      <c r="Q636" s="22"/>
      <c r="R636" s="22"/>
    </row>
    <row r="637" hidden="1">
      <c r="A637" s="93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19"/>
      <c r="P637" s="22"/>
      <c r="Q637" s="22"/>
      <c r="R637" s="22"/>
    </row>
    <row r="638" hidden="1">
      <c r="A638" s="93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19"/>
      <c r="P638" s="22"/>
      <c r="Q638" s="22"/>
      <c r="R638" s="22"/>
    </row>
    <row r="639" hidden="1">
      <c r="A639" s="93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19"/>
      <c r="P639" s="22"/>
      <c r="Q639" s="22"/>
      <c r="R639" s="22"/>
    </row>
    <row r="640" hidden="1">
      <c r="A640" s="93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19"/>
      <c r="P640" s="22"/>
      <c r="Q640" s="22"/>
      <c r="R640" s="22"/>
    </row>
    <row r="641" hidden="1">
      <c r="A641" s="93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19"/>
      <c r="P641" s="22"/>
      <c r="Q641" s="22"/>
      <c r="R641" s="22"/>
    </row>
    <row r="642" hidden="1">
      <c r="A642" s="93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19"/>
      <c r="P642" s="22"/>
      <c r="Q642" s="22"/>
      <c r="R642" s="22"/>
    </row>
    <row r="643" hidden="1">
      <c r="A643" s="93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19"/>
      <c r="P643" s="22"/>
      <c r="Q643" s="22"/>
      <c r="R643" s="22"/>
    </row>
    <row r="644" hidden="1">
      <c r="A644" s="93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19"/>
      <c r="P644" s="22"/>
      <c r="Q644" s="22"/>
      <c r="R644" s="22"/>
    </row>
    <row r="645" hidden="1">
      <c r="A645" s="93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19"/>
      <c r="P645" s="22"/>
      <c r="Q645" s="22"/>
      <c r="R645" s="22"/>
    </row>
    <row r="646" hidden="1">
      <c r="A646" s="93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19"/>
      <c r="P646" s="22"/>
      <c r="Q646" s="22"/>
      <c r="R646" s="22"/>
    </row>
    <row r="647" hidden="1">
      <c r="A647" s="93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19"/>
      <c r="P647" s="22"/>
      <c r="Q647" s="22"/>
      <c r="R647" s="22"/>
    </row>
    <row r="648" hidden="1">
      <c r="A648" s="93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19"/>
      <c r="P648" s="22"/>
      <c r="Q648" s="22"/>
      <c r="R648" s="22"/>
    </row>
    <row r="649" hidden="1">
      <c r="A649" s="93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19"/>
      <c r="P649" s="22"/>
      <c r="Q649" s="22"/>
      <c r="R649" s="22"/>
    </row>
    <row r="650" hidden="1">
      <c r="A650" s="93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19"/>
      <c r="P650" s="22"/>
      <c r="Q650" s="22"/>
      <c r="R650" s="22"/>
    </row>
    <row r="651" hidden="1">
      <c r="A651" s="93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19"/>
      <c r="P651" s="22"/>
      <c r="Q651" s="22"/>
      <c r="R651" s="22"/>
    </row>
    <row r="652" hidden="1">
      <c r="A652" s="93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19"/>
      <c r="P652" s="22"/>
      <c r="Q652" s="22"/>
      <c r="R652" s="22"/>
    </row>
    <row r="653" hidden="1">
      <c r="A653" s="93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19"/>
      <c r="P653" s="22"/>
      <c r="Q653" s="22"/>
      <c r="R653" s="22"/>
    </row>
    <row r="654" hidden="1">
      <c r="A654" s="93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19"/>
      <c r="P654" s="22"/>
      <c r="Q654" s="22"/>
      <c r="R654" s="22"/>
    </row>
    <row r="655" hidden="1">
      <c r="A655" s="93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19"/>
      <c r="P655" s="22"/>
      <c r="Q655" s="22"/>
      <c r="R655" s="22"/>
    </row>
    <row r="656" hidden="1">
      <c r="A656" s="93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19"/>
      <c r="P656" s="22"/>
      <c r="Q656" s="22"/>
      <c r="R656" s="22"/>
    </row>
    <row r="657" hidden="1">
      <c r="A657" s="93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19"/>
      <c r="P657" s="22"/>
      <c r="Q657" s="22"/>
      <c r="R657" s="22"/>
    </row>
    <row r="658" hidden="1">
      <c r="A658" s="93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19"/>
      <c r="P658" s="22"/>
      <c r="Q658" s="22"/>
      <c r="R658" s="22"/>
    </row>
    <row r="659" hidden="1">
      <c r="A659" s="93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19"/>
      <c r="P659" s="22"/>
      <c r="Q659" s="22"/>
      <c r="R659" s="22"/>
    </row>
    <row r="660" hidden="1">
      <c r="A660" s="93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19"/>
      <c r="P660" s="22"/>
      <c r="Q660" s="22"/>
      <c r="R660" s="22"/>
    </row>
    <row r="661" hidden="1">
      <c r="A661" s="93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19"/>
      <c r="P661" s="22"/>
      <c r="Q661" s="22"/>
      <c r="R661" s="22"/>
    </row>
    <row r="662" hidden="1">
      <c r="A662" s="93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19"/>
      <c r="P662" s="22"/>
      <c r="Q662" s="22"/>
      <c r="R662" s="22"/>
    </row>
    <row r="663" hidden="1">
      <c r="A663" s="93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19"/>
      <c r="P663" s="22"/>
      <c r="Q663" s="22"/>
      <c r="R663" s="22"/>
    </row>
    <row r="664" hidden="1">
      <c r="A664" s="93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19"/>
      <c r="P664" s="22"/>
      <c r="Q664" s="22"/>
      <c r="R664" s="22"/>
    </row>
    <row r="665" hidden="1">
      <c r="A665" s="93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19"/>
      <c r="P665" s="22"/>
      <c r="Q665" s="22"/>
      <c r="R665" s="22"/>
    </row>
    <row r="666" hidden="1">
      <c r="A666" s="93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19"/>
      <c r="P666" s="22"/>
      <c r="Q666" s="22"/>
      <c r="R666" s="22"/>
    </row>
    <row r="667" hidden="1">
      <c r="A667" s="93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19"/>
      <c r="P667" s="22"/>
      <c r="Q667" s="22"/>
      <c r="R667" s="22"/>
    </row>
    <row r="668" hidden="1">
      <c r="A668" s="93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19"/>
      <c r="P668" s="22"/>
      <c r="Q668" s="22"/>
      <c r="R668" s="22"/>
    </row>
    <row r="669" hidden="1">
      <c r="A669" s="93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19"/>
      <c r="P669" s="22"/>
      <c r="Q669" s="22"/>
      <c r="R669" s="22"/>
    </row>
    <row r="670" hidden="1">
      <c r="A670" s="93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19"/>
      <c r="P670" s="22"/>
      <c r="Q670" s="22"/>
      <c r="R670" s="22"/>
    </row>
    <row r="671" hidden="1">
      <c r="A671" s="93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19"/>
      <c r="P671" s="22"/>
      <c r="Q671" s="22"/>
      <c r="R671" s="22"/>
    </row>
    <row r="672" hidden="1">
      <c r="A672" s="93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19"/>
      <c r="P672" s="22"/>
      <c r="Q672" s="22"/>
      <c r="R672" s="22"/>
    </row>
    <row r="673" hidden="1">
      <c r="A673" s="93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19"/>
      <c r="P673" s="22"/>
      <c r="Q673" s="22"/>
      <c r="R673" s="22"/>
    </row>
    <row r="674" hidden="1">
      <c r="A674" s="93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19"/>
      <c r="P674" s="22"/>
      <c r="Q674" s="22"/>
      <c r="R674" s="22"/>
    </row>
    <row r="675" hidden="1">
      <c r="A675" s="93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19"/>
      <c r="P675" s="22"/>
      <c r="Q675" s="22"/>
      <c r="R675" s="22"/>
    </row>
    <row r="676" hidden="1">
      <c r="A676" s="93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19"/>
      <c r="P676" s="22"/>
      <c r="Q676" s="22"/>
      <c r="R676" s="22"/>
    </row>
    <row r="677" hidden="1">
      <c r="A677" s="93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19"/>
      <c r="P677" s="22"/>
      <c r="Q677" s="22"/>
      <c r="R677" s="22"/>
    </row>
    <row r="678" hidden="1">
      <c r="A678" s="93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19"/>
      <c r="P678" s="22"/>
      <c r="Q678" s="22"/>
      <c r="R678" s="22"/>
    </row>
    <row r="679" hidden="1">
      <c r="A679" s="93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19"/>
      <c r="P679" s="22"/>
      <c r="Q679" s="22"/>
      <c r="R679" s="22"/>
    </row>
    <row r="680" hidden="1">
      <c r="A680" s="93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19"/>
      <c r="P680" s="22"/>
      <c r="Q680" s="22"/>
      <c r="R680" s="22"/>
    </row>
    <row r="681" hidden="1">
      <c r="A681" s="93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19"/>
      <c r="P681" s="22"/>
      <c r="Q681" s="22"/>
      <c r="R681" s="22"/>
    </row>
    <row r="682" hidden="1">
      <c r="A682" s="93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19"/>
      <c r="P682" s="22"/>
      <c r="Q682" s="22"/>
      <c r="R682" s="22"/>
    </row>
    <row r="683" hidden="1">
      <c r="A683" s="93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19"/>
      <c r="P683" s="22"/>
      <c r="Q683" s="22"/>
      <c r="R683" s="22"/>
    </row>
    <row r="684" hidden="1">
      <c r="A684" s="93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19"/>
      <c r="P684" s="22"/>
      <c r="Q684" s="22"/>
      <c r="R684" s="22"/>
    </row>
    <row r="685" hidden="1">
      <c r="A685" s="93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19"/>
      <c r="P685" s="22"/>
      <c r="Q685" s="22"/>
      <c r="R685" s="22"/>
    </row>
    <row r="686" hidden="1">
      <c r="A686" s="93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19"/>
      <c r="P686" s="22"/>
      <c r="Q686" s="22"/>
      <c r="R686" s="22"/>
    </row>
    <row r="687" hidden="1">
      <c r="A687" s="93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19"/>
      <c r="P687" s="22"/>
      <c r="Q687" s="22"/>
      <c r="R687" s="22"/>
    </row>
    <row r="688" hidden="1">
      <c r="A688" s="93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19"/>
      <c r="P688" s="22"/>
      <c r="Q688" s="22"/>
      <c r="R688" s="22"/>
    </row>
    <row r="689" hidden="1">
      <c r="A689" s="93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19"/>
      <c r="P689" s="22"/>
      <c r="Q689" s="22"/>
      <c r="R689" s="22"/>
    </row>
    <row r="690" hidden="1">
      <c r="A690" s="93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19"/>
      <c r="P690" s="22"/>
      <c r="Q690" s="22"/>
      <c r="R690" s="22"/>
    </row>
    <row r="691" hidden="1">
      <c r="A691" s="93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19"/>
      <c r="P691" s="22"/>
      <c r="Q691" s="22"/>
      <c r="R691" s="22"/>
    </row>
    <row r="692" hidden="1">
      <c r="A692" s="93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19"/>
      <c r="P692" s="22"/>
      <c r="Q692" s="22"/>
      <c r="R692" s="22"/>
    </row>
    <row r="693" hidden="1">
      <c r="A693" s="93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19"/>
      <c r="P693" s="22"/>
      <c r="Q693" s="22"/>
      <c r="R693" s="22"/>
    </row>
    <row r="694" hidden="1">
      <c r="A694" s="93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19"/>
      <c r="P694" s="22"/>
      <c r="Q694" s="22"/>
      <c r="R694" s="22"/>
    </row>
    <row r="695" hidden="1">
      <c r="A695" s="93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19"/>
      <c r="P695" s="22"/>
      <c r="Q695" s="22"/>
      <c r="R695" s="22"/>
    </row>
    <row r="696" hidden="1">
      <c r="A696" s="93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19"/>
      <c r="P696" s="22"/>
      <c r="Q696" s="22"/>
      <c r="R696" s="22"/>
    </row>
    <row r="697" hidden="1">
      <c r="A697" s="93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19"/>
      <c r="P697" s="22"/>
      <c r="Q697" s="22"/>
      <c r="R697" s="22"/>
    </row>
    <row r="698" hidden="1">
      <c r="A698" s="93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19"/>
      <c r="P698" s="22"/>
      <c r="Q698" s="22"/>
      <c r="R698" s="22"/>
    </row>
    <row r="699" hidden="1">
      <c r="A699" s="93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19"/>
      <c r="P699" s="22"/>
      <c r="Q699" s="22"/>
      <c r="R699" s="22"/>
    </row>
    <row r="700" hidden="1">
      <c r="A700" s="93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19"/>
      <c r="P700" s="22"/>
      <c r="Q700" s="22"/>
      <c r="R700" s="22"/>
    </row>
    <row r="701" hidden="1">
      <c r="A701" s="93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19"/>
      <c r="P701" s="22"/>
      <c r="Q701" s="22"/>
      <c r="R701" s="22"/>
    </row>
    <row r="702" hidden="1">
      <c r="A702" s="93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19"/>
      <c r="P702" s="22"/>
      <c r="Q702" s="22"/>
      <c r="R702" s="22"/>
    </row>
    <row r="703" hidden="1">
      <c r="A703" s="93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19"/>
      <c r="P703" s="22"/>
      <c r="Q703" s="22"/>
      <c r="R703" s="22"/>
    </row>
    <row r="704" hidden="1">
      <c r="A704" s="93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19"/>
      <c r="P704" s="22"/>
      <c r="Q704" s="22"/>
      <c r="R704" s="22"/>
    </row>
    <row r="705" hidden="1">
      <c r="A705" s="93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19"/>
      <c r="P705" s="22"/>
      <c r="Q705" s="22"/>
      <c r="R705" s="22"/>
    </row>
    <row r="706" hidden="1">
      <c r="A706" s="93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19"/>
      <c r="P706" s="22"/>
      <c r="Q706" s="22"/>
      <c r="R706" s="22"/>
    </row>
    <row r="707" hidden="1">
      <c r="A707" s="93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19"/>
      <c r="P707" s="22"/>
      <c r="Q707" s="22"/>
      <c r="R707" s="22"/>
    </row>
    <row r="708" hidden="1">
      <c r="A708" s="93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19"/>
      <c r="P708" s="22"/>
      <c r="Q708" s="22"/>
      <c r="R708" s="22"/>
    </row>
    <row r="709" hidden="1">
      <c r="A709" s="93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19"/>
      <c r="P709" s="22"/>
      <c r="Q709" s="22"/>
      <c r="R709" s="22"/>
    </row>
    <row r="710" hidden="1">
      <c r="A710" s="93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19"/>
      <c r="P710" s="22"/>
      <c r="Q710" s="22"/>
      <c r="R710" s="22"/>
    </row>
    <row r="711" hidden="1">
      <c r="A711" s="93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19"/>
      <c r="P711" s="22"/>
      <c r="Q711" s="22"/>
      <c r="R711" s="22"/>
    </row>
    <row r="712" hidden="1">
      <c r="A712" s="93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19"/>
      <c r="P712" s="22"/>
      <c r="Q712" s="22"/>
      <c r="R712" s="22"/>
    </row>
    <row r="713" hidden="1">
      <c r="A713" s="93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19"/>
      <c r="P713" s="22"/>
      <c r="Q713" s="22"/>
      <c r="R713" s="22"/>
    </row>
    <row r="714" hidden="1">
      <c r="A714" s="93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19"/>
      <c r="P714" s="22"/>
      <c r="Q714" s="22"/>
      <c r="R714" s="22"/>
    </row>
    <row r="715" hidden="1">
      <c r="A715" s="93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19"/>
      <c r="P715" s="22"/>
      <c r="Q715" s="22"/>
      <c r="R715" s="22"/>
    </row>
    <row r="716" hidden="1">
      <c r="A716" s="93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19"/>
      <c r="P716" s="22"/>
      <c r="Q716" s="22"/>
      <c r="R716" s="22"/>
    </row>
    <row r="717" hidden="1">
      <c r="A717" s="93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19"/>
      <c r="P717" s="22"/>
      <c r="Q717" s="22"/>
      <c r="R717" s="22"/>
    </row>
    <row r="718" hidden="1">
      <c r="A718" s="93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19"/>
      <c r="P718" s="22"/>
      <c r="Q718" s="22"/>
      <c r="R718" s="22"/>
    </row>
    <row r="719" hidden="1">
      <c r="A719" s="93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19"/>
      <c r="P719" s="22"/>
      <c r="Q719" s="22"/>
      <c r="R719" s="22"/>
    </row>
    <row r="720" hidden="1">
      <c r="A720" s="93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19"/>
      <c r="P720" s="22"/>
      <c r="Q720" s="22"/>
      <c r="R720" s="22"/>
    </row>
    <row r="721" hidden="1">
      <c r="A721" s="93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19"/>
      <c r="P721" s="22"/>
      <c r="Q721" s="22"/>
      <c r="R721" s="22"/>
    </row>
    <row r="722" hidden="1">
      <c r="A722" s="93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19"/>
      <c r="P722" s="22"/>
      <c r="Q722" s="22"/>
      <c r="R722" s="22"/>
    </row>
    <row r="723" hidden="1">
      <c r="A723" s="93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19"/>
      <c r="P723" s="22"/>
      <c r="Q723" s="22"/>
      <c r="R723" s="22"/>
    </row>
    <row r="724" hidden="1">
      <c r="A724" s="93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19"/>
      <c r="P724" s="22"/>
      <c r="Q724" s="22"/>
      <c r="R724" s="22"/>
    </row>
    <row r="725" hidden="1">
      <c r="A725" s="93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19"/>
      <c r="P725" s="22"/>
      <c r="Q725" s="22"/>
      <c r="R725" s="22"/>
    </row>
    <row r="726" hidden="1">
      <c r="A726" s="93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19"/>
      <c r="P726" s="22"/>
      <c r="Q726" s="22"/>
      <c r="R726" s="22"/>
    </row>
    <row r="727" hidden="1">
      <c r="A727" s="93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19"/>
      <c r="P727" s="22"/>
      <c r="Q727" s="22"/>
      <c r="R727" s="22"/>
    </row>
    <row r="728" hidden="1">
      <c r="A728" s="93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19"/>
      <c r="P728" s="22"/>
      <c r="Q728" s="22"/>
      <c r="R728" s="22"/>
    </row>
    <row r="729" hidden="1">
      <c r="A729" s="93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19"/>
      <c r="P729" s="22"/>
      <c r="Q729" s="22"/>
      <c r="R729" s="22"/>
    </row>
    <row r="730" hidden="1">
      <c r="A730" s="93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19"/>
      <c r="P730" s="22"/>
      <c r="Q730" s="22"/>
      <c r="R730" s="22"/>
    </row>
    <row r="731" hidden="1">
      <c r="A731" s="93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19"/>
      <c r="P731" s="22"/>
      <c r="Q731" s="22"/>
      <c r="R731" s="22"/>
    </row>
    <row r="732" hidden="1">
      <c r="A732" s="93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19"/>
      <c r="P732" s="22"/>
      <c r="Q732" s="22"/>
      <c r="R732" s="22"/>
    </row>
    <row r="733" hidden="1">
      <c r="A733" s="93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19"/>
      <c r="P733" s="22"/>
      <c r="Q733" s="22"/>
      <c r="R733" s="22"/>
    </row>
    <row r="734" hidden="1">
      <c r="A734" s="93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19"/>
      <c r="P734" s="22"/>
      <c r="Q734" s="22"/>
      <c r="R734" s="22"/>
    </row>
    <row r="735" hidden="1">
      <c r="A735" s="93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19"/>
      <c r="P735" s="22"/>
      <c r="Q735" s="22"/>
      <c r="R735" s="22"/>
    </row>
    <row r="736" hidden="1">
      <c r="A736" s="93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19"/>
      <c r="P736" s="22"/>
      <c r="Q736" s="22"/>
      <c r="R736" s="22"/>
    </row>
    <row r="737" hidden="1">
      <c r="A737" s="93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19"/>
      <c r="P737" s="22"/>
      <c r="Q737" s="22"/>
      <c r="R737" s="22"/>
    </row>
    <row r="738" hidden="1">
      <c r="A738" s="93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19"/>
      <c r="P738" s="22"/>
      <c r="Q738" s="22"/>
      <c r="R738" s="22"/>
    </row>
    <row r="739" hidden="1">
      <c r="A739" s="93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19"/>
      <c r="P739" s="22"/>
      <c r="Q739" s="22"/>
      <c r="R739" s="22"/>
    </row>
    <row r="740" hidden="1">
      <c r="A740" s="93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19"/>
      <c r="P740" s="22"/>
      <c r="Q740" s="22"/>
      <c r="R740" s="22"/>
    </row>
    <row r="741" hidden="1">
      <c r="A741" s="93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19"/>
      <c r="P741" s="22"/>
      <c r="Q741" s="22"/>
      <c r="R741" s="22"/>
    </row>
    <row r="742" hidden="1">
      <c r="A742" s="93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19"/>
      <c r="P742" s="22"/>
      <c r="Q742" s="22"/>
      <c r="R742" s="22"/>
    </row>
    <row r="743" hidden="1">
      <c r="A743" s="93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19"/>
      <c r="P743" s="22"/>
      <c r="Q743" s="22"/>
      <c r="R743" s="22"/>
    </row>
    <row r="744" hidden="1">
      <c r="A744" s="93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19"/>
      <c r="P744" s="22"/>
      <c r="Q744" s="22"/>
      <c r="R744" s="22"/>
    </row>
    <row r="745" hidden="1">
      <c r="A745" s="93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19"/>
      <c r="P745" s="22"/>
      <c r="Q745" s="22"/>
      <c r="R745" s="22"/>
    </row>
    <row r="746" hidden="1">
      <c r="A746" s="93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19"/>
      <c r="P746" s="22"/>
      <c r="Q746" s="22"/>
      <c r="R746" s="22"/>
    </row>
    <row r="747" hidden="1">
      <c r="A747" s="93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19"/>
      <c r="P747" s="22"/>
      <c r="Q747" s="22"/>
      <c r="R747" s="22"/>
    </row>
    <row r="748" hidden="1">
      <c r="A748" s="93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19"/>
      <c r="P748" s="22"/>
      <c r="Q748" s="22"/>
      <c r="R748" s="22"/>
    </row>
    <row r="749" hidden="1">
      <c r="A749" s="93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19"/>
      <c r="P749" s="22"/>
      <c r="Q749" s="22"/>
      <c r="R749" s="22"/>
    </row>
    <row r="750" hidden="1">
      <c r="A750" s="93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19"/>
      <c r="P750" s="22"/>
      <c r="Q750" s="22"/>
      <c r="R750" s="22"/>
    </row>
    <row r="751" hidden="1">
      <c r="A751" s="93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19"/>
      <c r="P751" s="22"/>
      <c r="Q751" s="22"/>
      <c r="R751" s="22"/>
    </row>
    <row r="752" hidden="1">
      <c r="A752" s="93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19"/>
      <c r="P752" s="22"/>
      <c r="Q752" s="22"/>
      <c r="R752" s="22"/>
    </row>
    <row r="753" hidden="1">
      <c r="A753" s="93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19"/>
      <c r="P753" s="22"/>
      <c r="Q753" s="22"/>
      <c r="R753" s="22"/>
    </row>
    <row r="754" hidden="1">
      <c r="A754" s="93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19"/>
      <c r="P754" s="22"/>
      <c r="Q754" s="22"/>
      <c r="R754" s="22"/>
    </row>
    <row r="755" hidden="1">
      <c r="A755" s="93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19"/>
      <c r="P755" s="22"/>
      <c r="Q755" s="22"/>
      <c r="R755" s="22"/>
    </row>
    <row r="756" hidden="1">
      <c r="A756" s="93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19"/>
      <c r="P756" s="22"/>
      <c r="Q756" s="22"/>
      <c r="R756" s="22"/>
    </row>
    <row r="757" hidden="1">
      <c r="A757" s="93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19"/>
      <c r="P757" s="22"/>
      <c r="Q757" s="22"/>
      <c r="R757" s="22"/>
    </row>
    <row r="758" hidden="1">
      <c r="A758" s="93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19"/>
      <c r="P758" s="22"/>
      <c r="Q758" s="22"/>
      <c r="R758" s="22"/>
    </row>
    <row r="759" hidden="1">
      <c r="A759" s="93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19"/>
      <c r="P759" s="22"/>
      <c r="Q759" s="22"/>
      <c r="R759" s="22"/>
    </row>
    <row r="760" hidden="1">
      <c r="A760" s="93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19"/>
      <c r="P760" s="22"/>
      <c r="Q760" s="22"/>
      <c r="R760" s="22"/>
    </row>
    <row r="761" hidden="1">
      <c r="A761" s="93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19"/>
      <c r="P761" s="22"/>
      <c r="Q761" s="22"/>
      <c r="R761" s="22"/>
    </row>
    <row r="762" hidden="1">
      <c r="A762" s="93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19"/>
      <c r="P762" s="22"/>
      <c r="Q762" s="22"/>
      <c r="R762" s="22"/>
    </row>
    <row r="763" hidden="1">
      <c r="A763" s="93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19"/>
      <c r="P763" s="22"/>
      <c r="Q763" s="22"/>
      <c r="R763" s="22"/>
    </row>
    <row r="764" hidden="1">
      <c r="A764" s="93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19"/>
      <c r="P764" s="22"/>
      <c r="Q764" s="22"/>
      <c r="R764" s="22"/>
    </row>
    <row r="765" hidden="1">
      <c r="A765" s="93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19"/>
      <c r="P765" s="22"/>
      <c r="Q765" s="22"/>
      <c r="R765" s="22"/>
    </row>
    <row r="766" hidden="1">
      <c r="A766" s="93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19"/>
      <c r="P766" s="22"/>
      <c r="Q766" s="22"/>
      <c r="R766" s="22"/>
    </row>
    <row r="767" hidden="1">
      <c r="A767" s="93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19"/>
      <c r="P767" s="22"/>
      <c r="Q767" s="22"/>
      <c r="R767" s="22"/>
    </row>
    <row r="768" hidden="1">
      <c r="A768" s="93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19"/>
      <c r="P768" s="22"/>
      <c r="Q768" s="22"/>
      <c r="R768" s="22"/>
    </row>
    <row r="769" hidden="1">
      <c r="A769" s="93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19"/>
      <c r="P769" s="22"/>
      <c r="Q769" s="22"/>
      <c r="R769" s="22"/>
    </row>
    <row r="770" hidden="1">
      <c r="A770" s="93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19"/>
      <c r="P770" s="22"/>
      <c r="Q770" s="22"/>
      <c r="R770" s="22"/>
    </row>
    <row r="771" hidden="1">
      <c r="A771" s="93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19"/>
      <c r="P771" s="22"/>
      <c r="Q771" s="22"/>
      <c r="R771" s="22"/>
    </row>
    <row r="772" hidden="1">
      <c r="A772" s="93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19"/>
      <c r="P772" s="22"/>
      <c r="Q772" s="22"/>
      <c r="R772" s="22"/>
    </row>
    <row r="773" hidden="1">
      <c r="A773" s="93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19"/>
      <c r="P773" s="22"/>
      <c r="Q773" s="22"/>
      <c r="R773" s="22"/>
    </row>
    <row r="774" hidden="1">
      <c r="A774" s="93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19"/>
      <c r="P774" s="22"/>
      <c r="Q774" s="22"/>
      <c r="R774" s="22"/>
    </row>
    <row r="775" hidden="1">
      <c r="A775" s="93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19"/>
      <c r="P775" s="22"/>
      <c r="Q775" s="22"/>
      <c r="R775" s="22"/>
    </row>
    <row r="776" hidden="1">
      <c r="A776" s="93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19"/>
      <c r="P776" s="22"/>
      <c r="Q776" s="22"/>
      <c r="R776" s="22"/>
    </row>
    <row r="777" hidden="1">
      <c r="A777" s="93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19"/>
      <c r="P777" s="22"/>
      <c r="Q777" s="22"/>
      <c r="R777" s="22"/>
    </row>
    <row r="778" hidden="1">
      <c r="A778" s="93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19"/>
      <c r="P778" s="22"/>
      <c r="Q778" s="22"/>
      <c r="R778" s="22"/>
    </row>
    <row r="779" hidden="1">
      <c r="A779" s="93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19"/>
      <c r="P779" s="22"/>
      <c r="Q779" s="22"/>
      <c r="R779" s="22"/>
    </row>
    <row r="780" hidden="1">
      <c r="A780" s="93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19"/>
      <c r="P780" s="22"/>
      <c r="Q780" s="22"/>
      <c r="R780" s="22"/>
    </row>
    <row r="781" hidden="1">
      <c r="A781" s="93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19"/>
      <c r="P781" s="22"/>
      <c r="Q781" s="22"/>
      <c r="R781" s="22"/>
    </row>
    <row r="782" hidden="1">
      <c r="A782" s="93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19"/>
      <c r="P782" s="22"/>
      <c r="Q782" s="22"/>
      <c r="R782" s="22"/>
    </row>
    <row r="783" hidden="1">
      <c r="A783" s="93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19"/>
      <c r="P783" s="22"/>
      <c r="Q783" s="22"/>
      <c r="R783" s="22"/>
    </row>
    <row r="784" hidden="1">
      <c r="A784" s="93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19"/>
      <c r="P784" s="22"/>
      <c r="Q784" s="22"/>
      <c r="R784" s="22"/>
    </row>
    <row r="785" hidden="1">
      <c r="A785" s="93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19"/>
      <c r="P785" s="22"/>
      <c r="Q785" s="22"/>
      <c r="R785" s="22"/>
    </row>
    <row r="786" hidden="1">
      <c r="A786" s="93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19"/>
      <c r="P786" s="22"/>
      <c r="Q786" s="22"/>
      <c r="R786" s="22"/>
    </row>
    <row r="787" hidden="1">
      <c r="A787" s="93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19"/>
      <c r="P787" s="22"/>
      <c r="Q787" s="22"/>
      <c r="R787" s="22"/>
    </row>
    <row r="788" hidden="1">
      <c r="A788" s="93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19"/>
      <c r="P788" s="22"/>
      <c r="Q788" s="22"/>
      <c r="R788" s="22"/>
    </row>
    <row r="789" hidden="1">
      <c r="A789" s="93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19"/>
      <c r="P789" s="22"/>
      <c r="Q789" s="22"/>
      <c r="R789" s="22"/>
    </row>
    <row r="790" hidden="1">
      <c r="A790" s="93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19"/>
      <c r="P790" s="22"/>
      <c r="Q790" s="22"/>
      <c r="R790" s="22"/>
    </row>
    <row r="791" hidden="1">
      <c r="A791" s="93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19"/>
      <c r="P791" s="22"/>
      <c r="Q791" s="22"/>
      <c r="R791" s="22"/>
    </row>
    <row r="792" hidden="1">
      <c r="A792" s="93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19"/>
      <c r="P792" s="22"/>
      <c r="Q792" s="22"/>
      <c r="R792" s="22"/>
    </row>
    <row r="793" hidden="1">
      <c r="A793" s="93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19"/>
      <c r="P793" s="22"/>
      <c r="Q793" s="22"/>
      <c r="R793" s="22"/>
    </row>
    <row r="794" hidden="1">
      <c r="A794" s="93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19"/>
      <c r="P794" s="22"/>
      <c r="Q794" s="22"/>
      <c r="R794" s="22"/>
    </row>
    <row r="795" hidden="1">
      <c r="A795" s="93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19"/>
      <c r="P795" s="22"/>
      <c r="Q795" s="22"/>
      <c r="R795" s="22"/>
    </row>
    <row r="796" hidden="1">
      <c r="A796" s="93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19"/>
      <c r="P796" s="22"/>
      <c r="Q796" s="22"/>
      <c r="R796" s="22"/>
    </row>
    <row r="797" hidden="1">
      <c r="A797" s="93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19"/>
      <c r="P797" s="22"/>
      <c r="Q797" s="22"/>
      <c r="R797" s="22"/>
    </row>
    <row r="798" hidden="1">
      <c r="A798" s="93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19"/>
      <c r="P798" s="22"/>
      <c r="Q798" s="22"/>
      <c r="R798" s="22"/>
    </row>
    <row r="799" hidden="1">
      <c r="A799" s="93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19"/>
      <c r="P799" s="22"/>
      <c r="Q799" s="22"/>
      <c r="R799" s="22"/>
    </row>
    <row r="800" hidden="1">
      <c r="A800" s="93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19"/>
      <c r="P800" s="22"/>
      <c r="Q800" s="22"/>
      <c r="R800" s="22"/>
    </row>
    <row r="801" hidden="1">
      <c r="A801" s="93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19"/>
      <c r="P801" s="22"/>
      <c r="Q801" s="22"/>
      <c r="R801" s="22"/>
    </row>
    <row r="802" hidden="1">
      <c r="A802" s="93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19"/>
      <c r="P802" s="22"/>
      <c r="Q802" s="22"/>
      <c r="R802" s="22"/>
    </row>
    <row r="803" hidden="1">
      <c r="A803" s="93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19"/>
      <c r="P803" s="22"/>
      <c r="Q803" s="22"/>
      <c r="R803" s="22"/>
    </row>
    <row r="804" hidden="1">
      <c r="A804" s="93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19"/>
      <c r="P804" s="22"/>
      <c r="Q804" s="22"/>
      <c r="R804" s="22"/>
    </row>
    <row r="805" hidden="1">
      <c r="A805" s="93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19"/>
      <c r="P805" s="22"/>
      <c r="Q805" s="22"/>
      <c r="R805" s="22"/>
    </row>
    <row r="806" hidden="1">
      <c r="A806" s="93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19"/>
      <c r="P806" s="22"/>
      <c r="Q806" s="22"/>
      <c r="R806" s="22"/>
    </row>
    <row r="807" hidden="1">
      <c r="A807" s="93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19"/>
      <c r="P807" s="22"/>
      <c r="Q807" s="22"/>
      <c r="R807" s="22"/>
    </row>
    <row r="808" hidden="1">
      <c r="A808" s="93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19"/>
      <c r="P808" s="22"/>
      <c r="Q808" s="22"/>
      <c r="R808" s="22"/>
    </row>
    <row r="809" hidden="1">
      <c r="A809" s="93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19"/>
      <c r="P809" s="22"/>
      <c r="Q809" s="22"/>
      <c r="R809" s="22"/>
    </row>
    <row r="810" hidden="1">
      <c r="A810" s="93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19"/>
      <c r="P810" s="22"/>
      <c r="Q810" s="22"/>
      <c r="R810" s="22"/>
    </row>
    <row r="811" hidden="1">
      <c r="A811" s="93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19"/>
      <c r="P811" s="22"/>
      <c r="Q811" s="22"/>
      <c r="R811" s="22"/>
    </row>
    <row r="812" hidden="1">
      <c r="A812" s="93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19"/>
      <c r="P812" s="22"/>
      <c r="Q812" s="22"/>
      <c r="R812" s="22"/>
    </row>
    <row r="813" hidden="1">
      <c r="A813" s="93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19"/>
      <c r="P813" s="22"/>
      <c r="Q813" s="22"/>
      <c r="R813" s="22"/>
    </row>
    <row r="814" hidden="1">
      <c r="A814" s="93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19"/>
      <c r="P814" s="22"/>
      <c r="Q814" s="22"/>
      <c r="R814" s="22"/>
    </row>
    <row r="815" hidden="1">
      <c r="A815" s="93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19"/>
      <c r="P815" s="22"/>
      <c r="Q815" s="22"/>
      <c r="R815" s="22"/>
    </row>
    <row r="816" hidden="1">
      <c r="A816" s="93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19"/>
      <c r="P816" s="22"/>
      <c r="Q816" s="22"/>
      <c r="R816" s="22"/>
    </row>
    <row r="817" hidden="1">
      <c r="A817" s="93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19"/>
      <c r="P817" s="22"/>
      <c r="Q817" s="22"/>
      <c r="R817" s="22"/>
    </row>
    <row r="818" hidden="1">
      <c r="A818" s="93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19"/>
      <c r="P818" s="22"/>
      <c r="Q818" s="22"/>
      <c r="R818" s="22"/>
    </row>
    <row r="819" hidden="1">
      <c r="A819" s="93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19"/>
      <c r="P819" s="22"/>
      <c r="Q819" s="22"/>
      <c r="R819" s="22"/>
    </row>
    <row r="820" hidden="1">
      <c r="A820" s="93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19"/>
      <c r="P820" s="22"/>
      <c r="Q820" s="22"/>
      <c r="R820" s="22"/>
    </row>
    <row r="821" hidden="1">
      <c r="A821" s="93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19"/>
      <c r="P821" s="22"/>
      <c r="Q821" s="22"/>
      <c r="R821" s="22"/>
    </row>
    <row r="822" hidden="1">
      <c r="A822" s="93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19"/>
      <c r="P822" s="22"/>
      <c r="Q822" s="22"/>
      <c r="R822" s="22"/>
    </row>
    <row r="823" hidden="1">
      <c r="A823" s="93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19"/>
      <c r="P823" s="22"/>
      <c r="Q823" s="22"/>
      <c r="R823" s="22"/>
    </row>
    <row r="824" hidden="1">
      <c r="A824" s="93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19"/>
      <c r="P824" s="22"/>
      <c r="Q824" s="22"/>
      <c r="R824" s="22"/>
    </row>
    <row r="825" hidden="1">
      <c r="A825" s="93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19"/>
      <c r="P825" s="22"/>
      <c r="Q825" s="22"/>
      <c r="R825" s="22"/>
    </row>
    <row r="826" hidden="1">
      <c r="A826" s="93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19"/>
      <c r="P826" s="22"/>
      <c r="Q826" s="22"/>
      <c r="R826" s="22"/>
    </row>
    <row r="827" hidden="1">
      <c r="A827" s="93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19"/>
      <c r="P827" s="22"/>
      <c r="Q827" s="22"/>
      <c r="R827" s="22"/>
    </row>
    <row r="828" hidden="1">
      <c r="A828" s="93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19"/>
      <c r="P828" s="22"/>
      <c r="Q828" s="22"/>
      <c r="R828" s="22"/>
    </row>
    <row r="829" hidden="1">
      <c r="A829" s="93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19"/>
      <c r="P829" s="22"/>
      <c r="Q829" s="22"/>
      <c r="R829" s="22"/>
    </row>
    <row r="830" hidden="1">
      <c r="A830" s="93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19"/>
      <c r="P830" s="22"/>
      <c r="Q830" s="22"/>
      <c r="R830" s="22"/>
    </row>
    <row r="831" hidden="1">
      <c r="A831" s="93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19"/>
      <c r="P831" s="22"/>
      <c r="Q831" s="22"/>
      <c r="R831" s="22"/>
    </row>
    <row r="832" hidden="1">
      <c r="A832" s="93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19"/>
      <c r="P832" s="22"/>
      <c r="Q832" s="22"/>
      <c r="R832" s="22"/>
    </row>
    <row r="833" hidden="1">
      <c r="A833" s="93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19"/>
      <c r="P833" s="22"/>
      <c r="Q833" s="22"/>
      <c r="R833" s="22"/>
    </row>
    <row r="834" hidden="1">
      <c r="A834" s="93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19"/>
      <c r="P834" s="22"/>
      <c r="Q834" s="22"/>
      <c r="R834" s="22"/>
    </row>
    <row r="835" hidden="1">
      <c r="A835" s="93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19"/>
      <c r="P835" s="22"/>
      <c r="Q835" s="22"/>
      <c r="R835" s="22"/>
    </row>
    <row r="836" hidden="1">
      <c r="A836" s="93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19"/>
      <c r="P836" s="22"/>
      <c r="Q836" s="22"/>
      <c r="R836" s="22"/>
    </row>
    <row r="837" hidden="1">
      <c r="A837" s="93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19"/>
      <c r="P837" s="22"/>
      <c r="Q837" s="22"/>
      <c r="R837" s="22"/>
    </row>
    <row r="838" hidden="1">
      <c r="A838" s="93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19"/>
      <c r="P838" s="22"/>
      <c r="Q838" s="22"/>
      <c r="R838" s="22"/>
    </row>
    <row r="839" hidden="1">
      <c r="A839" s="93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19"/>
      <c r="P839" s="22"/>
      <c r="Q839" s="22"/>
      <c r="R839" s="22"/>
    </row>
    <row r="840" hidden="1">
      <c r="A840" s="93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19"/>
      <c r="P840" s="22"/>
      <c r="Q840" s="22"/>
      <c r="R840" s="22"/>
    </row>
    <row r="841" hidden="1">
      <c r="A841" s="93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19"/>
      <c r="P841" s="22"/>
      <c r="Q841" s="22"/>
      <c r="R841" s="22"/>
    </row>
    <row r="842" hidden="1">
      <c r="A842" s="93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19"/>
      <c r="P842" s="22"/>
      <c r="Q842" s="22"/>
      <c r="R842" s="22"/>
    </row>
    <row r="843" hidden="1">
      <c r="A843" s="93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19"/>
      <c r="P843" s="22"/>
      <c r="Q843" s="22"/>
      <c r="R843" s="22"/>
    </row>
    <row r="844" hidden="1">
      <c r="A844" s="93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19"/>
      <c r="P844" s="22"/>
      <c r="Q844" s="22"/>
      <c r="R844" s="22"/>
    </row>
    <row r="845" hidden="1">
      <c r="A845" s="93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19"/>
      <c r="P845" s="22"/>
      <c r="Q845" s="22"/>
      <c r="R845" s="22"/>
    </row>
    <row r="846" hidden="1">
      <c r="A846" s="93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19"/>
      <c r="P846" s="22"/>
      <c r="Q846" s="22"/>
      <c r="R846" s="22"/>
    </row>
    <row r="847" hidden="1">
      <c r="A847" s="93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19"/>
      <c r="P847" s="22"/>
      <c r="Q847" s="22"/>
      <c r="R847" s="22"/>
    </row>
    <row r="848" hidden="1">
      <c r="A848" s="93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19"/>
      <c r="P848" s="22"/>
      <c r="Q848" s="22"/>
      <c r="R848" s="22"/>
    </row>
    <row r="849" hidden="1">
      <c r="A849" s="93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19"/>
      <c r="P849" s="22"/>
      <c r="Q849" s="22"/>
      <c r="R849" s="22"/>
    </row>
    <row r="850" hidden="1">
      <c r="A850" s="93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19"/>
      <c r="P850" s="22"/>
      <c r="Q850" s="22"/>
      <c r="R850" s="22"/>
    </row>
    <row r="851" hidden="1">
      <c r="A851" s="93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19"/>
      <c r="P851" s="22"/>
      <c r="Q851" s="22"/>
      <c r="R851" s="22"/>
    </row>
    <row r="852" hidden="1">
      <c r="A852" s="93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19"/>
      <c r="P852" s="22"/>
      <c r="Q852" s="22"/>
      <c r="R852" s="22"/>
    </row>
    <row r="853" hidden="1">
      <c r="A853" s="93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19"/>
      <c r="P853" s="22"/>
      <c r="Q853" s="22"/>
      <c r="R853" s="22"/>
    </row>
    <row r="854" hidden="1">
      <c r="A854" s="93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19"/>
      <c r="P854" s="22"/>
      <c r="Q854" s="22"/>
      <c r="R854" s="22"/>
    </row>
    <row r="855" hidden="1">
      <c r="A855" s="93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19"/>
      <c r="P855" s="22"/>
      <c r="Q855" s="22"/>
      <c r="R855" s="22"/>
    </row>
    <row r="856" hidden="1">
      <c r="A856" s="93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19"/>
      <c r="P856" s="22"/>
      <c r="Q856" s="22"/>
      <c r="R856" s="22"/>
    </row>
    <row r="857" hidden="1">
      <c r="A857" s="93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19"/>
      <c r="P857" s="22"/>
      <c r="Q857" s="22"/>
      <c r="R857" s="22"/>
    </row>
    <row r="858" hidden="1">
      <c r="A858" s="93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19"/>
      <c r="P858" s="22"/>
      <c r="Q858" s="22"/>
      <c r="R858" s="22"/>
    </row>
    <row r="859" hidden="1">
      <c r="A859" s="93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19"/>
      <c r="P859" s="22"/>
      <c r="Q859" s="22"/>
      <c r="R859" s="22"/>
    </row>
    <row r="860" hidden="1">
      <c r="A860" s="93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19"/>
      <c r="P860" s="22"/>
      <c r="Q860" s="22"/>
      <c r="R860" s="22"/>
    </row>
    <row r="861" hidden="1">
      <c r="A861" s="93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19"/>
      <c r="P861" s="22"/>
      <c r="Q861" s="22"/>
      <c r="R861" s="22"/>
    </row>
    <row r="862" hidden="1">
      <c r="A862" s="93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19"/>
      <c r="P862" s="22"/>
      <c r="Q862" s="22"/>
      <c r="R862" s="22"/>
    </row>
    <row r="863" hidden="1">
      <c r="A863" s="93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19"/>
      <c r="P863" s="22"/>
      <c r="Q863" s="22"/>
      <c r="R863" s="22"/>
    </row>
    <row r="864" hidden="1">
      <c r="A864" s="93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19"/>
      <c r="P864" s="22"/>
      <c r="Q864" s="22"/>
      <c r="R864" s="22"/>
    </row>
    <row r="865" hidden="1">
      <c r="A865" s="93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19"/>
      <c r="P865" s="22"/>
      <c r="Q865" s="22"/>
      <c r="R865" s="22"/>
    </row>
    <row r="866" hidden="1">
      <c r="A866" s="93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19"/>
      <c r="P866" s="22"/>
      <c r="Q866" s="22"/>
      <c r="R866" s="22"/>
    </row>
    <row r="867" hidden="1">
      <c r="A867" s="93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19"/>
      <c r="P867" s="22"/>
      <c r="Q867" s="22"/>
      <c r="R867" s="22"/>
    </row>
    <row r="868" hidden="1">
      <c r="A868" s="93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19"/>
      <c r="P868" s="22"/>
      <c r="Q868" s="22"/>
      <c r="R868" s="22"/>
    </row>
    <row r="869" hidden="1">
      <c r="A869" s="93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19"/>
      <c r="P869" s="22"/>
      <c r="Q869" s="22"/>
      <c r="R869" s="22"/>
    </row>
    <row r="870" hidden="1">
      <c r="A870" s="93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19"/>
      <c r="P870" s="22"/>
      <c r="Q870" s="22"/>
      <c r="R870" s="22"/>
    </row>
    <row r="871" hidden="1">
      <c r="A871" s="93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19"/>
      <c r="P871" s="22"/>
      <c r="Q871" s="22"/>
      <c r="R871" s="22"/>
    </row>
    <row r="872" hidden="1">
      <c r="A872" s="93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19"/>
      <c r="P872" s="22"/>
      <c r="Q872" s="22"/>
      <c r="R872" s="22"/>
    </row>
    <row r="873" hidden="1">
      <c r="A873" s="93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19"/>
      <c r="P873" s="22"/>
      <c r="Q873" s="22"/>
      <c r="R873" s="22"/>
    </row>
    <row r="874" hidden="1">
      <c r="A874" s="93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19"/>
      <c r="P874" s="22"/>
      <c r="Q874" s="22"/>
      <c r="R874" s="22"/>
    </row>
    <row r="875" hidden="1">
      <c r="A875" s="93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19"/>
      <c r="P875" s="22"/>
      <c r="Q875" s="22"/>
      <c r="R875" s="22"/>
    </row>
    <row r="876" hidden="1">
      <c r="A876" s="93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19"/>
      <c r="P876" s="22"/>
      <c r="Q876" s="22"/>
      <c r="R876" s="22"/>
    </row>
    <row r="877" hidden="1">
      <c r="A877" s="93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19"/>
      <c r="P877" s="22"/>
      <c r="Q877" s="22"/>
      <c r="R877" s="22"/>
    </row>
    <row r="878" hidden="1">
      <c r="A878" s="93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19"/>
      <c r="P878" s="22"/>
      <c r="Q878" s="22"/>
      <c r="R878" s="22"/>
    </row>
    <row r="879" hidden="1">
      <c r="A879" s="93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19"/>
      <c r="P879" s="22"/>
      <c r="Q879" s="22"/>
      <c r="R879" s="22"/>
    </row>
    <row r="880" hidden="1">
      <c r="A880" s="93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19"/>
      <c r="P880" s="22"/>
      <c r="Q880" s="22"/>
      <c r="R880" s="22"/>
    </row>
    <row r="881" hidden="1">
      <c r="A881" s="93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19"/>
      <c r="P881" s="22"/>
      <c r="Q881" s="22"/>
      <c r="R881" s="22"/>
    </row>
    <row r="882" hidden="1">
      <c r="A882" s="93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19"/>
      <c r="P882" s="22"/>
      <c r="Q882" s="22"/>
      <c r="R882" s="22"/>
    </row>
    <row r="883" hidden="1">
      <c r="A883" s="93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19"/>
      <c r="P883" s="22"/>
      <c r="Q883" s="22"/>
      <c r="R883" s="22"/>
    </row>
    <row r="884" hidden="1">
      <c r="A884" s="93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19"/>
      <c r="P884" s="22"/>
      <c r="Q884" s="22"/>
      <c r="R884" s="22"/>
    </row>
    <row r="885" hidden="1">
      <c r="A885" s="93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19"/>
      <c r="P885" s="22"/>
      <c r="Q885" s="22"/>
      <c r="R885" s="22"/>
    </row>
    <row r="886" hidden="1">
      <c r="A886" s="93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19"/>
      <c r="P886" s="22"/>
      <c r="Q886" s="22"/>
      <c r="R886" s="22"/>
    </row>
    <row r="887" hidden="1">
      <c r="A887" s="93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19"/>
      <c r="P887" s="22"/>
      <c r="Q887" s="22"/>
      <c r="R887" s="22"/>
    </row>
    <row r="888" hidden="1">
      <c r="A888" s="93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19"/>
      <c r="P888" s="22"/>
      <c r="Q888" s="22"/>
      <c r="R888" s="22"/>
    </row>
    <row r="889" hidden="1">
      <c r="A889" s="93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19"/>
      <c r="P889" s="22"/>
      <c r="Q889" s="22"/>
      <c r="R889" s="22"/>
    </row>
    <row r="890" hidden="1">
      <c r="A890" s="93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19"/>
      <c r="P890" s="22"/>
      <c r="Q890" s="22"/>
      <c r="R890" s="22"/>
    </row>
    <row r="891" hidden="1">
      <c r="A891" s="93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19"/>
      <c r="P891" s="22"/>
      <c r="Q891" s="22"/>
      <c r="R891" s="22"/>
    </row>
    <row r="892" hidden="1">
      <c r="A892" s="93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19"/>
      <c r="P892" s="22"/>
      <c r="Q892" s="22"/>
      <c r="R892" s="22"/>
    </row>
    <row r="893" hidden="1">
      <c r="A893" s="93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19"/>
      <c r="P893" s="22"/>
      <c r="Q893" s="22"/>
      <c r="R893" s="22"/>
    </row>
    <row r="894" hidden="1">
      <c r="A894" s="93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19"/>
      <c r="P894" s="22"/>
      <c r="Q894" s="22"/>
      <c r="R894" s="22"/>
    </row>
    <row r="895" hidden="1">
      <c r="A895" s="93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19"/>
      <c r="P895" s="22"/>
      <c r="Q895" s="22"/>
      <c r="R895" s="22"/>
    </row>
    <row r="896" hidden="1">
      <c r="A896" s="93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19"/>
      <c r="P896" s="22"/>
      <c r="Q896" s="22"/>
      <c r="R896" s="22"/>
    </row>
    <row r="897" hidden="1">
      <c r="A897" s="93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19"/>
      <c r="P897" s="22"/>
      <c r="Q897" s="22"/>
      <c r="R897" s="22"/>
    </row>
    <row r="898" hidden="1">
      <c r="A898" s="93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19"/>
      <c r="P898" s="22"/>
      <c r="Q898" s="22"/>
      <c r="R898" s="22"/>
    </row>
    <row r="899" hidden="1">
      <c r="A899" s="93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19"/>
      <c r="P899" s="22"/>
      <c r="Q899" s="22"/>
      <c r="R899" s="22"/>
    </row>
    <row r="900" hidden="1">
      <c r="A900" s="93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19"/>
      <c r="P900" s="22"/>
      <c r="Q900" s="22"/>
      <c r="R900" s="22"/>
    </row>
    <row r="901" hidden="1">
      <c r="A901" s="93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19"/>
      <c r="P901" s="22"/>
      <c r="Q901" s="22"/>
      <c r="R901" s="22"/>
    </row>
    <row r="902" hidden="1">
      <c r="A902" s="93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19"/>
      <c r="P902" s="22"/>
      <c r="Q902" s="22"/>
      <c r="R902" s="22"/>
    </row>
    <row r="903" hidden="1">
      <c r="A903" s="93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19"/>
      <c r="P903" s="22"/>
      <c r="Q903" s="22"/>
      <c r="R903" s="22"/>
    </row>
    <row r="904" hidden="1">
      <c r="A904" s="93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19"/>
      <c r="P904" s="22"/>
      <c r="Q904" s="22"/>
      <c r="R904" s="22"/>
    </row>
    <row r="905" hidden="1">
      <c r="A905" s="93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19"/>
      <c r="P905" s="22"/>
      <c r="Q905" s="22"/>
      <c r="R905" s="22"/>
    </row>
    <row r="906" hidden="1">
      <c r="A906" s="93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19"/>
      <c r="P906" s="22"/>
      <c r="Q906" s="22"/>
      <c r="R906" s="22"/>
    </row>
    <row r="907" hidden="1">
      <c r="A907" s="93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19"/>
      <c r="P907" s="22"/>
      <c r="Q907" s="22"/>
      <c r="R907" s="22"/>
    </row>
    <row r="908" hidden="1">
      <c r="A908" s="93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19"/>
      <c r="P908" s="22"/>
      <c r="Q908" s="22"/>
      <c r="R908" s="22"/>
    </row>
    <row r="909" hidden="1">
      <c r="A909" s="93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19"/>
      <c r="P909" s="22"/>
      <c r="Q909" s="22"/>
      <c r="R909" s="22"/>
    </row>
    <row r="910" hidden="1">
      <c r="A910" s="93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19"/>
      <c r="P910" s="22"/>
      <c r="Q910" s="22"/>
      <c r="R910" s="22"/>
    </row>
    <row r="911" hidden="1">
      <c r="A911" s="93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19"/>
      <c r="P911" s="22"/>
      <c r="Q911" s="22"/>
      <c r="R911" s="22"/>
    </row>
    <row r="912" hidden="1">
      <c r="A912" s="93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19"/>
      <c r="P912" s="22"/>
      <c r="Q912" s="22"/>
      <c r="R912" s="22"/>
    </row>
    <row r="913" hidden="1">
      <c r="A913" s="93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19"/>
      <c r="P913" s="22"/>
      <c r="Q913" s="22"/>
      <c r="R913" s="22"/>
    </row>
    <row r="914" hidden="1">
      <c r="A914" s="93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19"/>
      <c r="P914" s="22"/>
      <c r="Q914" s="22"/>
      <c r="R914" s="22"/>
    </row>
    <row r="915" hidden="1">
      <c r="A915" s="93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19"/>
      <c r="P915" s="22"/>
      <c r="Q915" s="22"/>
      <c r="R915" s="22"/>
    </row>
    <row r="916" hidden="1">
      <c r="A916" s="93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19"/>
      <c r="P916" s="22"/>
      <c r="Q916" s="22"/>
      <c r="R916" s="22"/>
    </row>
    <row r="917" hidden="1">
      <c r="A917" s="93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19"/>
      <c r="P917" s="22"/>
      <c r="Q917" s="22"/>
      <c r="R917" s="22"/>
    </row>
    <row r="918" hidden="1">
      <c r="A918" s="93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19"/>
      <c r="P918" s="22"/>
      <c r="Q918" s="22"/>
      <c r="R918" s="22"/>
    </row>
    <row r="919" hidden="1">
      <c r="A919" s="93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19"/>
      <c r="P919" s="22"/>
      <c r="Q919" s="22"/>
      <c r="R919" s="22"/>
    </row>
    <row r="920" hidden="1">
      <c r="A920" s="93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19"/>
      <c r="P920" s="22"/>
      <c r="Q920" s="22"/>
      <c r="R920" s="22"/>
    </row>
    <row r="921" hidden="1">
      <c r="A921" s="93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19"/>
      <c r="P921" s="22"/>
      <c r="Q921" s="22"/>
      <c r="R921" s="22"/>
    </row>
    <row r="922" hidden="1">
      <c r="A922" s="93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19"/>
      <c r="P922" s="22"/>
      <c r="Q922" s="22"/>
      <c r="R922" s="22"/>
    </row>
    <row r="923" hidden="1">
      <c r="A923" s="93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19"/>
      <c r="P923" s="22"/>
      <c r="Q923" s="22"/>
      <c r="R923" s="22"/>
    </row>
    <row r="924" hidden="1">
      <c r="A924" s="93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19"/>
      <c r="P924" s="22"/>
      <c r="Q924" s="22"/>
      <c r="R924" s="22"/>
    </row>
    <row r="925" hidden="1">
      <c r="A925" s="93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19"/>
      <c r="P925" s="22"/>
      <c r="Q925" s="22"/>
      <c r="R925" s="22"/>
    </row>
    <row r="926" hidden="1">
      <c r="A926" s="93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19"/>
      <c r="P926" s="22"/>
      <c r="Q926" s="22"/>
      <c r="R926" s="22"/>
    </row>
    <row r="927" hidden="1">
      <c r="A927" s="93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19"/>
      <c r="P927" s="22"/>
      <c r="Q927" s="22"/>
      <c r="R927" s="22"/>
    </row>
    <row r="928" hidden="1">
      <c r="A928" s="93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19"/>
      <c r="P928" s="22"/>
      <c r="Q928" s="22"/>
      <c r="R928" s="22"/>
    </row>
    <row r="929" hidden="1">
      <c r="A929" s="93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19"/>
      <c r="P929" s="22"/>
      <c r="Q929" s="22"/>
      <c r="R929" s="22"/>
    </row>
    <row r="930" hidden="1">
      <c r="A930" s="93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19"/>
      <c r="P930" s="22"/>
      <c r="Q930" s="22"/>
      <c r="R930" s="22"/>
    </row>
    <row r="931" hidden="1">
      <c r="A931" s="93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19"/>
      <c r="P931" s="22"/>
      <c r="Q931" s="22"/>
      <c r="R931" s="22"/>
    </row>
    <row r="932" hidden="1">
      <c r="A932" s="93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19"/>
      <c r="P932" s="22"/>
      <c r="Q932" s="22"/>
      <c r="R932" s="22"/>
    </row>
    <row r="933" hidden="1">
      <c r="A933" s="93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19"/>
      <c r="P933" s="22"/>
      <c r="Q933" s="22"/>
      <c r="R933" s="22"/>
    </row>
    <row r="934" hidden="1">
      <c r="A934" s="93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19"/>
      <c r="P934" s="22"/>
      <c r="Q934" s="22"/>
      <c r="R934" s="22"/>
    </row>
    <row r="935" hidden="1">
      <c r="A935" s="93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19"/>
      <c r="P935" s="22"/>
      <c r="Q935" s="22"/>
      <c r="R935" s="22"/>
    </row>
    <row r="936" hidden="1">
      <c r="A936" s="93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19"/>
      <c r="P936" s="22"/>
      <c r="Q936" s="22"/>
      <c r="R936" s="22"/>
    </row>
    <row r="937" hidden="1">
      <c r="A937" s="93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19"/>
      <c r="P937" s="22"/>
      <c r="Q937" s="22"/>
      <c r="R937" s="22"/>
    </row>
    <row r="938" hidden="1">
      <c r="A938" s="93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19"/>
      <c r="P938" s="22"/>
      <c r="Q938" s="22"/>
      <c r="R938" s="22"/>
    </row>
    <row r="939" hidden="1">
      <c r="A939" s="93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19"/>
      <c r="P939" s="22"/>
      <c r="Q939" s="22"/>
      <c r="R939" s="22"/>
    </row>
    <row r="940" hidden="1">
      <c r="A940" s="93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19"/>
      <c r="P940" s="22"/>
      <c r="Q940" s="22"/>
      <c r="R940" s="22"/>
    </row>
    <row r="941" hidden="1">
      <c r="A941" s="93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19"/>
      <c r="P941" s="22"/>
      <c r="Q941" s="22"/>
      <c r="R941" s="22"/>
    </row>
    <row r="942" hidden="1">
      <c r="A942" s="93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19"/>
      <c r="P942" s="22"/>
      <c r="Q942" s="22"/>
      <c r="R942" s="22"/>
    </row>
    <row r="943" hidden="1">
      <c r="A943" s="93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19"/>
      <c r="P943" s="22"/>
      <c r="Q943" s="22"/>
      <c r="R943" s="22"/>
    </row>
    <row r="944" hidden="1">
      <c r="A944" s="93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19"/>
      <c r="P944" s="22"/>
      <c r="Q944" s="22"/>
      <c r="R944" s="22"/>
    </row>
    <row r="945" hidden="1">
      <c r="A945" s="93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19"/>
      <c r="P945" s="22"/>
      <c r="Q945" s="22"/>
      <c r="R945" s="22"/>
    </row>
    <row r="946" hidden="1">
      <c r="A946" s="93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19"/>
      <c r="P946" s="22"/>
      <c r="Q946" s="22"/>
      <c r="R946" s="22"/>
    </row>
    <row r="947" hidden="1">
      <c r="A947" s="93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19"/>
      <c r="P947" s="22"/>
      <c r="Q947" s="22"/>
      <c r="R947" s="22"/>
    </row>
    <row r="948" hidden="1">
      <c r="A948" s="93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19"/>
      <c r="P948" s="22"/>
      <c r="Q948" s="22"/>
      <c r="R948" s="22"/>
    </row>
    <row r="949" hidden="1">
      <c r="A949" s="93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19"/>
      <c r="P949" s="22"/>
      <c r="Q949" s="22"/>
      <c r="R949" s="22"/>
    </row>
    <row r="950" hidden="1">
      <c r="A950" s="93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19"/>
      <c r="P950" s="22"/>
      <c r="Q950" s="22"/>
      <c r="R950" s="22"/>
    </row>
    <row r="951" hidden="1">
      <c r="A951" s="93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19"/>
      <c r="P951" s="22"/>
      <c r="Q951" s="22"/>
      <c r="R951" s="22"/>
    </row>
    <row r="952" hidden="1">
      <c r="A952" s="93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19"/>
      <c r="P952" s="22"/>
      <c r="Q952" s="22"/>
      <c r="R952" s="22"/>
    </row>
    <row r="953" hidden="1">
      <c r="A953" s="93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19"/>
      <c r="P953" s="22"/>
      <c r="Q953" s="22"/>
      <c r="R953" s="22"/>
    </row>
    <row r="954" hidden="1">
      <c r="A954" s="93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19"/>
      <c r="P954" s="22"/>
      <c r="Q954" s="22"/>
      <c r="R954" s="22"/>
    </row>
    <row r="955" hidden="1">
      <c r="A955" s="93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19"/>
      <c r="P955" s="22"/>
      <c r="Q955" s="22"/>
      <c r="R955" s="22"/>
    </row>
    <row r="956" hidden="1">
      <c r="A956" s="93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19"/>
      <c r="P956" s="22"/>
      <c r="Q956" s="22"/>
      <c r="R956" s="22"/>
    </row>
    <row r="957" hidden="1">
      <c r="A957" s="93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19"/>
      <c r="P957" s="22"/>
      <c r="Q957" s="22"/>
      <c r="R957" s="22"/>
    </row>
    <row r="958" hidden="1">
      <c r="A958" s="93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19"/>
      <c r="P958" s="22"/>
      <c r="Q958" s="22"/>
      <c r="R958" s="22"/>
    </row>
    <row r="959" hidden="1">
      <c r="A959" s="93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19"/>
      <c r="P959" s="22"/>
      <c r="Q959" s="22"/>
      <c r="R959" s="22"/>
    </row>
    <row r="960" hidden="1">
      <c r="A960" s="93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19"/>
      <c r="P960" s="22"/>
      <c r="Q960" s="22"/>
      <c r="R960" s="22"/>
    </row>
    <row r="961" hidden="1">
      <c r="A961" s="93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19"/>
      <c r="P961" s="22"/>
      <c r="Q961" s="22"/>
      <c r="R961" s="22"/>
    </row>
    <row r="962" hidden="1">
      <c r="A962" s="93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19"/>
      <c r="P962" s="22"/>
      <c r="Q962" s="22"/>
      <c r="R962" s="22"/>
    </row>
    <row r="963" hidden="1">
      <c r="A963" s="93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19"/>
      <c r="P963" s="22"/>
      <c r="Q963" s="22"/>
      <c r="R963" s="22"/>
    </row>
    <row r="964" hidden="1">
      <c r="A964" s="93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19"/>
      <c r="P964" s="22"/>
      <c r="Q964" s="22"/>
      <c r="R964" s="22"/>
    </row>
    <row r="965" hidden="1">
      <c r="A965" s="93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19"/>
      <c r="P965" s="22"/>
      <c r="Q965" s="22"/>
      <c r="R965" s="22"/>
    </row>
    <row r="966" hidden="1">
      <c r="A966" s="93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19"/>
      <c r="P966" s="22"/>
      <c r="Q966" s="22"/>
      <c r="R966" s="22"/>
    </row>
    <row r="967" hidden="1">
      <c r="A967" s="93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19"/>
      <c r="P967" s="22"/>
      <c r="Q967" s="22"/>
      <c r="R967" s="22"/>
    </row>
    <row r="968" hidden="1">
      <c r="A968" s="93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19"/>
      <c r="P968" s="22"/>
      <c r="Q968" s="22"/>
      <c r="R968" s="22"/>
    </row>
    <row r="969" hidden="1">
      <c r="A969" s="93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19"/>
      <c r="P969" s="22"/>
      <c r="Q969" s="22"/>
      <c r="R969" s="22"/>
    </row>
    <row r="970" hidden="1">
      <c r="A970" s="93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19"/>
      <c r="P970" s="22"/>
      <c r="Q970" s="22"/>
      <c r="R970" s="22"/>
    </row>
    <row r="971" hidden="1">
      <c r="A971" s="93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19"/>
      <c r="P971" s="22"/>
      <c r="Q971" s="22"/>
      <c r="R971" s="22"/>
    </row>
    <row r="972" hidden="1">
      <c r="A972" s="93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19"/>
      <c r="P972" s="22"/>
      <c r="Q972" s="22"/>
      <c r="R972" s="22"/>
    </row>
    <row r="973" hidden="1">
      <c r="A973" s="93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19"/>
      <c r="P973" s="22"/>
      <c r="Q973" s="22"/>
      <c r="R973" s="22"/>
    </row>
    <row r="974" hidden="1">
      <c r="A974" s="93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19"/>
      <c r="P974" s="22"/>
      <c r="Q974" s="22"/>
      <c r="R974" s="22"/>
    </row>
    <row r="975" hidden="1">
      <c r="A975" s="93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19"/>
      <c r="P975" s="22"/>
      <c r="Q975" s="22"/>
      <c r="R975" s="22"/>
    </row>
    <row r="976" hidden="1">
      <c r="A976" s="93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19"/>
      <c r="P976" s="22"/>
      <c r="Q976" s="22"/>
      <c r="R976" s="22"/>
    </row>
    <row r="977" hidden="1">
      <c r="A977" s="93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19"/>
      <c r="P977" s="22"/>
      <c r="Q977" s="22"/>
      <c r="R977" s="22"/>
    </row>
    <row r="978" hidden="1">
      <c r="A978" s="93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19"/>
      <c r="P978" s="22"/>
      <c r="Q978" s="22"/>
      <c r="R978" s="22"/>
    </row>
    <row r="979" hidden="1">
      <c r="A979" s="93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19"/>
      <c r="P979" s="22"/>
      <c r="Q979" s="22"/>
      <c r="R979" s="22"/>
    </row>
    <row r="980" hidden="1">
      <c r="A980" s="93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19"/>
      <c r="P980" s="22"/>
      <c r="Q980" s="22"/>
      <c r="R980" s="22"/>
    </row>
    <row r="981" hidden="1">
      <c r="A981" s="93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19"/>
      <c r="P981" s="22"/>
      <c r="Q981" s="22"/>
      <c r="R981" s="22"/>
    </row>
    <row r="982" hidden="1">
      <c r="A982" s="93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19"/>
      <c r="P982" s="22"/>
      <c r="Q982" s="22"/>
      <c r="R982" s="22"/>
    </row>
    <row r="983" hidden="1">
      <c r="A983" s="93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19"/>
      <c r="P983" s="22"/>
      <c r="Q983" s="22"/>
      <c r="R983" s="22"/>
    </row>
    <row r="984" hidden="1">
      <c r="A984" s="93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19"/>
      <c r="P984" s="22"/>
      <c r="Q984" s="22"/>
      <c r="R984" s="22"/>
    </row>
    <row r="985" hidden="1">
      <c r="A985" s="93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19"/>
      <c r="P985" s="22"/>
      <c r="Q985" s="22"/>
      <c r="R985" s="22"/>
    </row>
    <row r="986" hidden="1">
      <c r="A986" s="93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19"/>
      <c r="P986" s="22"/>
      <c r="Q986" s="22"/>
      <c r="R986" s="22"/>
    </row>
    <row r="987" hidden="1">
      <c r="A987" s="93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19"/>
      <c r="P987" s="22"/>
      <c r="Q987" s="22"/>
      <c r="R987" s="22"/>
    </row>
    <row r="988" hidden="1">
      <c r="A988" s="93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19"/>
      <c r="P988" s="22"/>
      <c r="Q988" s="22"/>
      <c r="R988" s="22"/>
    </row>
    <row r="989" hidden="1">
      <c r="A989" s="93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19"/>
      <c r="P989" s="22"/>
      <c r="Q989" s="22"/>
      <c r="R989" s="22"/>
    </row>
    <row r="990" hidden="1">
      <c r="A990" s="93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19"/>
      <c r="P990" s="22"/>
      <c r="Q990" s="22"/>
      <c r="R990" s="22"/>
    </row>
    <row r="991" hidden="1">
      <c r="A991" s="93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19"/>
      <c r="P991" s="22"/>
      <c r="Q991" s="22"/>
      <c r="R991" s="22"/>
    </row>
    <row r="992" hidden="1">
      <c r="A992" s="93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19"/>
      <c r="P992" s="22"/>
      <c r="Q992" s="22"/>
      <c r="R992" s="22"/>
    </row>
    <row r="993" hidden="1">
      <c r="A993" s="93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19"/>
      <c r="P993" s="22"/>
      <c r="Q993" s="22"/>
      <c r="R993" s="22"/>
    </row>
    <row r="994" hidden="1">
      <c r="A994" s="93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19"/>
      <c r="P994" s="22"/>
      <c r="Q994" s="22"/>
      <c r="R994" s="22"/>
    </row>
    <row r="995" hidden="1">
      <c r="A995" s="93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19"/>
      <c r="P995" s="22"/>
      <c r="Q995" s="22"/>
      <c r="R995" s="22"/>
    </row>
    <row r="996" hidden="1">
      <c r="A996" s="93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19"/>
      <c r="P996" s="22"/>
      <c r="Q996" s="22"/>
      <c r="R996" s="22"/>
    </row>
    <row r="997" hidden="1">
      <c r="A997" s="93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19"/>
      <c r="P997" s="22"/>
      <c r="Q997" s="22"/>
      <c r="R997" s="22"/>
    </row>
    <row r="998" hidden="1">
      <c r="A998" s="93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19"/>
      <c r="P998" s="22"/>
      <c r="Q998" s="22"/>
      <c r="R998" s="22"/>
    </row>
    <row r="999" hidden="1">
      <c r="A999" s="93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19"/>
      <c r="P999" s="22"/>
      <c r="Q999" s="22"/>
      <c r="R999" s="22"/>
    </row>
    <row r="1000" hidden="1">
      <c r="A1000" s="93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19"/>
      <c r="P1000" s="22"/>
      <c r="Q1000" s="22"/>
      <c r="R1000" s="22"/>
    </row>
    <row r="1001" hidden="1">
      <c r="A1001" s="93"/>
      <c r="B1001" s="66"/>
      <c r="C1001" s="66"/>
      <c r="D1001" s="66"/>
      <c r="E1001" s="66"/>
      <c r="F1001" s="66"/>
      <c r="G1001" s="66"/>
      <c r="H1001" s="66"/>
      <c r="I1001" s="66"/>
      <c r="J1001" s="66"/>
      <c r="K1001" s="66"/>
      <c r="L1001" s="66"/>
      <c r="M1001" s="66"/>
      <c r="N1001" s="66"/>
      <c r="O1001" s="19"/>
      <c r="P1001" s="22"/>
      <c r="Q1001" s="22"/>
      <c r="R1001" s="22"/>
    </row>
    <row r="1002" hidden="1">
      <c r="A1002" s="93"/>
      <c r="B1002" s="66"/>
      <c r="C1002" s="66"/>
      <c r="D1002" s="66"/>
      <c r="E1002" s="66"/>
      <c r="F1002" s="66"/>
      <c r="G1002" s="66"/>
      <c r="H1002" s="66"/>
      <c r="I1002" s="66"/>
      <c r="J1002" s="66"/>
      <c r="K1002" s="66"/>
      <c r="L1002" s="66"/>
      <c r="M1002" s="66"/>
      <c r="N1002" s="66"/>
      <c r="O1002" s="19"/>
      <c r="P1002" s="22"/>
      <c r="Q1002" s="22"/>
      <c r="R1002" s="22"/>
    </row>
    <row r="1003" hidden="1">
      <c r="A1003" s="93"/>
      <c r="B1003" s="66"/>
      <c r="C1003" s="66"/>
      <c r="D1003" s="66"/>
      <c r="E1003" s="66"/>
      <c r="F1003" s="66"/>
      <c r="G1003" s="66"/>
      <c r="H1003" s="66"/>
      <c r="I1003" s="66"/>
      <c r="J1003" s="66"/>
      <c r="K1003" s="66"/>
      <c r="L1003" s="66"/>
      <c r="M1003" s="66"/>
      <c r="N1003" s="66"/>
      <c r="O1003" s="19"/>
      <c r="P1003" s="22"/>
      <c r="Q1003" s="22"/>
      <c r="R1003" s="22"/>
    </row>
    <row r="1004" hidden="1">
      <c r="A1004" s="93"/>
      <c r="B1004" s="66"/>
      <c r="C1004" s="66"/>
      <c r="D1004" s="66"/>
      <c r="E1004" s="66"/>
      <c r="F1004" s="66"/>
      <c r="G1004" s="66"/>
      <c r="H1004" s="66"/>
      <c r="I1004" s="66"/>
      <c r="J1004" s="66"/>
      <c r="K1004" s="66"/>
      <c r="L1004" s="66"/>
      <c r="M1004" s="66"/>
      <c r="N1004" s="66"/>
      <c r="O1004" s="19"/>
      <c r="P1004" s="22"/>
      <c r="Q1004" s="22"/>
      <c r="R1004" s="22"/>
    </row>
    <row r="1005" hidden="1">
      <c r="A1005" s="93"/>
      <c r="B1005" s="66"/>
      <c r="C1005" s="66"/>
      <c r="D1005" s="66"/>
      <c r="E1005" s="66"/>
      <c r="F1005" s="66"/>
      <c r="G1005" s="66"/>
      <c r="H1005" s="66"/>
      <c r="I1005" s="66"/>
      <c r="J1005" s="66"/>
      <c r="K1005" s="66"/>
      <c r="L1005" s="66"/>
      <c r="M1005" s="66"/>
      <c r="N1005" s="66"/>
      <c r="O1005" s="19"/>
      <c r="P1005" s="22"/>
      <c r="Q1005" s="22"/>
      <c r="R1005" s="22"/>
    </row>
    <row r="1006" hidden="1">
      <c r="A1006" s="93"/>
      <c r="B1006" s="66"/>
      <c r="C1006" s="66"/>
      <c r="D1006" s="66"/>
      <c r="E1006" s="66"/>
      <c r="F1006" s="66"/>
      <c r="G1006" s="66"/>
      <c r="H1006" s="66"/>
      <c r="I1006" s="66"/>
      <c r="J1006" s="66"/>
      <c r="K1006" s="66"/>
      <c r="L1006" s="66"/>
      <c r="M1006" s="66"/>
      <c r="N1006" s="66"/>
      <c r="O1006" s="19"/>
      <c r="P1006" s="22"/>
      <c r="Q1006" s="22"/>
      <c r="R1006" s="22"/>
    </row>
    <row r="1007" hidden="1">
      <c r="A1007" s="93"/>
      <c r="B1007" s="66"/>
      <c r="C1007" s="66"/>
      <c r="D1007" s="66"/>
      <c r="E1007" s="66"/>
      <c r="F1007" s="66"/>
      <c r="G1007" s="66"/>
      <c r="H1007" s="66"/>
      <c r="I1007" s="66"/>
      <c r="J1007" s="66"/>
      <c r="K1007" s="66"/>
      <c r="L1007" s="66"/>
      <c r="M1007" s="66"/>
      <c r="N1007" s="66"/>
      <c r="O1007" s="19"/>
      <c r="P1007" s="22"/>
      <c r="Q1007" s="22"/>
      <c r="R1007" s="22"/>
    </row>
    <row r="1008" hidden="1">
      <c r="A1008" s="93"/>
      <c r="B1008" s="66"/>
      <c r="C1008" s="66"/>
      <c r="D1008" s="66"/>
      <c r="E1008" s="66"/>
      <c r="F1008" s="66"/>
      <c r="G1008" s="66"/>
      <c r="H1008" s="66"/>
      <c r="I1008" s="66"/>
      <c r="J1008" s="66"/>
      <c r="K1008" s="66"/>
      <c r="L1008" s="66"/>
      <c r="M1008" s="66"/>
      <c r="N1008" s="66"/>
      <c r="O1008" s="19"/>
      <c r="P1008" s="22"/>
      <c r="Q1008" s="22"/>
      <c r="R1008" s="22"/>
    </row>
    <row r="1009" hidden="1">
      <c r="A1009" s="93"/>
      <c r="B1009" s="66"/>
      <c r="C1009" s="66"/>
      <c r="D1009" s="66"/>
      <c r="E1009" s="66"/>
      <c r="F1009" s="66"/>
      <c r="G1009" s="66"/>
      <c r="H1009" s="66"/>
      <c r="I1009" s="66"/>
      <c r="J1009" s="66"/>
      <c r="K1009" s="66"/>
      <c r="L1009" s="66"/>
      <c r="M1009" s="66"/>
      <c r="N1009" s="66"/>
      <c r="O1009" s="19"/>
      <c r="P1009" s="22"/>
      <c r="Q1009" s="22"/>
      <c r="R1009" s="22"/>
    </row>
    <row r="1010" hidden="1">
      <c r="A1010" s="93"/>
      <c r="B1010" s="66"/>
      <c r="C1010" s="66"/>
      <c r="D1010" s="66"/>
      <c r="E1010" s="66"/>
      <c r="F1010" s="66"/>
      <c r="G1010" s="66"/>
      <c r="H1010" s="66"/>
      <c r="I1010" s="66"/>
      <c r="J1010" s="66"/>
      <c r="K1010" s="66"/>
      <c r="L1010" s="66"/>
      <c r="M1010" s="66"/>
      <c r="N1010" s="66"/>
      <c r="O1010" s="19"/>
      <c r="P1010" s="22"/>
      <c r="Q1010" s="22"/>
      <c r="R1010" s="22"/>
    </row>
    <row r="1011" hidden="1">
      <c r="A1011" s="93"/>
      <c r="B1011" s="66"/>
      <c r="C1011" s="66"/>
      <c r="D1011" s="66"/>
      <c r="E1011" s="66"/>
      <c r="F1011" s="66"/>
      <c r="G1011" s="66"/>
      <c r="H1011" s="66"/>
      <c r="I1011" s="66"/>
      <c r="J1011" s="66"/>
      <c r="K1011" s="66"/>
      <c r="L1011" s="66"/>
      <c r="M1011" s="66"/>
      <c r="N1011" s="66"/>
      <c r="O1011" s="19"/>
      <c r="P1011" s="22"/>
      <c r="Q1011" s="22"/>
      <c r="R1011" s="22"/>
    </row>
    <row r="1012" hidden="1">
      <c r="A1012" s="93"/>
      <c r="B1012" s="66"/>
      <c r="C1012" s="66"/>
      <c r="D1012" s="66"/>
      <c r="E1012" s="66"/>
      <c r="F1012" s="66"/>
      <c r="G1012" s="66"/>
      <c r="H1012" s="66"/>
      <c r="I1012" s="66"/>
      <c r="J1012" s="66"/>
      <c r="K1012" s="66"/>
      <c r="L1012" s="66"/>
      <c r="M1012" s="66"/>
      <c r="N1012" s="66"/>
      <c r="O1012" s="19"/>
      <c r="P1012" s="22"/>
      <c r="Q1012" s="22"/>
      <c r="R1012" s="22"/>
    </row>
    <row r="1013" hidden="1">
      <c r="A1013" s="93"/>
      <c r="B1013" s="66"/>
      <c r="C1013" s="66"/>
      <c r="D1013" s="66"/>
      <c r="E1013" s="66"/>
      <c r="F1013" s="66"/>
      <c r="G1013" s="66"/>
      <c r="H1013" s="66"/>
      <c r="I1013" s="66"/>
      <c r="J1013" s="66"/>
      <c r="K1013" s="66"/>
      <c r="L1013" s="66"/>
      <c r="M1013" s="66"/>
      <c r="N1013" s="66"/>
      <c r="O1013" s="19"/>
      <c r="P1013" s="22"/>
      <c r="Q1013" s="22"/>
      <c r="R1013" s="22"/>
    </row>
    <row r="1014" hidden="1">
      <c r="A1014" s="93"/>
      <c r="B1014" s="66"/>
      <c r="C1014" s="66"/>
      <c r="D1014" s="66"/>
      <c r="E1014" s="66"/>
      <c r="F1014" s="66"/>
      <c r="G1014" s="66"/>
      <c r="H1014" s="66"/>
      <c r="I1014" s="66"/>
      <c r="J1014" s="66"/>
      <c r="K1014" s="66"/>
      <c r="L1014" s="66"/>
      <c r="M1014" s="66"/>
      <c r="N1014" s="66"/>
      <c r="O1014" s="19"/>
      <c r="P1014" s="22"/>
      <c r="Q1014" s="22"/>
      <c r="R1014" s="22"/>
    </row>
    <row r="1015" hidden="1">
      <c r="A1015" s="93"/>
      <c r="B1015" s="66"/>
      <c r="C1015" s="66"/>
      <c r="D1015" s="66"/>
      <c r="E1015" s="66"/>
      <c r="F1015" s="66"/>
      <c r="G1015" s="66"/>
      <c r="H1015" s="66"/>
      <c r="I1015" s="66"/>
      <c r="J1015" s="66"/>
      <c r="K1015" s="66"/>
      <c r="L1015" s="66"/>
      <c r="M1015" s="66"/>
      <c r="N1015" s="66"/>
      <c r="O1015" s="19"/>
      <c r="P1015" s="22"/>
      <c r="Q1015" s="22"/>
      <c r="R1015" s="22"/>
    </row>
    <row r="1016" hidden="1">
      <c r="A1016" s="93"/>
      <c r="B1016" s="66"/>
      <c r="C1016" s="66"/>
      <c r="D1016" s="66"/>
      <c r="E1016" s="66"/>
      <c r="F1016" s="66"/>
      <c r="G1016" s="66"/>
      <c r="H1016" s="66"/>
      <c r="I1016" s="66"/>
      <c r="J1016" s="66"/>
      <c r="K1016" s="66"/>
      <c r="L1016" s="66"/>
      <c r="M1016" s="66"/>
      <c r="N1016" s="66"/>
      <c r="O1016" s="19"/>
      <c r="P1016" s="22"/>
      <c r="Q1016" s="22"/>
      <c r="R1016" s="22"/>
    </row>
    <row r="1017" hidden="1">
      <c r="A1017" s="93"/>
      <c r="B1017" s="66"/>
      <c r="C1017" s="66"/>
      <c r="D1017" s="66"/>
      <c r="E1017" s="66"/>
      <c r="F1017" s="66"/>
      <c r="G1017" s="66"/>
      <c r="H1017" s="66"/>
      <c r="I1017" s="66"/>
      <c r="J1017" s="66"/>
      <c r="K1017" s="66"/>
      <c r="L1017" s="66"/>
      <c r="M1017" s="66"/>
      <c r="N1017" s="66"/>
      <c r="O1017" s="19"/>
      <c r="P1017" s="22"/>
      <c r="Q1017" s="22"/>
      <c r="R1017" s="22"/>
    </row>
    <row r="1018" hidden="1">
      <c r="A1018" s="93"/>
      <c r="B1018" s="66"/>
      <c r="C1018" s="66"/>
      <c r="D1018" s="66"/>
      <c r="E1018" s="66"/>
      <c r="F1018" s="66"/>
      <c r="G1018" s="66"/>
      <c r="H1018" s="66"/>
      <c r="I1018" s="66"/>
      <c r="J1018" s="66"/>
      <c r="K1018" s="66"/>
      <c r="L1018" s="66"/>
      <c r="M1018" s="66"/>
      <c r="N1018" s="66"/>
      <c r="O1018" s="19"/>
      <c r="P1018" s="22"/>
      <c r="Q1018" s="22"/>
      <c r="R1018" s="22"/>
    </row>
    <row r="1019" hidden="1">
      <c r="A1019" s="93"/>
      <c r="B1019" s="66"/>
      <c r="C1019" s="66"/>
      <c r="D1019" s="66"/>
      <c r="E1019" s="66"/>
      <c r="F1019" s="66"/>
      <c r="G1019" s="66"/>
      <c r="H1019" s="66"/>
      <c r="I1019" s="66"/>
      <c r="J1019" s="66"/>
      <c r="K1019" s="66"/>
      <c r="L1019" s="66"/>
      <c r="M1019" s="66"/>
      <c r="N1019" s="66"/>
      <c r="O1019" s="19"/>
      <c r="P1019" s="22"/>
      <c r="Q1019" s="22"/>
      <c r="R1019" s="22"/>
    </row>
    <row r="1020" hidden="1">
      <c r="A1020" s="93"/>
      <c r="B1020" s="66"/>
      <c r="C1020" s="66"/>
      <c r="D1020" s="66"/>
      <c r="E1020" s="66"/>
      <c r="F1020" s="66"/>
      <c r="G1020" s="66"/>
      <c r="H1020" s="66"/>
      <c r="I1020" s="66"/>
      <c r="J1020" s="66"/>
      <c r="K1020" s="66"/>
      <c r="L1020" s="66"/>
      <c r="M1020" s="66"/>
      <c r="N1020" s="66"/>
      <c r="O1020" s="19"/>
      <c r="P1020" s="22"/>
      <c r="Q1020" s="22"/>
      <c r="R1020" s="22"/>
    </row>
    <row r="1021" hidden="1">
      <c r="A1021" s="93"/>
      <c r="B1021" s="66"/>
      <c r="C1021" s="66"/>
      <c r="D1021" s="66"/>
      <c r="E1021" s="66"/>
      <c r="F1021" s="66"/>
      <c r="G1021" s="66"/>
      <c r="H1021" s="66"/>
      <c r="I1021" s="66"/>
      <c r="J1021" s="66"/>
      <c r="K1021" s="66"/>
      <c r="L1021" s="66"/>
      <c r="M1021" s="66"/>
      <c r="N1021" s="66"/>
      <c r="O1021" s="19"/>
      <c r="P1021" s="22"/>
      <c r="Q1021" s="22"/>
      <c r="R1021" s="22"/>
    </row>
    <row r="1022" hidden="1">
      <c r="A1022" s="93"/>
      <c r="B1022" s="66"/>
      <c r="C1022" s="66"/>
      <c r="D1022" s="66"/>
      <c r="E1022" s="66"/>
      <c r="F1022" s="66"/>
      <c r="G1022" s="66"/>
      <c r="H1022" s="66"/>
      <c r="I1022" s="66"/>
      <c r="J1022" s="66"/>
      <c r="K1022" s="66"/>
      <c r="L1022" s="66"/>
      <c r="M1022" s="66"/>
      <c r="N1022" s="66"/>
      <c r="O1022" s="19"/>
      <c r="P1022" s="22"/>
      <c r="Q1022" s="22"/>
      <c r="R1022" s="22"/>
    </row>
    <row r="1023" hidden="1">
      <c r="A1023" s="93"/>
      <c r="B1023" s="66"/>
      <c r="C1023" s="66"/>
      <c r="D1023" s="66"/>
      <c r="E1023" s="66"/>
      <c r="F1023" s="66"/>
      <c r="G1023" s="66"/>
      <c r="H1023" s="66"/>
      <c r="I1023" s="66"/>
      <c r="J1023" s="66"/>
      <c r="K1023" s="66"/>
      <c r="L1023" s="66"/>
      <c r="M1023" s="66"/>
      <c r="N1023" s="66"/>
      <c r="O1023" s="19"/>
      <c r="P1023" s="22"/>
      <c r="Q1023" s="22"/>
      <c r="R1023" s="22"/>
    </row>
    <row r="1024" hidden="1">
      <c r="A1024" s="93"/>
      <c r="B1024" s="66"/>
      <c r="C1024" s="66"/>
      <c r="D1024" s="66"/>
      <c r="E1024" s="66"/>
      <c r="F1024" s="66"/>
      <c r="G1024" s="66"/>
      <c r="H1024" s="66"/>
      <c r="I1024" s="66"/>
      <c r="J1024" s="66"/>
      <c r="K1024" s="66"/>
      <c r="L1024" s="66"/>
      <c r="M1024" s="66"/>
      <c r="N1024" s="66"/>
      <c r="O1024" s="19"/>
      <c r="P1024" s="22"/>
      <c r="Q1024" s="22"/>
      <c r="R1024" s="22"/>
    </row>
    <row r="1025" hidden="1">
      <c r="A1025" s="93"/>
      <c r="B1025" s="66"/>
      <c r="C1025" s="66"/>
      <c r="D1025" s="66"/>
      <c r="E1025" s="66"/>
      <c r="F1025" s="66"/>
      <c r="G1025" s="66"/>
      <c r="H1025" s="66"/>
      <c r="I1025" s="66"/>
      <c r="J1025" s="66"/>
      <c r="K1025" s="66"/>
      <c r="L1025" s="66"/>
      <c r="M1025" s="66"/>
      <c r="N1025" s="66"/>
      <c r="O1025" s="19"/>
      <c r="P1025" s="22"/>
      <c r="Q1025" s="22"/>
      <c r="R1025" s="22"/>
    </row>
    <row r="1026" hidden="1">
      <c r="A1026" s="93"/>
      <c r="B1026" s="66"/>
      <c r="C1026" s="66"/>
      <c r="D1026" s="66"/>
      <c r="E1026" s="66"/>
      <c r="F1026" s="66"/>
      <c r="G1026" s="66"/>
      <c r="H1026" s="66"/>
      <c r="I1026" s="66"/>
      <c r="J1026" s="66"/>
      <c r="K1026" s="66"/>
      <c r="L1026" s="66"/>
      <c r="M1026" s="66"/>
      <c r="N1026" s="66"/>
      <c r="O1026" s="19"/>
      <c r="P1026" s="22"/>
      <c r="Q1026" s="22"/>
      <c r="R1026" s="22"/>
    </row>
    <row r="1027" hidden="1">
      <c r="A1027" s="93"/>
      <c r="B1027" s="66"/>
      <c r="C1027" s="66"/>
      <c r="D1027" s="66"/>
      <c r="E1027" s="66"/>
      <c r="F1027" s="66"/>
      <c r="G1027" s="66"/>
      <c r="H1027" s="66"/>
      <c r="I1027" s="66"/>
      <c r="J1027" s="66"/>
      <c r="K1027" s="66"/>
      <c r="L1027" s="66"/>
      <c r="M1027" s="66"/>
      <c r="N1027" s="66"/>
      <c r="O1027" s="19"/>
      <c r="P1027" s="22"/>
      <c r="Q1027" s="22"/>
      <c r="R1027" s="22"/>
    </row>
    <row r="1028" hidden="1">
      <c r="A1028" s="93"/>
      <c r="B1028" s="66"/>
      <c r="C1028" s="66"/>
      <c r="D1028" s="66"/>
      <c r="E1028" s="66"/>
      <c r="F1028" s="66"/>
      <c r="G1028" s="66"/>
      <c r="H1028" s="66"/>
      <c r="I1028" s="66"/>
      <c r="J1028" s="66"/>
      <c r="K1028" s="66"/>
      <c r="L1028" s="66"/>
      <c r="M1028" s="66"/>
      <c r="N1028" s="66"/>
      <c r="O1028" s="19"/>
      <c r="P1028" s="22"/>
      <c r="Q1028" s="22"/>
      <c r="R1028" s="22"/>
    </row>
    <row r="1029" hidden="1">
      <c r="A1029" s="93"/>
      <c r="B1029" s="66"/>
      <c r="C1029" s="66"/>
      <c r="D1029" s="66"/>
      <c r="E1029" s="66"/>
      <c r="F1029" s="66"/>
      <c r="G1029" s="66"/>
      <c r="H1029" s="66"/>
      <c r="I1029" s="66"/>
      <c r="J1029" s="66"/>
      <c r="K1029" s="66"/>
      <c r="L1029" s="66"/>
      <c r="M1029" s="66"/>
      <c r="N1029" s="66"/>
      <c r="O1029" s="19"/>
      <c r="P1029" s="22"/>
      <c r="Q1029" s="22"/>
      <c r="R1029" s="22"/>
    </row>
    <row r="1030" hidden="1">
      <c r="A1030" s="93"/>
      <c r="B1030" s="66"/>
      <c r="C1030" s="66"/>
      <c r="D1030" s="66"/>
      <c r="E1030" s="66"/>
      <c r="F1030" s="66"/>
      <c r="G1030" s="66"/>
      <c r="H1030" s="66"/>
      <c r="I1030" s="66"/>
      <c r="J1030" s="66"/>
      <c r="K1030" s="66"/>
      <c r="L1030" s="66"/>
      <c r="M1030" s="66"/>
      <c r="N1030" s="66"/>
      <c r="O1030" s="19"/>
      <c r="P1030" s="22"/>
      <c r="Q1030" s="22"/>
      <c r="R1030" s="22"/>
    </row>
    <row r="1031" hidden="1">
      <c r="A1031" s="93"/>
      <c r="B1031" s="66"/>
      <c r="C1031" s="66"/>
      <c r="D1031" s="66"/>
      <c r="E1031" s="66"/>
      <c r="F1031" s="66"/>
      <c r="G1031" s="66"/>
      <c r="H1031" s="66"/>
      <c r="I1031" s="66"/>
      <c r="J1031" s="66"/>
      <c r="K1031" s="66"/>
      <c r="L1031" s="66"/>
      <c r="M1031" s="66"/>
      <c r="N1031" s="66"/>
      <c r="O1031" s="19"/>
      <c r="P1031" s="22"/>
      <c r="Q1031" s="22"/>
      <c r="R1031" s="22"/>
    </row>
    <row r="1032" hidden="1">
      <c r="A1032" s="93"/>
      <c r="B1032" s="66"/>
      <c r="C1032" s="66"/>
      <c r="D1032" s="66"/>
      <c r="E1032" s="66"/>
      <c r="F1032" s="66"/>
      <c r="G1032" s="66"/>
      <c r="H1032" s="66"/>
      <c r="I1032" s="66"/>
      <c r="J1032" s="66"/>
      <c r="K1032" s="66"/>
      <c r="L1032" s="66"/>
      <c r="M1032" s="66"/>
      <c r="N1032" s="66"/>
      <c r="O1032" s="19"/>
      <c r="P1032" s="22"/>
      <c r="Q1032" s="22"/>
      <c r="R1032" s="22"/>
    </row>
    <row r="1033" hidden="1">
      <c r="A1033" s="93"/>
      <c r="B1033" s="66"/>
      <c r="C1033" s="66"/>
      <c r="D1033" s="66"/>
      <c r="E1033" s="66"/>
      <c r="F1033" s="66"/>
      <c r="G1033" s="66"/>
      <c r="H1033" s="66"/>
      <c r="I1033" s="66"/>
      <c r="J1033" s="66"/>
      <c r="K1033" s="66"/>
      <c r="L1033" s="66"/>
      <c r="M1033" s="66"/>
      <c r="N1033" s="66"/>
      <c r="O1033" s="19"/>
      <c r="P1033" s="22"/>
      <c r="Q1033" s="22"/>
      <c r="R1033" s="22"/>
    </row>
    <row r="1034" hidden="1">
      <c r="A1034" s="93"/>
      <c r="B1034" s="66"/>
      <c r="C1034" s="66"/>
      <c r="D1034" s="66"/>
      <c r="E1034" s="66"/>
      <c r="F1034" s="66"/>
      <c r="G1034" s="66"/>
      <c r="H1034" s="66"/>
      <c r="I1034" s="66"/>
      <c r="J1034" s="66"/>
      <c r="K1034" s="66"/>
      <c r="L1034" s="66"/>
      <c r="M1034" s="66"/>
      <c r="N1034" s="66"/>
      <c r="O1034" s="19"/>
      <c r="P1034" s="22"/>
      <c r="Q1034" s="22"/>
      <c r="R1034" s="22"/>
    </row>
    <row r="1035" hidden="1">
      <c r="A1035" s="93"/>
      <c r="B1035" s="66"/>
      <c r="C1035" s="66"/>
      <c r="D1035" s="66"/>
      <c r="E1035" s="66"/>
      <c r="F1035" s="66"/>
      <c r="G1035" s="66"/>
      <c r="H1035" s="66"/>
      <c r="I1035" s="66"/>
      <c r="J1035" s="66"/>
      <c r="K1035" s="66"/>
      <c r="L1035" s="66"/>
      <c r="M1035" s="66"/>
      <c r="N1035" s="66"/>
      <c r="O1035" s="19"/>
      <c r="P1035" s="22"/>
      <c r="Q1035" s="22"/>
      <c r="R1035" s="22"/>
    </row>
    <row r="1036" hidden="1">
      <c r="A1036" s="93"/>
      <c r="B1036" s="66"/>
      <c r="C1036" s="66"/>
      <c r="D1036" s="66"/>
      <c r="E1036" s="66"/>
      <c r="F1036" s="66"/>
      <c r="G1036" s="66"/>
      <c r="H1036" s="66"/>
      <c r="I1036" s="66"/>
      <c r="J1036" s="66"/>
      <c r="K1036" s="66"/>
      <c r="L1036" s="66"/>
      <c r="M1036" s="66"/>
      <c r="N1036" s="66"/>
      <c r="O1036" s="19"/>
      <c r="P1036" s="22"/>
      <c r="Q1036" s="22"/>
      <c r="R1036" s="22"/>
    </row>
    <row r="1037" hidden="1">
      <c r="A1037" s="93"/>
      <c r="B1037" s="66"/>
      <c r="C1037" s="66"/>
      <c r="D1037" s="66"/>
      <c r="E1037" s="66"/>
      <c r="F1037" s="66"/>
      <c r="G1037" s="66"/>
      <c r="H1037" s="66"/>
      <c r="I1037" s="66"/>
      <c r="J1037" s="66"/>
      <c r="K1037" s="66"/>
      <c r="L1037" s="66"/>
      <c r="M1037" s="66"/>
      <c r="N1037" s="66"/>
      <c r="O1037" s="19"/>
      <c r="P1037" s="22"/>
      <c r="Q1037" s="22"/>
      <c r="R1037" s="22"/>
    </row>
    <row r="1038" hidden="1">
      <c r="A1038" s="93"/>
      <c r="B1038" s="66"/>
      <c r="C1038" s="66"/>
      <c r="D1038" s="66"/>
      <c r="E1038" s="66"/>
      <c r="F1038" s="66"/>
      <c r="G1038" s="66"/>
      <c r="H1038" s="66"/>
      <c r="I1038" s="66"/>
      <c r="J1038" s="66"/>
      <c r="K1038" s="66"/>
      <c r="L1038" s="66"/>
      <c r="M1038" s="66"/>
      <c r="N1038" s="66"/>
      <c r="O1038" s="19"/>
      <c r="P1038" s="22"/>
      <c r="Q1038" s="22"/>
      <c r="R1038" s="22"/>
    </row>
    <row r="1039" hidden="1">
      <c r="A1039" s="93"/>
      <c r="B1039" s="66"/>
      <c r="C1039" s="66"/>
      <c r="D1039" s="66"/>
      <c r="E1039" s="66"/>
      <c r="F1039" s="66"/>
      <c r="G1039" s="66"/>
      <c r="H1039" s="66"/>
      <c r="I1039" s="66"/>
      <c r="J1039" s="66"/>
      <c r="K1039" s="66"/>
      <c r="L1039" s="66"/>
      <c r="M1039" s="66"/>
      <c r="N1039" s="66"/>
      <c r="O1039" s="19"/>
      <c r="P1039" s="22"/>
      <c r="Q1039" s="22"/>
      <c r="R1039" s="22"/>
    </row>
    <row r="1040" hidden="1">
      <c r="A1040" s="93"/>
      <c r="B1040" s="66"/>
      <c r="C1040" s="66"/>
      <c r="D1040" s="66"/>
      <c r="E1040" s="66"/>
      <c r="F1040" s="66"/>
      <c r="G1040" s="66"/>
      <c r="H1040" s="66"/>
      <c r="I1040" s="66"/>
      <c r="J1040" s="66"/>
      <c r="K1040" s="66"/>
      <c r="L1040" s="66"/>
      <c r="M1040" s="66"/>
      <c r="N1040" s="66"/>
      <c r="O1040" s="19"/>
      <c r="P1040" s="22"/>
      <c r="Q1040" s="22"/>
      <c r="R1040" s="22"/>
    </row>
    <row r="1041" hidden="1">
      <c r="A1041" s="93"/>
      <c r="B1041" s="66"/>
      <c r="C1041" s="66"/>
      <c r="D1041" s="66"/>
      <c r="E1041" s="66"/>
      <c r="F1041" s="66"/>
      <c r="G1041" s="66"/>
      <c r="H1041" s="66"/>
      <c r="I1041" s="66"/>
      <c r="J1041" s="66"/>
      <c r="K1041" s="66"/>
      <c r="L1041" s="66"/>
      <c r="M1041" s="66"/>
      <c r="N1041" s="66"/>
      <c r="O1041" s="19"/>
      <c r="P1041" s="22"/>
      <c r="Q1041" s="22"/>
      <c r="R1041" s="22"/>
    </row>
    <row r="1042" hidden="1">
      <c r="A1042" s="93"/>
      <c r="B1042" s="66"/>
      <c r="C1042" s="66"/>
      <c r="D1042" s="66"/>
      <c r="E1042" s="66"/>
      <c r="F1042" s="66"/>
      <c r="G1042" s="66"/>
      <c r="H1042" s="66"/>
      <c r="I1042" s="66"/>
      <c r="J1042" s="66"/>
      <c r="K1042" s="66"/>
      <c r="L1042" s="66"/>
      <c r="M1042" s="66"/>
      <c r="N1042" s="66"/>
      <c r="O1042" s="19"/>
      <c r="P1042" s="22"/>
      <c r="Q1042" s="22"/>
      <c r="R1042" s="22"/>
    </row>
    <row r="1043" hidden="1">
      <c r="A1043" s="93"/>
      <c r="B1043" s="66"/>
      <c r="C1043" s="66"/>
      <c r="D1043" s="66"/>
      <c r="E1043" s="66"/>
      <c r="F1043" s="66"/>
      <c r="G1043" s="66"/>
      <c r="H1043" s="66"/>
      <c r="I1043" s="66"/>
      <c r="J1043" s="66"/>
      <c r="K1043" s="66"/>
      <c r="L1043" s="66"/>
      <c r="M1043" s="66"/>
      <c r="N1043" s="66"/>
      <c r="O1043" s="19"/>
      <c r="P1043" s="22"/>
      <c r="Q1043" s="22"/>
      <c r="R1043" s="22"/>
    </row>
    <row r="1044" hidden="1">
      <c r="A1044" s="93"/>
      <c r="B1044" s="66"/>
      <c r="C1044" s="66"/>
      <c r="D1044" s="66"/>
      <c r="E1044" s="66"/>
      <c r="F1044" s="66"/>
      <c r="G1044" s="66"/>
      <c r="H1044" s="66"/>
      <c r="I1044" s="66"/>
      <c r="J1044" s="66"/>
      <c r="K1044" s="66"/>
      <c r="L1044" s="66"/>
      <c r="M1044" s="66"/>
      <c r="N1044" s="66"/>
      <c r="O1044" s="19"/>
      <c r="P1044" s="22"/>
      <c r="Q1044" s="22"/>
      <c r="R1044" s="22"/>
    </row>
    <row r="1045" hidden="1">
      <c r="A1045" s="93"/>
      <c r="B1045" s="66"/>
      <c r="C1045" s="66"/>
      <c r="D1045" s="66"/>
      <c r="E1045" s="66"/>
      <c r="F1045" s="66"/>
      <c r="G1045" s="66"/>
      <c r="H1045" s="66"/>
      <c r="I1045" s="66"/>
      <c r="J1045" s="66"/>
      <c r="K1045" s="66"/>
      <c r="L1045" s="66"/>
      <c r="M1045" s="66"/>
      <c r="N1045" s="66"/>
      <c r="O1045" s="19"/>
      <c r="P1045" s="22"/>
      <c r="Q1045" s="22"/>
      <c r="R1045" s="22"/>
    </row>
    <row r="1046" hidden="1">
      <c r="A1046" s="93"/>
      <c r="B1046" s="66"/>
      <c r="C1046" s="66"/>
      <c r="D1046" s="66"/>
      <c r="E1046" s="66"/>
      <c r="F1046" s="66"/>
      <c r="G1046" s="66"/>
      <c r="H1046" s="66"/>
      <c r="I1046" s="66"/>
      <c r="J1046" s="66"/>
      <c r="K1046" s="66"/>
      <c r="L1046" s="66"/>
      <c r="M1046" s="66"/>
      <c r="N1046" s="66"/>
      <c r="O1046" s="19"/>
      <c r="P1046" s="22"/>
      <c r="Q1046" s="22"/>
      <c r="R1046" s="22"/>
    </row>
    <row r="1047" hidden="1">
      <c r="A1047" s="93"/>
      <c r="B1047" s="66"/>
      <c r="C1047" s="66"/>
      <c r="D1047" s="66"/>
      <c r="E1047" s="66"/>
      <c r="F1047" s="66"/>
      <c r="G1047" s="66"/>
      <c r="H1047" s="66"/>
      <c r="I1047" s="66"/>
      <c r="J1047" s="66"/>
      <c r="K1047" s="66"/>
      <c r="L1047" s="66"/>
      <c r="M1047" s="66"/>
      <c r="N1047" s="66"/>
      <c r="O1047" s="19"/>
      <c r="P1047" s="22"/>
      <c r="Q1047" s="22"/>
      <c r="R1047" s="22"/>
    </row>
    <row r="1048" hidden="1">
      <c r="A1048" s="93"/>
      <c r="B1048" s="66"/>
      <c r="C1048" s="66"/>
      <c r="D1048" s="66"/>
      <c r="E1048" s="66"/>
      <c r="F1048" s="66"/>
      <c r="G1048" s="66"/>
      <c r="H1048" s="66"/>
      <c r="I1048" s="66"/>
      <c r="J1048" s="66"/>
      <c r="K1048" s="66"/>
      <c r="L1048" s="66"/>
      <c r="M1048" s="66"/>
      <c r="N1048" s="66"/>
      <c r="O1048" s="19"/>
      <c r="P1048" s="22"/>
      <c r="Q1048" s="22"/>
      <c r="R1048" s="22"/>
    </row>
    <row r="1049" hidden="1">
      <c r="A1049" s="93"/>
      <c r="B1049" s="66"/>
      <c r="C1049" s="66"/>
      <c r="D1049" s="66"/>
      <c r="E1049" s="66"/>
      <c r="F1049" s="66"/>
      <c r="G1049" s="66"/>
      <c r="H1049" s="66"/>
      <c r="I1049" s="66"/>
      <c r="J1049" s="66"/>
      <c r="K1049" s="66"/>
      <c r="L1049" s="66"/>
      <c r="M1049" s="66"/>
      <c r="N1049" s="66"/>
      <c r="O1049" s="19"/>
      <c r="P1049" s="22"/>
      <c r="Q1049" s="22"/>
      <c r="R1049" s="22"/>
    </row>
    <row r="1050" hidden="1">
      <c r="A1050" s="93"/>
      <c r="B1050" s="66"/>
      <c r="C1050" s="66"/>
      <c r="D1050" s="66"/>
      <c r="E1050" s="66"/>
      <c r="F1050" s="66"/>
      <c r="G1050" s="66"/>
      <c r="H1050" s="66"/>
      <c r="I1050" s="66"/>
      <c r="J1050" s="66"/>
      <c r="K1050" s="66"/>
      <c r="L1050" s="66"/>
      <c r="M1050" s="66"/>
      <c r="N1050" s="66"/>
      <c r="O1050" s="19"/>
      <c r="P1050" s="22"/>
      <c r="Q1050" s="22"/>
      <c r="R1050" s="22"/>
    </row>
    <row r="1051" hidden="1">
      <c r="A1051" s="93"/>
      <c r="B1051" s="66"/>
      <c r="C1051" s="66"/>
      <c r="D1051" s="66"/>
      <c r="E1051" s="66"/>
      <c r="F1051" s="66"/>
      <c r="G1051" s="66"/>
      <c r="H1051" s="66"/>
      <c r="I1051" s="66"/>
      <c r="J1051" s="66"/>
      <c r="K1051" s="66"/>
      <c r="L1051" s="66"/>
      <c r="M1051" s="66"/>
      <c r="N1051" s="66"/>
      <c r="O1051" s="19"/>
      <c r="P1051" s="22"/>
      <c r="Q1051" s="22"/>
      <c r="R1051" s="22"/>
    </row>
    <row r="1052" hidden="1">
      <c r="A1052" s="93"/>
      <c r="B1052" s="66"/>
      <c r="C1052" s="66"/>
      <c r="D1052" s="66"/>
      <c r="E1052" s="66"/>
      <c r="F1052" s="66"/>
      <c r="G1052" s="66"/>
      <c r="H1052" s="66"/>
      <c r="I1052" s="66"/>
      <c r="J1052" s="66"/>
      <c r="K1052" s="66"/>
      <c r="L1052" s="66"/>
      <c r="M1052" s="66"/>
      <c r="N1052" s="66"/>
      <c r="O1052" s="19"/>
      <c r="P1052" s="22"/>
      <c r="Q1052" s="22"/>
      <c r="R1052" s="22"/>
    </row>
    <row r="1053" hidden="1">
      <c r="A1053" s="93"/>
      <c r="B1053" s="66"/>
      <c r="C1053" s="66"/>
      <c r="D1053" s="66"/>
      <c r="E1053" s="66"/>
      <c r="F1053" s="66"/>
      <c r="G1053" s="66"/>
      <c r="H1053" s="66"/>
      <c r="I1053" s="66"/>
      <c r="J1053" s="66"/>
      <c r="K1053" s="66"/>
      <c r="L1053" s="66"/>
      <c r="M1053" s="66"/>
      <c r="N1053" s="66"/>
      <c r="O1053" s="19"/>
      <c r="P1053" s="22"/>
      <c r="Q1053" s="22"/>
      <c r="R1053" s="22"/>
    </row>
    <row r="1054" hidden="1">
      <c r="A1054" s="93"/>
      <c r="B1054" s="66"/>
      <c r="C1054" s="66"/>
      <c r="D1054" s="66"/>
      <c r="E1054" s="66"/>
      <c r="F1054" s="66"/>
      <c r="G1054" s="66"/>
      <c r="H1054" s="66"/>
      <c r="I1054" s="66"/>
      <c r="J1054" s="66"/>
      <c r="K1054" s="66"/>
      <c r="L1054" s="66"/>
      <c r="M1054" s="66"/>
      <c r="N1054" s="66"/>
      <c r="O1054" s="19"/>
      <c r="P1054" s="22"/>
      <c r="Q1054" s="22"/>
      <c r="R1054" s="22"/>
    </row>
    <row r="1055" hidden="1">
      <c r="A1055" s="93"/>
      <c r="B1055" s="66"/>
      <c r="C1055" s="66"/>
      <c r="D1055" s="66"/>
      <c r="E1055" s="66"/>
      <c r="F1055" s="66"/>
      <c r="G1055" s="66"/>
      <c r="H1055" s="66"/>
      <c r="I1055" s="66"/>
      <c r="J1055" s="66"/>
      <c r="K1055" s="66"/>
      <c r="L1055" s="66"/>
      <c r="M1055" s="66"/>
      <c r="N1055" s="66"/>
      <c r="O1055" s="19"/>
      <c r="P1055" s="22"/>
      <c r="Q1055" s="22"/>
      <c r="R1055" s="22"/>
    </row>
    <row r="1056" hidden="1">
      <c r="A1056" s="93"/>
      <c r="B1056" s="66"/>
      <c r="C1056" s="66"/>
      <c r="D1056" s="66"/>
      <c r="E1056" s="66"/>
      <c r="F1056" s="66"/>
      <c r="G1056" s="66"/>
      <c r="H1056" s="66"/>
      <c r="I1056" s="66"/>
      <c r="J1056" s="66"/>
      <c r="K1056" s="66"/>
      <c r="L1056" s="66"/>
      <c r="M1056" s="66"/>
      <c r="N1056" s="66"/>
      <c r="O1056" s="19"/>
      <c r="P1056" s="22"/>
      <c r="Q1056" s="22"/>
      <c r="R1056" s="22"/>
    </row>
    <row r="1057" hidden="1">
      <c r="A1057" s="93"/>
      <c r="B1057" s="66"/>
      <c r="C1057" s="66"/>
      <c r="D1057" s="66"/>
      <c r="E1057" s="66"/>
      <c r="F1057" s="66"/>
      <c r="G1057" s="66"/>
      <c r="H1057" s="66"/>
      <c r="I1057" s="66"/>
      <c r="J1057" s="66"/>
      <c r="K1057" s="66"/>
      <c r="L1057" s="66"/>
      <c r="M1057" s="66"/>
      <c r="N1057" s="66"/>
      <c r="O1057" s="19"/>
      <c r="P1057" s="22"/>
      <c r="Q1057" s="22"/>
      <c r="R1057" s="22"/>
    </row>
    <row r="1058" hidden="1">
      <c r="A1058" s="93"/>
      <c r="B1058" s="66"/>
      <c r="C1058" s="66"/>
      <c r="D1058" s="66"/>
      <c r="E1058" s="66"/>
      <c r="F1058" s="66"/>
      <c r="G1058" s="66"/>
      <c r="H1058" s="66"/>
      <c r="I1058" s="66"/>
      <c r="J1058" s="66"/>
      <c r="K1058" s="66"/>
      <c r="L1058" s="66"/>
      <c r="M1058" s="66"/>
      <c r="N1058" s="66"/>
      <c r="O1058" s="19"/>
      <c r="P1058" s="22"/>
      <c r="Q1058" s="22"/>
      <c r="R1058" s="22"/>
    </row>
    <row r="1059" hidden="1">
      <c r="A1059" s="93"/>
      <c r="B1059" s="66"/>
      <c r="C1059" s="66"/>
      <c r="D1059" s="66"/>
      <c r="E1059" s="66"/>
      <c r="F1059" s="66"/>
      <c r="G1059" s="66"/>
      <c r="H1059" s="66"/>
      <c r="I1059" s="66"/>
      <c r="J1059" s="66"/>
      <c r="K1059" s="66"/>
      <c r="L1059" s="66"/>
      <c r="M1059" s="66"/>
      <c r="N1059" s="66"/>
      <c r="O1059" s="19"/>
      <c r="P1059" s="22"/>
      <c r="Q1059" s="22"/>
      <c r="R1059" s="22"/>
    </row>
    <row r="1060" hidden="1">
      <c r="A1060" s="93"/>
      <c r="B1060" s="66"/>
      <c r="C1060" s="66"/>
      <c r="D1060" s="66"/>
      <c r="E1060" s="66"/>
      <c r="F1060" s="66"/>
      <c r="G1060" s="66"/>
      <c r="H1060" s="66"/>
      <c r="I1060" s="66"/>
      <c r="J1060" s="66"/>
      <c r="K1060" s="66"/>
      <c r="L1060" s="66"/>
      <c r="M1060" s="66"/>
      <c r="N1060" s="66"/>
      <c r="O1060" s="19"/>
      <c r="P1060" s="22"/>
      <c r="Q1060" s="22"/>
      <c r="R1060" s="22"/>
    </row>
    <row r="1061" hidden="1">
      <c r="A1061" s="93"/>
      <c r="B1061" s="66"/>
      <c r="C1061" s="66"/>
      <c r="D1061" s="66"/>
      <c r="E1061" s="66"/>
      <c r="F1061" s="66"/>
      <c r="G1061" s="66"/>
      <c r="H1061" s="66"/>
      <c r="I1061" s="66"/>
      <c r="J1061" s="66"/>
      <c r="K1061" s="66"/>
      <c r="L1061" s="66"/>
      <c r="M1061" s="66"/>
      <c r="N1061" s="66"/>
      <c r="O1061" s="19"/>
      <c r="P1061" s="22"/>
      <c r="Q1061" s="22"/>
      <c r="R1061" s="22"/>
    </row>
    <row r="1062" hidden="1">
      <c r="A1062" s="93"/>
      <c r="B1062" s="66"/>
      <c r="C1062" s="66"/>
      <c r="D1062" s="66"/>
      <c r="E1062" s="66"/>
      <c r="F1062" s="66"/>
      <c r="G1062" s="66"/>
      <c r="H1062" s="66"/>
      <c r="I1062" s="66"/>
      <c r="J1062" s="66"/>
      <c r="K1062" s="66"/>
      <c r="L1062" s="66"/>
      <c r="M1062" s="66"/>
      <c r="N1062" s="66"/>
      <c r="O1062" s="19"/>
      <c r="P1062" s="22"/>
      <c r="Q1062" s="22"/>
      <c r="R1062" s="22"/>
    </row>
    <row r="1063" hidden="1">
      <c r="A1063" s="93"/>
      <c r="B1063" s="66"/>
      <c r="C1063" s="66"/>
      <c r="D1063" s="66"/>
      <c r="E1063" s="66"/>
      <c r="F1063" s="66"/>
      <c r="G1063" s="66"/>
      <c r="H1063" s="66"/>
      <c r="I1063" s="66"/>
      <c r="J1063" s="66"/>
      <c r="K1063" s="66"/>
      <c r="L1063" s="66"/>
      <c r="M1063" s="66"/>
      <c r="N1063" s="66"/>
      <c r="O1063" s="19"/>
      <c r="P1063" s="22"/>
      <c r="Q1063" s="22"/>
      <c r="R1063" s="22"/>
    </row>
    <row r="1064" hidden="1">
      <c r="A1064" s="93"/>
      <c r="B1064" s="66"/>
      <c r="C1064" s="66"/>
      <c r="D1064" s="66"/>
      <c r="E1064" s="66"/>
      <c r="F1064" s="66"/>
      <c r="G1064" s="66"/>
      <c r="H1064" s="66"/>
      <c r="I1064" s="66"/>
      <c r="J1064" s="66"/>
      <c r="K1064" s="66"/>
      <c r="L1064" s="66"/>
      <c r="M1064" s="66"/>
      <c r="N1064" s="66"/>
      <c r="O1064" s="19"/>
      <c r="P1064" s="22"/>
      <c r="Q1064" s="22"/>
      <c r="R1064" s="22"/>
    </row>
    <row r="1065" hidden="1">
      <c r="A1065" s="93"/>
      <c r="B1065" s="66"/>
      <c r="C1065" s="66"/>
      <c r="D1065" s="66"/>
      <c r="E1065" s="66"/>
      <c r="F1065" s="66"/>
      <c r="G1065" s="66"/>
      <c r="H1065" s="66"/>
      <c r="I1065" s="66"/>
      <c r="J1065" s="66"/>
      <c r="K1065" s="66"/>
      <c r="L1065" s="66"/>
      <c r="M1065" s="66"/>
      <c r="N1065" s="66"/>
      <c r="O1065" s="19"/>
      <c r="P1065" s="22"/>
      <c r="Q1065" s="22"/>
      <c r="R1065" s="22"/>
    </row>
    <row r="1066" hidden="1">
      <c r="A1066" s="93"/>
      <c r="B1066" s="66"/>
      <c r="C1066" s="66"/>
      <c r="D1066" s="66"/>
      <c r="E1066" s="66"/>
      <c r="F1066" s="66"/>
      <c r="G1066" s="66"/>
      <c r="H1066" s="66"/>
      <c r="I1066" s="66"/>
      <c r="J1066" s="66"/>
      <c r="K1066" s="66"/>
      <c r="L1066" s="66"/>
      <c r="M1066" s="66"/>
      <c r="N1066" s="66"/>
      <c r="O1066" s="19"/>
      <c r="P1066" s="22"/>
      <c r="Q1066" s="22"/>
      <c r="R1066" s="22"/>
    </row>
    <row r="1067" hidden="1">
      <c r="A1067" s="93"/>
      <c r="B1067" s="66"/>
      <c r="C1067" s="66"/>
      <c r="D1067" s="66"/>
      <c r="E1067" s="66"/>
      <c r="F1067" s="66"/>
      <c r="G1067" s="66"/>
      <c r="H1067" s="66"/>
      <c r="I1067" s="66"/>
      <c r="J1067" s="66"/>
      <c r="K1067" s="66"/>
      <c r="L1067" s="66"/>
      <c r="M1067" s="66"/>
      <c r="N1067" s="66"/>
      <c r="O1067" s="19"/>
      <c r="P1067" s="22"/>
      <c r="Q1067" s="22"/>
      <c r="R1067" s="22"/>
    </row>
    <row r="1068" hidden="1">
      <c r="A1068" s="93"/>
      <c r="B1068" s="66"/>
      <c r="C1068" s="66"/>
      <c r="D1068" s="66"/>
      <c r="E1068" s="66"/>
      <c r="F1068" s="66"/>
      <c r="G1068" s="66"/>
      <c r="H1068" s="66"/>
      <c r="I1068" s="66"/>
      <c r="J1068" s="66"/>
      <c r="K1068" s="66"/>
      <c r="L1068" s="66"/>
      <c r="M1068" s="66"/>
      <c r="N1068" s="66"/>
      <c r="O1068" s="19"/>
      <c r="P1068" s="22"/>
      <c r="Q1068" s="22"/>
      <c r="R1068" s="22"/>
    </row>
    <row r="1069" hidden="1">
      <c r="A1069" s="93"/>
      <c r="B1069" s="66"/>
      <c r="C1069" s="66"/>
      <c r="D1069" s="66"/>
      <c r="E1069" s="66"/>
      <c r="F1069" s="66"/>
      <c r="G1069" s="66"/>
      <c r="H1069" s="66"/>
      <c r="I1069" s="66"/>
      <c r="J1069" s="66"/>
      <c r="K1069" s="66"/>
      <c r="L1069" s="66"/>
      <c r="M1069" s="66"/>
      <c r="N1069" s="66"/>
      <c r="O1069" s="19"/>
      <c r="P1069" s="22"/>
      <c r="Q1069" s="22"/>
      <c r="R1069" s="22"/>
    </row>
    <row r="1070" hidden="1">
      <c r="A1070" s="93"/>
      <c r="B1070" s="66"/>
      <c r="C1070" s="66"/>
      <c r="D1070" s="66"/>
      <c r="E1070" s="66"/>
      <c r="F1070" s="66"/>
      <c r="G1070" s="66"/>
      <c r="H1070" s="66"/>
      <c r="I1070" s="66"/>
      <c r="J1070" s="66"/>
      <c r="K1070" s="66"/>
      <c r="L1070" s="66"/>
      <c r="M1070" s="66"/>
      <c r="N1070" s="66"/>
      <c r="O1070" s="19"/>
      <c r="P1070" s="22"/>
      <c r="Q1070" s="22"/>
      <c r="R1070" s="22"/>
    </row>
    <row r="1071" hidden="1">
      <c r="A1071" s="93"/>
      <c r="B1071" s="66"/>
      <c r="C1071" s="66"/>
      <c r="D1071" s="66"/>
      <c r="E1071" s="66"/>
      <c r="F1071" s="66"/>
      <c r="G1071" s="66"/>
      <c r="H1071" s="66"/>
      <c r="I1071" s="66"/>
      <c r="J1071" s="66"/>
      <c r="K1071" s="66"/>
      <c r="L1071" s="66"/>
      <c r="M1071" s="66"/>
      <c r="N1071" s="66"/>
      <c r="O1071" s="19"/>
      <c r="P1071" s="22"/>
      <c r="Q1071" s="22"/>
      <c r="R1071" s="22"/>
    </row>
    <row r="1072" hidden="1">
      <c r="A1072" s="93"/>
      <c r="B1072" s="66"/>
      <c r="C1072" s="66"/>
      <c r="D1072" s="66"/>
      <c r="E1072" s="66"/>
      <c r="F1072" s="66"/>
      <c r="G1072" s="66"/>
      <c r="H1072" s="66"/>
      <c r="I1072" s="66"/>
      <c r="J1072" s="66"/>
      <c r="K1072" s="66"/>
      <c r="L1072" s="66"/>
      <c r="M1072" s="66"/>
      <c r="N1072" s="66"/>
      <c r="O1072" s="19"/>
      <c r="P1072" s="22"/>
      <c r="Q1072" s="22"/>
      <c r="R1072" s="22"/>
    </row>
    <row r="1073" hidden="1">
      <c r="A1073" s="93"/>
      <c r="B1073" s="66"/>
      <c r="C1073" s="66"/>
      <c r="D1073" s="66"/>
      <c r="E1073" s="66"/>
      <c r="F1073" s="66"/>
      <c r="G1073" s="66"/>
      <c r="H1073" s="66"/>
      <c r="I1073" s="66"/>
      <c r="J1073" s="66"/>
      <c r="K1073" s="66"/>
      <c r="L1073" s="66"/>
      <c r="M1073" s="66"/>
      <c r="N1073" s="66"/>
      <c r="O1073" s="19"/>
      <c r="P1073" s="22"/>
      <c r="Q1073" s="22"/>
      <c r="R1073" s="22"/>
    </row>
    <row r="1074" hidden="1">
      <c r="A1074" s="93"/>
      <c r="B1074" s="66"/>
      <c r="C1074" s="66"/>
      <c r="D1074" s="66"/>
      <c r="E1074" s="66"/>
      <c r="F1074" s="66"/>
      <c r="G1074" s="66"/>
      <c r="H1074" s="66"/>
      <c r="I1074" s="66"/>
      <c r="J1074" s="66"/>
      <c r="K1074" s="66"/>
      <c r="L1074" s="66"/>
      <c r="M1074" s="66"/>
      <c r="N1074" s="66"/>
      <c r="O1074" s="19"/>
      <c r="P1074" s="22"/>
      <c r="Q1074" s="22"/>
      <c r="R1074" s="22"/>
    </row>
    <row r="1075" hidden="1">
      <c r="A1075" s="93"/>
      <c r="B1075" s="66"/>
      <c r="C1075" s="66"/>
      <c r="D1075" s="66"/>
      <c r="E1075" s="66"/>
      <c r="F1075" s="66"/>
      <c r="G1075" s="66"/>
      <c r="H1075" s="66"/>
      <c r="I1075" s="66"/>
      <c r="J1075" s="66"/>
      <c r="K1075" s="66"/>
      <c r="L1075" s="66"/>
      <c r="M1075" s="66"/>
      <c r="N1075" s="66"/>
      <c r="O1075" s="19"/>
      <c r="P1075" s="22"/>
      <c r="Q1075" s="22"/>
      <c r="R1075" s="22"/>
    </row>
    <row r="1076" hidden="1">
      <c r="A1076" s="93"/>
      <c r="B1076" s="66"/>
      <c r="C1076" s="66"/>
      <c r="D1076" s="66"/>
      <c r="E1076" s="66"/>
      <c r="F1076" s="66"/>
      <c r="G1076" s="66"/>
      <c r="H1076" s="66"/>
      <c r="I1076" s="66"/>
      <c r="J1076" s="66"/>
      <c r="K1076" s="66"/>
      <c r="L1076" s="66"/>
      <c r="M1076" s="66"/>
      <c r="N1076" s="66"/>
      <c r="O1076" s="19"/>
      <c r="P1076" s="22"/>
      <c r="Q1076" s="22"/>
      <c r="R1076" s="22"/>
    </row>
    <row r="1077" hidden="1">
      <c r="A1077" s="93"/>
      <c r="B1077" s="66"/>
      <c r="C1077" s="66"/>
      <c r="D1077" s="66"/>
      <c r="E1077" s="66"/>
      <c r="F1077" s="66"/>
      <c r="G1077" s="66"/>
      <c r="H1077" s="66"/>
      <c r="I1077" s="66"/>
      <c r="J1077" s="66"/>
      <c r="K1077" s="66"/>
      <c r="L1077" s="66"/>
      <c r="M1077" s="66"/>
      <c r="N1077" s="66"/>
      <c r="O1077" s="19"/>
      <c r="P1077" s="22"/>
      <c r="Q1077" s="22"/>
      <c r="R1077" s="22"/>
    </row>
    <row r="1078" hidden="1">
      <c r="A1078" s="93"/>
      <c r="B1078" s="66"/>
      <c r="C1078" s="66"/>
      <c r="D1078" s="66"/>
      <c r="E1078" s="66"/>
      <c r="F1078" s="66"/>
      <c r="G1078" s="66"/>
      <c r="H1078" s="66"/>
      <c r="I1078" s="66"/>
      <c r="J1078" s="66"/>
      <c r="K1078" s="66"/>
      <c r="L1078" s="66"/>
      <c r="M1078" s="66"/>
      <c r="N1078" s="66"/>
      <c r="O1078" s="19"/>
      <c r="P1078" s="22"/>
      <c r="Q1078" s="22"/>
      <c r="R1078" s="22"/>
    </row>
    <row r="1079" hidden="1">
      <c r="A1079" s="93"/>
      <c r="B1079" s="66"/>
      <c r="C1079" s="66"/>
      <c r="D1079" s="66"/>
      <c r="E1079" s="66"/>
      <c r="F1079" s="66"/>
      <c r="G1079" s="66"/>
      <c r="H1079" s="66"/>
      <c r="I1079" s="66"/>
      <c r="J1079" s="66"/>
      <c r="K1079" s="66"/>
      <c r="L1079" s="66"/>
      <c r="M1079" s="66"/>
      <c r="N1079" s="66"/>
      <c r="O1079" s="19"/>
      <c r="P1079" s="22"/>
      <c r="Q1079" s="22"/>
      <c r="R1079" s="22"/>
    </row>
    <row r="1080" hidden="1">
      <c r="A1080" s="93"/>
      <c r="B1080" s="66"/>
      <c r="C1080" s="66"/>
      <c r="D1080" s="66"/>
      <c r="E1080" s="66"/>
      <c r="F1080" s="66"/>
      <c r="G1080" s="66"/>
      <c r="H1080" s="66"/>
      <c r="I1080" s="66"/>
      <c r="J1080" s="66"/>
      <c r="K1080" s="66"/>
      <c r="L1080" s="66"/>
      <c r="M1080" s="66"/>
      <c r="N1080" s="66"/>
      <c r="O1080" s="19"/>
      <c r="P1080" s="22"/>
      <c r="Q1080" s="22"/>
      <c r="R1080" s="22"/>
    </row>
    <row r="1081" hidden="1">
      <c r="A1081" s="93"/>
      <c r="B1081" s="48"/>
      <c r="C1081" s="48"/>
      <c r="D1081" s="48"/>
      <c r="E1081" s="48"/>
      <c r="F1081" s="48"/>
      <c r="G1081" s="48"/>
      <c r="H1081" s="48"/>
      <c r="I1081" s="48"/>
      <c r="J1081" s="48"/>
      <c r="K1081" s="66"/>
      <c r="L1081" s="66"/>
      <c r="M1081" s="66"/>
      <c r="N1081" s="66"/>
      <c r="O1081" s="19"/>
      <c r="P1081" s="22"/>
      <c r="Q1081" s="22"/>
      <c r="R1081" s="22"/>
    </row>
    <row r="1082" hidden="1">
      <c r="A1082" s="93"/>
      <c r="B1082" s="48"/>
      <c r="C1082" s="48"/>
      <c r="D1082" s="48"/>
      <c r="E1082" s="48"/>
      <c r="F1082" s="48"/>
      <c r="G1082" s="48"/>
      <c r="H1082" s="48"/>
      <c r="I1082" s="48"/>
      <c r="J1082" s="48"/>
      <c r="K1082" s="66"/>
      <c r="L1082" s="66"/>
      <c r="M1082" s="66"/>
      <c r="N1082" s="66"/>
      <c r="O1082" s="19"/>
      <c r="P1082" s="22"/>
      <c r="Q1082" s="22"/>
      <c r="R1082" s="22"/>
    </row>
    <row r="1083" hidden="1">
      <c r="A1083" s="93"/>
      <c r="B1083" s="48"/>
      <c r="C1083" s="48"/>
      <c r="D1083" s="48"/>
      <c r="E1083" s="48"/>
      <c r="F1083" s="48"/>
      <c r="G1083" s="48"/>
      <c r="H1083" s="48"/>
      <c r="I1083" s="48"/>
      <c r="J1083" s="48"/>
      <c r="K1083" s="66"/>
      <c r="L1083" s="66"/>
      <c r="M1083" s="66"/>
      <c r="N1083" s="66"/>
      <c r="O1083" s="19"/>
      <c r="P1083" s="22"/>
      <c r="Q1083" s="22"/>
      <c r="R1083" s="22"/>
    </row>
  </sheetData>
  <mergeCells count="207">
    <mergeCell ref="L5:L7"/>
    <mergeCell ref="M5:M7"/>
    <mergeCell ref="N5:N7"/>
    <mergeCell ref="E8:E10"/>
    <mergeCell ref="F8:F10"/>
    <mergeCell ref="E11:E13"/>
    <mergeCell ref="F11:F13"/>
    <mergeCell ref="F14:F16"/>
    <mergeCell ref="G14:G16"/>
    <mergeCell ref="G17:G19"/>
    <mergeCell ref="L8:L10"/>
    <mergeCell ref="M8:M10"/>
    <mergeCell ref="N8:N10"/>
    <mergeCell ref="P11:Q11"/>
    <mergeCell ref="B5:B7"/>
    <mergeCell ref="E5:E7"/>
    <mergeCell ref="G5:G7"/>
    <mergeCell ref="H5:H7"/>
    <mergeCell ref="I5:I7"/>
    <mergeCell ref="K5:K7"/>
    <mergeCell ref="B8:B10"/>
    <mergeCell ref="H8:H10"/>
    <mergeCell ref="I8:I10"/>
    <mergeCell ref="H11:H13"/>
    <mergeCell ref="K11:K13"/>
    <mergeCell ref="L11:L13"/>
    <mergeCell ref="M11:M13"/>
    <mergeCell ref="N11:N13"/>
    <mergeCell ref="L17:L19"/>
    <mergeCell ref="M17:M19"/>
    <mergeCell ref="I20:I22"/>
    <mergeCell ref="J20:J22"/>
    <mergeCell ref="K20:K22"/>
    <mergeCell ref="L20:L22"/>
    <mergeCell ref="M20:M22"/>
    <mergeCell ref="N20:N22"/>
    <mergeCell ref="J11:J13"/>
    <mergeCell ref="J14:J16"/>
    <mergeCell ref="K14:K16"/>
    <mergeCell ref="L14:L16"/>
    <mergeCell ref="M14:M16"/>
    <mergeCell ref="N14:N16"/>
    <mergeCell ref="J17:J19"/>
    <mergeCell ref="N17:N19"/>
    <mergeCell ref="D23:D25"/>
    <mergeCell ref="D26:D28"/>
    <mergeCell ref="E26:E28"/>
    <mergeCell ref="H26:H28"/>
    <mergeCell ref="I26:I28"/>
    <mergeCell ref="J26:J28"/>
    <mergeCell ref="K26:K28"/>
    <mergeCell ref="D29:D31"/>
    <mergeCell ref="E29:E31"/>
    <mergeCell ref="D32:D34"/>
    <mergeCell ref="E32:E34"/>
    <mergeCell ref="G32:G34"/>
    <mergeCell ref="I32:I34"/>
    <mergeCell ref="J32:J34"/>
    <mergeCell ref="M35:M37"/>
    <mergeCell ref="N35:N37"/>
    <mergeCell ref="D35:D37"/>
    <mergeCell ref="E35:E37"/>
    <mergeCell ref="F35:F37"/>
    <mergeCell ref="G35:G37"/>
    <mergeCell ref="J35:J37"/>
    <mergeCell ref="K35:K37"/>
    <mergeCell ref="L35:L37"/>
    <mergeCell ref="G38:G40"/>
    <mergeCell ref="G41:G43"/>
    <mergeCell ref="J38:J40"/>
    <mergeCell ref="J41:J43"/>
    <mergeCell ref="K41:K43"/>
    <mergeCell ref="L41:L43"/>
    <mergeCell ref="D38:D40"/>
    <mergeCell ref="E38:E40"/>
    <mergeCell ref="H38:H40"/>
    <mergeCell ref="K38:K40"/>
    <mergeCell ref="L38:L40"/>
    <mergeCell ref="D41:D43"/>
    <mergeCell ref="H41:H43"/>
    <mergeCell ref="K23:K25"/>
    <mergeCell ref="L23:L25"/>
    <mergeCell ref="M23:M25"/>
    <mergeCell ref="N23:N25"/>
    <mergeCell ref="B17:B19"/>
    <mergeCell ref="B20:B22"/>
    <mergeCell ref="F20:F22"/>
    <mergeCell ref="E23:E25"/>
    <mergeCell ref="G23:G25"/>
    <mergeCell ref="H23:H25"/>
    <mergeCell ref="I23:I25"/>
    <mergeCell ref="D5:D7"/>
    <mergeCell ref="D8:D10"/>
    <mergeCell ref="B11:B13"/>
    <mergeCell ref="D11:D13"/>
    <mergeCell ref="D14:D16"/>
    <mergeCell ref="D17:D19"/>
    <mergeCell ref="D20:D22"/>
    <mergeCell ref="L26:L28"/>
    <mergeCell ref="M26:M28"/>
    <mergeCell ref="N26:N28"/>
    <mergeCell ref="L29:L31"/>
    <mergeCell ref="M29:M31"/>
    <mergeCell ref="N29:N31"/>
    <mergeCell ref="K32:K34"/>
    <mergeCell ref="L32:L34"/>
    <mergeCell ref="M32:M34"/>
    <mergeCell ref="N32:N34"/>
    <mergeCell ref="M38:M40"/>
    <mergeCell ref="N38:N40"/>
    <mergeCell ref="M41:M43"/>
    <mergeCell ref="N41:N43"/>
    <mergeCell ref="B14:B16"/>
    <mergeCell ref="B23:B25"/>
    <mergeCell ref="B26:B28"/>
    <mergeCell ref="B29:B31"/>
    <mergeCell ref="B32:B34"/>
    <mergeCell ref="B35:B37"/>
    <mergeCell ref="B38:B40"/>
    <mergeCell ref="I44:I46"/>
    <mergeCell ref="J44:J46"/>
    <mergeCell ref="K44:K46"/>
    <mergeCell ref="L44:L46"/>
    <mergeCell ref="M44:M46"/>
    <mergeCell ref="N44:N46"/>
    <mergeCell ref="D44:D46"/>
    <mergeCell ref="D47:D49"/>
    <mergeCell ref="E47:E49"/>
    <mergeCell ref="F47:F49"/>
    <mergeCell ref="G47:G49"/>
    <mergeCell ref="H47:H49"/>
    <mergeCell ref="J47:J49"/>
    <mergeCell ref="K47:K49"/>
    <mergeCell ref="L47:L49"/>
    <mergeCell ref="M47:M49"/>
    <mergeCell ref="N47:N49"/>
    <mergeCell ref="B41:B43"/>
    <mergeCell ref="B44:B46"/>
    <mergeCell ref="E44:E46"/>
    <mergeCell ref="F44:F46"/>
    <mergeCell ref="G44:G46"/>
    <mergeCell ref="H44:H46"/>
    <mergeCell ref="B47:B49"/>
    <mergeCell ref="L50:L52"/>
    <mergeCell ref="M50:M52"/>
    <mergeCell ref="N50:N52"/>
    <mergeCell ref="L53:L55"/>
    <mergeCell ref="M53:M55"/>
    <mergeCell ref="N53:N55"/>
    <mergeCell ref="D50:D52"/>
    <mergeCell ref="D53:D55"/>
    <mergeCell ref="L65:L67"/>
    <mergeCell ref="M65:M67"/>
    <mergeCell ref="N65:N67"/>
    <mergeCell ref="D65:D67"/>
    <mergeCell ref="D68:D70"/>
    <mergeCell ref="B71:B73"/>
    <mergeCell ref="D71:D73"/>
    <mergeCell ref="L68:L70"/>
    <mergeCell ref="M68:M70"/>
    <mergeCell ref="N68:N70"/>
    <mergeCell ref="K65:K67"/>
    <mergeCell ref="K71:K73"/>
    <mergeCell ref="L71:L73"/>
    <mergeCell ref="M71:M73"/>
    <mergeCell ref="N71:N73"/>
    <mergeCell ref="B65:B67"/>
    <mergeCell ref="E65:E67"/>
    <mergeCell ref="F65:F67"/>
    <mergeCell ref="G65:G67"/>
    <mergeCell ref="J65:J67"/>
    <mergeCell ref="B68:B70"/>
    <mergeCell ref="H71:H73"/>
    <mergeCell ref="F53:F55"/>
    <mergeCell ref="G53:G55"/>
    <mergeCell ref="B50:B52"/>
    <mergeCell ref="F50:F52"/>
    <mergeCell ref="G50:G52"/>
    <mergeCell ref="I50:I52"/>
    <mergeCell ref="J50:J52"/>
    <mergeCell ref="K50:K52"/>
    <mergeCell ref="B53:B55"/>
    <mergeCell ref="K59:K61"/>
    <mergeCell ref="L59:L61"/>
    <mergeCell ref="M59:M61"/>
    <mergeCell ref="N59:N61"/>
    <mergeCell ref="J53:J55"/>
    <mergeCell ref="K53:K55"/>
    <mergeCell ref="J56:J58"/>
    <mergeCell ref="L56:L58"/>
    <mergeCell ref="M56:M58"/>
    <mergeCell ref="N56:N58"/>
    <mergeCell ref="J59:J61"/>
    <mergeCell ref="D62:D64"/>
    <mergeCell ref="G62:G64"/>
    <mergeCell ref="J62:J64"/>
    <mergeCell ref="K62:K64"/>
    <mergeCell ref="L62:L64"/>
    <mergeCell ref="M62:M64"/>
    <mergeCell ref="N62:N64"/>
    <mergeCell ref="B56:B58"/>
    <mergeCell ref="D56:D58"/>
    <mergeCell ref="B59:B61"/>
    <mergeCell ref="D59:D61"/>
    <mergeCell ref="E59:E61"/>
    <mergeCell ref="F59:F61"/>
    <mergeCell ref="B62:B64"/>
  </mergeCells>
  <conditionalFormatting sqref="A3:R1083">
    <cfRule type="expression" dxfId="0" priority="1">
      <formula>($B3&lt;&gt;"")*($D3="")</formula>
    </cfRule>
  </conditionalFormatting>
  <conditionalFormatting sqref="N1:N73 E5:K73 O17:O22 N75:N80 L78:L80 I81:J81 N83:N1083 J85:J1083">
    <cfRule type="cellIs" dxfId="1" priority="2" operator="lessThan">
      <formula>0</formula>
    </cfRule>
  </conditionalFormatting>
  <conditionalFormatting sqref="N5:N73">
    <cfRule type="cellIs" dxfId="2" priority="3" operator="greaterThanOrEqual">
      <formula>0</formula>
    </cfRule>
  </conditionalFormatting>
  <hyperlinks>
    <hyperlink r:id="rId1" location="gid=1619821413" ref="B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.13"/>
    <col customWidth="1" min="2" max="2" width="28.0"/>
    <col customWidth="1" min="3" max="3" width="5.75"/>
    <col customWidth="1" min="5" max="5" width="24.5"/>
    <col customWidth="1" min="6" max="6" width="25.0"/>
    <col customWidth="1" min="7" max="7" width="29.38"/>
    <col customWidth="1" min="8" max="8" width="27.63"/>
    <col customWidth="1" min="9" max="9" width="28.0"/>
    <col customWidth="1" min="10" max="10" width="28.75"/>
    <col customWidth="1" min="11" max="11" width="24.5"/>
    <col customWidth="1" min="12" max="12" width="20.25"/>
    <col customWidth="1" min="13" max="13" width="10.5"/>
    <col customWidth="1" min="14" max="14" width="15.88"/>
    <col customWidth="1" min="15" max="18" width="28.25"/>
  </cols>
  <sheetData>
    <row r="1">
      <c r="A1" s="1"/>
      <c r="B1" s="2" t="s">
        <v>0</v>
      </c>
      <c r="C1" s="3"/>
      <c r="D1" s="4"/>
      <c r="E1" s="4"/>
      <c r="F1" s="4"/>
      <c r="G1" s="4"/>
      <c r="H1" s="4"/>
      <c r="I1" s="4"/>
      <c r="J1" s="4"/>
      <c r="K1" s="4"/>
      <c r="L1" s="4"/>
      <c r="M1" s="5"/>
      <c r="N1" s="6"/>
      <c r="O1" s="4"/>
      <c r="P1" s="4"/>
      <c r="Q1" s="4"/>
      <c r="R1" s="4"/>
    </row>
    <row r="2">
      <c r="A2" s="4"/>
      <c r="B2" s="7" t="s">
        <v>1</v>
      </c>
      <c r="C2" s="7"/>
      <c r="D2" s="7" t="s">
        <v>2</v>
      </c>
      <c r="E2" s="8">
        <v>46146.0</v>
      </c>
      <c r="F2" s="8">
        <f t="shared" ref="F2:K2" si="1">E2+1</f>
        <v>46147</v>
      </c>
      <c r="G2" s="8">
        <f t="shared" si="1"/>
        <v>46148</v>
      </c>
      <c r="H2" s="8">
        <f t="shared" si="1"/>
        <v>46149</v>
      </c>
      <c r="I2" s="8">
        <f t="shared" si="1"/>
        <v>46150</v>
      </c>
      <c r="J2" s="8">
        <f t="shared" si="1"/>
        <v>46151</v>
      </c>
      <c r="K2" s="8">
        <f t="shared" si="1"/>
        <v>46152</v>
      </c>
      <c r="L2" s="7"/>
      <c r="M2" s="9" t="s">
        <v>3</v>
      </c>
      <c r="N2" s="10" t="s">
        <v>4</v>
      </c>
      <c r="O2" s="11" t="s">
        <v>5</v>
      </c>
      <c r="P2" s="11"/>
      <c r="Q2" s="11"/>
      <c r="R2" s="11"/>
    </row>
    <row r="3" ht="15.0" customHeight="1">
      <c r="A3" s="12"/>
      <c r="B3" s="13" t="s">
        <v>6</v>
      </c>
      <c r="C3" s="13"/>
      <c r="D3" s="14"/>
      <c r="E3" s="15" t="s">
        <v>7</v>
      </c>
      <c r="F3" s="15" t="s">
        <v>8</v>
      </c>
      <c r="G3" s="15" t="s">
        <v>9</v>
      </c>
      <c r="H3" s="15" t="s">
        <v>10</v>
      </c>
      <c r="I3" s="15" t="s">
        <v>11</v>
      </c>
      <c r="J3" s="15" t="s">
        <v>12</v>
      </c>
      <c r="K3" s="15" t="s">
        <v>13</v>
      </c>
      <c r="L3" s="14"/>
      <c r="M3" s="16"/>
      <c r="N3" s="16"/>
      <c r="O3" s="12"/>
      <c r="P3" s="12"/>
      <c r="Q3" s="12"/>
      <c r="R3" s="12"/>
    </row>
    <row r="4">
      <c r="A4" s="12"/>
      <c r="B4" s="17"/>
      <c r="C4" s="17"/>
      <c r="D4" s="18"/>
      <c r="E4" s="19"/>
      <c r="F4" s="19"/>
      <c r="G4" s="19"/>
      <c r="H4" s="19"/>
      <c r="I4" s="108" t="s">
        <v>14</v>
      </c>
      <c r="J4" s="108"/>
      <c r="K4" s="108"/>
      <c r="L4" s="21"/>
      <c r="M4" s="19"/>
      <c r="N4" s="19"/>
      <c r="O4" s="21"/>
      <c r="P4" s="22"/>
      <c r="Q4" s="22"/>
      <c r="R4" s="22"/>
    </row>
    <row r="5">
      <c r="A5" s="12"/>
      <c r="B5" s="23" t="s">
        <v>15</v>
      </c>
      <c r="C5" s="24" t="s">
        <v>16</v>
      </c>
      <c r="D5" s="96" t="s">
        <v>17</v>
      </c>
      <c r="E5" s="132" t="s">
        <v>88</v>
      </c>
      <c r="F5" s="121" t="s">
        <v>88</v>
      </c>
      <c r="G5" s="121" t="s">
        <v>88</v>
      </c>
      <c r="H5" s="121" t="s">
        <v>88</v>
      </c>
      <c r="I5" s="121" t="s">
        <v>71</v>
      </c>
      <c r="J5" s="121" t="s">
        <v>71</v>
      </c>
      <c r="K5" s="121" t="s">
        <v>71</v>
      </c>
      <c r="L5" s="29" t="b">
        <v>0</v>
      </c>
      <c r="M5" s="30">
        <f>SUM(E5:L5)</f>
        <v>0</v>
      </c>
      <c r="N5" s="31">
        <f>M5-8000</f>
        <v>-8000</v>
      </c>
      <c r="O5" s="32"/>
      <c r="P5" s="33"/>
      <c r="Q5" s="34"/>
      <c r="R5" s="34"/>
    </row>
    <row r="6">
      <c r="A6" s="12"/>
      <c r="B6" s="35"/>
      <c r="C6" s="24" t="s">
        <v>5</v>
      </c>
      <c r="E6" s="99"/>
      <c r="N6" s="36"/>
      <c r="O6" s="38">
        <f>SUM(E6:K6)</f>
        <v>0</v>
      </c>
      <c r="P6" s="33"/>
      <c r="Q6" s="34"/>
      <c r="R6" s="34"/>
    </row>
    <row r="7">
      <c r="A7" s="12"/>
      <c r="B7" s="39"/>
      <c r="C7" s="24" t="s">
        <v>20</v>
      </c>
      <c r="D7" s="41"/>
      <c r="E7" s="100"/>
      <c r="F7" s="41"/>
      <c r="I7" s="41"/>
      <c r="J7" s="41"/>
      <c r="K7" s="41"/>
      <c r="L7" s="41"/>
      <c r="M7" s="41"/>
      <c r="N7" s="40"/>
      <c r="O7" s="43" t="str">
        <f>M5/O6</f>
        <v>#DIV/0!</v>
      </c>
      <c r="P7" s="33"/>
      <c r="Q7" s="34"/>
      <c r="R7" s="34"/>
    </row>
    <row r="8">
      <c r="A8" s="12"/>
      <c r="B8" s="23" t="s">
        <v>25</v>
      </c>
      <c r="C8" s="24" t="s">
        <v>16</v>
      </c>
      <c r="D8" s="25" t="s">
        <v>26</v>
      </c>
      <c r="E8" s="117">
        <v>4002.5</v>
      </c>
      <c r="F8" s="117" t="s">
        <v>135</v>
      </c>
      <c r="G8" s="109" t="s">
        <v>135</v>
      </c>
      <c r="H8" s="109" t="s">
        <v>135</v>
      </c>
      <c r="I8" s="117" t="s">
        <v>135</v>
      </c>
      <c r="J8" s="113" t="s">
        <v>459</v>
      </c>
      <c r="K8" s="113" t="s">
        <v>459</v>
      </c>
      <c r="L8" s="29" t="b">
        <v>0</v>
      </c>
      <c r="M8" s="30">
        <f>SUM(E8:L8)</f>
        <v>4002.5</v>
      </c>
      <c r="N8" s="31">
        <f>M8-7000</f>
        <v>-2997.5</v>
      </c>
      <c r="O8" s="32"/>
      <c r="P8" s="33"/>
      <c r="Q8" s="34"/>
      <c r="R8" s="34"/>
    </row>
    <row r="9">
      <c r="A9" s="12"/>
      <c r="B9" s="35"/>
      <c r="C9" s="24" t="s">
        <v>5</v>
      </c>
      <c r="D9" s="36"/>
      <c r="E9" s="110">
        <f>170+1775</f>
        <v>1945</v>
      </c>
      <c r="N9" s="36"/>
      <c r="O9" s="38">
        <f>SUM(E9:K9)</f>
        <v>1945</v>
      </c>
      <c r="P9" s="33"/>
      <c r="Q9" s="34"/>
      <c r="R9" s="34"/>
    </row>
    <row r="10">
      <c r="A10" s="12"/>
      <c r="B10" s="39"/>
      <c r="C10" s="24" t="s">
        <v>20</v>
      </c>
      <c r="D10" s="40"/>
      <c r="E10" s="111" t="s">
        <v>394</v>
      </c>
      <c r="J10" s="41"/>
      <c r="K10" s="41"/>
      <c r="L10" s="41"/>
      <c r="M10" s="41"/>
      <c r="N10" s="40"/>
      <c r="O10" s="43">
        <f>M8/O9</f>
        <v>2.057840617</v>
      </c>
      <c r="P10" s="33"/>
      <c r="Q10" s="34"/>
      <c r="R10" s="34"/>
    </row>
    <row r="11">
      <c r="A11" s="12"/>
      <c r="B11" s="23" t="s">
        <v>29</v>
      </c>
      <c r="C11" s="24" t="s">
        <v>16</v>
      </c>
      <c r="D11" s="25" t="s">
        <v>30</v>
      </c>
      <c r="E11" s="109">
        <v>2000.0</v>
      </c>
      <c r="F11" s="109" t="s">
        <v>135</v>
      </c>
      <c r="G11" s="109">
        <v>3000.0</v>
      </c>
      <c r="H11" s="109" t="s">
        <v>135</v>
      </c>
      <c r="I11" s="133" t="s">
        <v>259</v>
      </c>
      <c r="J11" s="117">
        <v>1949.0</v>
      </c>
      <c r="K11" s="109" t="s">
        <v>135</v>
      </c>
      <c r="L11" s="29" t="b">
        <v>0</v>
      </c>
      <c r="M11" s="30">
        <f>SUM(E11:L11)</f>
        <v>6949</v>
      </c>
      <c r="N11" s="31">
        <f>M11-7000</f>
        <v>-51</v>
      </c>
      <c r="O11" s="32"/>
      <c r="P11" s="45"/>
      <c r="R11" s="46"/>
    </row>
    <row r="12">
      <c r="A12" s="12"/>
      <c r="B12" s="35"/>
      <c r="C12" s="24" t="s">
        <v>5</v>
      </c>
      <c r="D12" s="36"/>
      <c r="E12" s="110">
        <f>91+849</f>
        <v>940</v>
      </c>
      <c r="G12" s="110">
        <f>92+59+1249</f>
        <v>1400</v>
      </c>
      <c r="J12" s="110">
        <f>113+613</f>
        <v>726</v>
      </c>
      <c r="N12" s="36"/>
      <c r="O12" s="38">
        <f>SUM(E12:K12)</f>
        <v>3066</v>
      </c>
      <c r="P12" s="47"/>
      <c r="Q12" s="46"/>
      <c r="R12" s="46"/>
    </row>
    <row r="13">
      <c r="A13" s="12"/>
      <c r="B13" s="39"/>
      <c r="C13" s="24" t="s">
        <v>20</v>
      </c>
      <c r="D13" s="40"/>
      <c r="E13" s="111" t="s">
        <v>460</v>
      </c>
      <c r="G13" s="111" t="s">
        <v>461</v>
      </c>
      <c r="I13" s="41"/>
      <c r="J13" s="111" t="s">
        <v>462</v>
      </c>
      <c r="L13" s="41"/>
      <c r="M13" s="41"/>
      <c r="N13" s="40"/>
      <c r="O13" s="43">
        <f>M11/O12</f>
        <v>2.266470972</v>
      </c>
      <c r="P13" s="47"/>
      <c r="Q13" s="34"/>
      <c r="R13" s="34"/>
    </row>
    <row r="14">
      <c r="A14" s="12"/>
      <c r="B14" s="23" t="s">
        <v>34</v>
      </c>
      <c r="C14" s="24" t="s">
        <v>16</v>
      </c>
      <c r="D14" s="25" t="s">
        <v>35</v>
      </c>
      <c r="E14" s="109">
        <v>5000.0</v>
      </c>
      <c r="F14" s="109" t="s">
        <v>135</v>
      </c>
      <c r="G14" s="109" t="s">
        <v>135</v>
      </c>
      <c r="H14" s="109">
        <v>3200.0</v>
      </c>
      <c r="I14" s="117">
        <v>2000.0</v>
      </c>
      <c r="J14" s="109" t="s">
        <v>135</v>
      </c>
      <c r="K14" s="113" t="s">
        <v>459</v>
      </c>
      <c r="L14" s="29" t="b">
        <v>0</v>
      </c>
      <c r="M14" s="30">
        <f>SUM(E14:L14)</f>
        <v>10200</v>
      </c>
      <c r="N14" s="31">
        <f>M14-7000</f>
        <v>3200</v>
      </c>
      <c r="O14" s="32"/>
      <c r="P14" s="33"/>
      <c r="Q14" s="34"/>
      <c r="R14" s="34"/>
    </row>
    <row r="15">
      <c r="A15" s="12"/>
      <c r="B15" s="35"/>
      <c r="C15" s="24" t="s">
        <v>5</v>
      </c>
      <c r="D15" s="36"/>
      <c r="E15" s="110">
        <f>5+2012</f>
        <v>2017</v>
      </c>
      <c r="H15" s="110">
        <v>785.0</v>
      </c>
      <c r="I15" s="110">
        <v>736.0</v>
      </c>
      <c r="N15" s="36"/>
      <c r="O15" s="38">
        <f>SUM(E15:K15)</f>
        <v>3538</v>
      </c>
      <c r="P15" s="33"/>
      <c r="Q15" s="34"/>
      <c r="R15" s="34"/>
    </row>
    <row r="16">
      <c r="A16" s="12"/>
      <c r="B16" s="39"/>
      <c r="C16" s="24" t="s">
        <v>20</v>
      </c>
      <c r="D16" s="40"/>
      <c r="E16" s="111" t="s">
        <v>463</v>
      </c>
      <c r="H16" s="111" t="s">
        <v>464</v>
      </c>
      <c r="I16" s="111" t="s">
        <v>465</v>
      </c>
      <c r="K16" s="41"/>
      <c r="L16" s="41"/>
      <c r="M16" s="41"/>
      <c r="N16" s="40"/>
      <c r="O16" s="43">
        <f>M14/O15</f>
        <v>2.882984737</v>
      </c>
      <c r="P16" s="33"/>
      <c r="Q16" s="34"/>
      <c r="R16" s="34"/>
    </row>
    <row r="17">
      <c r="A17" s="12"/>
      <c r="B17" s="23" t="s">
        <v>39</v>
      </c>
      <c r="C17" s="24" t="s">
        <v>16</v>
      </c>
      <c r="D17" s="25" t="s">
        <v>40</v>
      </c>
      <c r="E17" s="109">
        <v>1750.0</v>
      </c>
      <c r="F17" s="109">
        <v>6100.0</v>
      </c>
      <c r="G17" s="109" t="s">
        <v>135</v>
      </c>
      <c r="H17" s="109" t="s">
        <v>135</v>
      </c>
      <c r="I17" s="109">
        <v>4600.0</v>
      </c>
      <c r="J17" s="109" t="s">
        <v>135</v>
      </c>
      <c r="K17" s="109" t="s">
        <v>135</v>
      </c>
      <c r="L17" s="29" t="b">
        <v>0</v>
      </c>
      <c r="M17" s="30">
        <f>SUM(E17:L17)</f>
        <v>12450</v>
      </c>
      <c r="N17" s="31">
        <f>M17-7000</f>
        <v>5450</v>
      </c>
      <c r="O17" s="32"/>
      <c r="P17" s="33"/>
      <c r="Q17" s="33"/>
      <c r="R17" s="34"/>
    </row>
    <row r="18">
      <c r="A18" s="12"/>
      <c r="B18" s="35"/>
      <c r="C18" s="24" t="s">
        <v>5</v>
      </c>
      <c r="D18" s="36"/>
      <c r="E18" s="110">
        <f>493+19</f>
        <v>512</v>
      </c>
      <c r="F18" s="110">
        <f>1868+264</f>
        <v>2132</v>
      </c>
      <c r="I18" s="110">
        <f>2296+35</f>
        <v>2331</v>
      </c>
      <c r="N18" s="36"/>
      <c r="O18" s="38">
        <f>SUM(E18:K18)</f>
        <v>4975</v>
      </c>
      <c r="P18" s="33"/>
      <c r="Q18" s="33"/>
      <c r="R18" s="34"/>
    </row>
    <row r="19">
      <c r="A19" s="12"/>
      <c r="B19" s="39"/>
      <c r="C19" s="24" t="s">
        <v>20</v>
      </c>
      <c r="D19" s="40"/>
      <c r="E19" s="111" t="s">
        <v>466</v>
      </c>
      <c r="F19" s="111" t="s">
        <v>467</v>
      </c>
      <c r="I19" s="111" t="s">
        <v>468</v>
      </c>
      <c r="L19" s="41"/>
      <c r="M19" s="41"/>
      <c r="N19" s="40"/>
      <c r="O19" s="43">
        <f>M17/O18</f>
        <v>2.502512563</v>
      </c>
      <c r="P19" s="48"/>
      <c r="Q19" s="33"/>
      <c r="R19" s="34"/>
    </row>
    <row r="20">
      <c r="A20" s="12"/>
      <c r="B20" s="23" t="s">
        <v>45</v>
      </c>
      <c r="C20" s="24" t="s">
        <v>16</v>
      </c>
      <c r="D20" s="25" t="s">
        <v>46</v>
      </c>
      <c r="E20" s="105" t="s">
        <v>27</v>
      </c>
      <c r="F20" s="109">
        <v>2950.0</v>
      </c>
      <c r="G20" s="109" t="s">
        <v>135</v>
      </c>
      <c r="H20" s="109">
        <v>5700.0</v>
      </c>
      <c r="I20" s="109" t="s">
        <v>135</v>
      </c>
      <c r="J20" s="109" t="s">
        <v>135</v>
      </c>
      <c r="K20" s="109" t="s">
        <v>135</v>
      </c>
      <c r="L20" s="29" t="b">
        <v>0</v>
      </c>
      <c r="M20" s="30">
        <f>SUM(E20:L20)</f>
        <v>8650</v>
      </c>
      <c r="N20" s="31">
        <f>M20-7000</f>
        <v>1650</v>
      </c>
      <c r="O20" s="32"/>
      <c r="P20" s="33"/>
      <c r="Q20" s="33"/>
      <c r="R20" s="34"/>
    </row>
    <row r="21">
      <c r="A21" s="12"/>
      <c r="B21" s="35"/>
      <c r="C21" s="24" t="s">
        <v>5</v>
      </c>
      <c r="D21" s="36"/>
      <c r="F21" s="110">
        <f>1455+72</f>
        <v>1527</v>
      </c>
      <c r="H21" s="110">
        <f>1833+17</f>
        <v>1850</v>
      </c>
      <c r="N21" s="36"/>
      <c r="O21" s="38">
        <f>SUM(E21:K21)</f>
        <v>3377</v>
      </c>
      <c r="P21" s="33"/>
      <c r="Q21" s="33"/>
      <c r="R21" s="34"/>
    </row>
    <row r="22">
      <c r="A22" s="12"/>
      <c r="B22" s="39"/>
      <c r="C22" s="24" t="s">
        <v>20</v>
      </c>
      <c r="D22" s="40"/>
      <c r="E22" s="41"/>
      <c r="F22" s="111" t="s">
        <v>469</v>
      </c>
      <c r="H22" s="111" t="s">
        <v>470</v>
      </c>
      <c r="L22" s="41"/>
      <c r="M22" s="41"/>
      <c r="N22" s="40"/>
      <c r="O22" s="43">
        <f>M20/O21</f>
        <v>2.56144507</v>
      </c>
      <c r="P22" s="48"/>
      <c r="Q22" s="33"/>
      <c r="R22" s="34"/>
    </row>
    <row r="23">
      <c r="A23" s="12"/>
      <c r="B23" s="23" t="s">
        <v>50</v>
      </c>
      <c r="C23" s="24" t="s">
        <v>16</v>
      </c>
      <c r="D23" s="25" t="s">
        <v>51</v>
      </c>
      <c r="E23" s="117">
        <v>5000.0</v>
      </c>
      <c r="F23" s="109" t="s">
        <v>135</v>
      </c>
      <c r="G23" s="109" t="s">
        <v>135</v>
      </c>
      <c r="H23" s="109">
        <v>1200.0</v>
      </c>
      <c r="I23" s="109">
        <v>7300.0</v>
      </c>
      <c r="J23" s="109" t="s">
        <v>135</v>
      </c>
      <c r="K23" s="109" t="s">
        <v>135</v>
      </c>
      <c r="L23" s="29" t="b">
        <v>0</v>
      </c>
      <c r="M23" s="30">
        <f>SUM(E23:L23)</f>
        <v>13500</v>
      </c>
      <c r="N23" s="31">
        <f>M23-7000</f>
        <v>6500</v>
      </c>
      <c r="O23" s="32"/>
      <c r="P23" s="33"/>
      <c r="Q23" s="34"/>
      <c r="R23" s="34"/>
    </row>
    <row r="24">
      <c r="A24" s="12"/>
      <c r="B24" s="35"/>
      <c r="C24" s="24" t="s">
        <v>5</v>
      </c>
      <c r="D24" s="36"/>
      <c r="E24" s="110">
        <v>2033.0</v>
      </c>
      <c r="H24" s="110">
        <v>663.0</v>
      </c>
      <c r="I24" s="110">
        <v>2976.0</v>
      </c>
      <c r="N24" s="36"/>
      <c r="O24" s="38">
        <f>SUM(E24:K24)</f>
        <v>5672</v>
      </c>
      <c r="P24" s="48"/>
      <c r="Q24" s="34"/>
      <c r="R24" s="34"/>
    </row>
    <row r="25" ht="15.0" customHeight="1">
      <c r="A25" s="12"/>
      <c r="B25" s="39"/>
      <c r="C25" s="24" t="s">
        <v>20</v>
      </c>
      <c r="D25" s="40"/>
      <c r="E25" s="111" t="s">
        <v>471</v>
      </c>
      <c r="H25" s="111" t="s">
        <v>472</v>
      </c>
      <c r="I25" s="111" t="s">
        <v>473</v>
      </c>
      <c r="L25" s="41"/>
      <c r="M25" s="41"/>
      <c r="N25" s="40"/>
      <c r="O25" s="43">
        <f>M23/O24</f>
        <v>2.380112835</v>
      </c>
      <c r="P25" s="22"/>
      <c r="Q25" s="34"/>
      <c r="R25" s="34"/>
    </row>
    <row r="26">
      <c r="A26" s="12"/>
      <c r="B26" s="23" t="s">
        <v>56</v>
      </c>
      <c r="C26" s="24" t="s">
        <v>16</v>
      </c>
      <c r="D26" s="25" t="s">
        <v>57</v>
      </c>
      <c r="E26" s="133" t="s">
        <v>27</v>
      </c>
      <c r="F26" s="133" t="s">
        <v>27</v>
      </c>
      <c r="G26" s="133" t="s">
        <v>27</v>
      </c>
      <c r="H26" s="133" t="s">
        <v>27</v>
      </c>
      <c r="I26" s="133" t="s">
        <v>27</v>
      </c>
      <c r="J26" s="133" t="s">
        <v>27</v>
      </c>
      <c r="K26" s="133" t="s">
        <v>27</v>
      </c>
      <c r="L26" s="29" t="b">
        <v>0</v>
      </c>
      <c r="M26" s="30">
        <f>SUM(E26:L26)</f>
        <v>0</v>
      </c>
      <c r="N26" s="31">
        <f>M26-7000</f>
        <v>-7000</v>
      </c>
      <c r="O26" s="32"/>
      <c r="P26" s="33"/>
      <c r="Q26" s="34"/>
      <c r="R26" s="34"/>
    </row>
    <row r="27">
      <c r="A27" s="12"/>
      <c r="B27" s="35"/>
      <c r="C27" s="24" t="s">
        <v>5</v>
      </c>
      <c r="D27" s="36"/>
      <c r="N27" s="36"/>
      <c r="O27" s="38">
        <f>SUM(E27:K27)</f>
        <v>0</v>
      </c>
      <c r="P27" s="33"/>
      <c r="Q27" s="34"/>
      <c r="R27" s="34"/>
    </row>
    <row r="28">
      <c r="A28" s="12"/>
      <c r="B28" s="39"/>
      <c r="C28" s="24" t="s">
        <v>20</v>
      </c>
      <c r="D28" s="40"/>
      <c r="E28" s="41"/>
      <c r="F28" s="41"/>
      <c r="G28" s="41"/>
      <c r="H28" s="41"/>
      <c r="I28" s="41"/>
      <c r="J28" s="41"/>
      <c r="K28" s="41"/>
      <c r="L28" s="41"/>
      <c r="M28" s="41"/>
      <c r="N28" s="40"/>
      <c r="O28" s="43" t="str">
        <f>M26/O27</f>
        <v>#DIV/0!</v>
      </c>
      <c r="P28" s="33"/>
      <c r="Q28" s="34"/>
      <c r="R28" s="34"/>
    </row>
    <row r="29">
      <c r="A29" s="12"/>
      <c r="B29" s="23" t="s">
        <v>60</v>
      </c>
      <c r="C29" s="24" t="s">
        <v>16</v>
      </c>
      <c r="D29" s="25" t="s">
        <v>61</v>
      </c>
      <c r="E29" s="117">
        <f>950+625</f>
        <v>1575</v>
      </c>
      <c r="F29" s="117">
        <f>525+525+525+525</f>
        <v>2100</v>
      </c>
      <c r="G29" s="117">
        <f>525+525+525+650+525</f>
        <v>2750</v>
      </c>
      <c r="H29" s="117">
        <v>525.0</v>
      </c>
      <c r="I29" s="117">
        <v>2200.0</v>
      </c>
      <c r="J29" s="117">
        <v>580.0</v>
      </c>
      <c r="K29" s="117">
        <v>1200.0</v>
      </c>
      <c r="L29" s="29" t="b">
        <v>0</v>
      </c>
      <c r="M29" s="30">
        <f>SUM(E29:L29)</f>
        <v>10930</v>
      </c>
      <c r="N29" s="31">
        <f>M29-7000</f>
        <v>3930</v>
      </c>
      <c r="O29" s="32"/>
      <c r="P29" s="33"/>
      <c r="Q29" s="34"/>
      <c r="R29" s="34"/>
    </row>
    <row r="30">
      <c r="A30" s="12"/>
      <c r="B30" s="35"/>
      <c r="C30" s="24" t="s">
        <v>5</v>
      </c>
      <c r="D30" s="36"/>
      <c r="E30" s="110">
        <f>93+27</f>
        <v>120</v>
      </c>
      <c r="F30" s="110">
        <f>27+27+27+27</f>
        <v>108</v>
      </c>
      <c r="G30" s="110">
        <f>27+27+27+50+27</f>
        <v>158</v>
      </c>
      <c r="H30" s="110">
        <v>27.0</v>
      </c>
      <c r="I30" s="110">
        <v>104.0</v>
      </c>
      <c r="J30" s="110">
        <v>27.0</v>
      </c>
      <c r="K30" s="110">
        <v>109.0</v>
      </c>
      <c r="N30" s="36"/>
      <c r="O30" s="38">
        <f>SUM(E30:K30)</f>
        <v>653</v>
      </c>
      <c r="P30" s="33"/>
      <c r="Q30" s="34"/>
      <c r="R30" s="34"/>
    </row>
    <row r="31">
      <c r="A31" s="12"/>
      <c r="B31" s="39"/>
      <c r="C31" s="24" t="s">
        <v>20</v>
      </c>
      <c r="D31" s="40"/>
      <c r="E31" s="111" t="s">
        <v>474</v>
      </c>
      <c r="F31" s="111" t="s">
        <v>475</v>
      </c>
      <c r="G31" s="111" t="s">
        <v>476</v>
      </c>
      <c r="H31" s="111" t="s">
        <v>477</v>
      </c>
      <c r="I31" s="111" t="s">
        <v>478</v>
      </c>
      <c r="J31" s="111" t="s">
        <v>479</v>
      </c>
      <c r="K31" s="111" t="s">
        <v>480</v>
      </c>
      <c r="L31" s="41"/>
      <c r="M31" s="41"/>
      <c r="N31" s="40"/>
      <c r="O31" s="43">
        <f>M29/O30</f>
        <v>16.7381317</v>
      </c>
      <c r="P31" s="33"/>
      <c r="Q31" s="34"/>
      <c r="R31" s="34"/>
    </row>
    <row r="32">
      <c r="A32" s="12"/>
      <c r="B32" s="23" t="s">
        <v>219</v>
      </c>
      <c r="C32" s="24" t="s">
        <v>16</v>
      </c>
      <c r="D32" s="96" t="s">
        <v>220</v>
      </c>
      <c r="E32" s="133" t="s">
        <v>27</v>
      </c>
      <c r="F32" s="133" t="s">
        <v>27</v>
      </c>
      <c r="G32" s="133" t="s">
        <v>27</v>
      </c>
      <c r="H32" s="133" t="s">
        <v>27</v>
      </c>
      <c r="I32" s="133" t="s">
        <v>27</v>
      </c>
      <c r="J32" s="133" t="s">
        <v>27</v>
      </c>
      <c r="K32" s="133" t="s">
        <v>27</v>
      </c>
      <c r="L32" s="29" t="b">
        <v>0</v>
      </c>
      <c r="M32" s="30">
        <f>SUM(E32:L32)</f>
        <v>0</v>
      </c>
      <c r="N32" s="31">
        <f>M32-7000</f>
        <v>-7000</v>
      </c>
      <c r="O32" s="32"/>
      <c r="P32" s="33"/>
      <c r="Q32" s="34"/>
      <c r="R32" s="34"/>
    </row>
    <row r="33">
      <c r="A33" s="12"/>
      <c r="B33" s="35"/>
      <c r="C33" s="24" t="s">
        <v>5</v>
      </c>
      <c r="N33" s="36"/>
      <c r="O33" s="38">
        <f>SUM(E33:K33)</f>
        <v>0</v>
      </c>
      <c r="P33" s="33"/>
      <c r="Q33" s="34"/>
      <c r="R33" s="34"/>
    </row>
    <row r="34">
      <c r="A34" s="12"/>
      <c r="B34" s="39"/>
      <c r="C34" s="24" t="s">
        <v>20</v>
      </c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0"/>
      <c r="O34" s="43" t="str">
        <f>M32/O33</f>
        <v>#DIV/0!</v>
      </c>
      <c r="P34" s="33"/>
      <c r="Q34" s="34"/>
      <c r="R34" s="34"/>
    </row>
    <row r="35">
      <c r="A35" s="12"/>
      <c r="B35" s="23" t="s">
        <v>73</v>
      </c>
      <c r="C35" s="24" t="s">
        <v>16</v>
      </c>
      <c r="D35" s="96" t="s">
        <v>74</v>
      </c>
      <c r="E35" s="112">
        <v>1800.0</v>
      </c>
      <c r="F35" s="109">
        <v>1850.0</v>
      </c>
      <c r="G35" s="133" t="s">
        <v>181</v>
      </c>
      <c r="H35" s="109">
        <v>1350.0</v>
      </c>
      <c r="I35" s="133" t="s">
        <v>181</v>
      </c>
      <c r="J35" s="109">
        <v>1200.0</v>
      </c>
      <c r="K35" s="109" t="s">
        <v>135</v>
      </c>
      <c r="L35" s="29" t="b">
        <v>0</v>
      </c>
      <c r="M35" s="30">
        <f>SUM(E35:L35)</f>
        <v>6200</v>
      </c>
      <c r="N35" s="31">
        <f>M35-7000</f>
        <v>-800</v>
      </c>
      <c r="O35" s="32"/>
      <c r="P35" s="33"/>
      <c r="Q35" s="34"/>
      <c r="R35" s="34"/>
    </row>
    <row r="36">
      <c r="A36" s="12"/>
      <c r="B36" s="35"/>
      <c r="C36" s="24" t="s">
        <v>5</v>
      </c>
      <c r="E36" s="122">
        <v>362.0</v>
      </c>
      <c r="F36" s="110">
        <v>413.0</v>
      </c>
      <c r="H36" s="110">
        <v>600.0</v>
      </c>
      <c r="J36" s="110">
        <v>443.0</v>
      </c>
      <c r="N36" s="36"/>
      <c r="O36" s="38">
        <f>SUM(E36:K36)</f>
        <v>1818</v>
      </c>
      <c r="P36" s="33"/>
      <c r="Q36" s="34"/>
      <c r="R36" s="34"/>
    </row>
    <row r="37">
      <c r="A37" s="12"/>
      <c r="B37" s="39"/>
      <c r="C37" s="24" t="s">
        <v>20</v>
      </c>
      <c r="D37" s="41"/>
      <c r="E37" s="119" t="s">
        <v>481</v>
      </c>
      <c r="F37" s="111" t="s">
        <v>482</v>
      </c>
      <c r="G37" s="41"/>
      <c r="H37" s="42" t="s">
        <v>483</v>
      </c>
      <c r="I37" s="41"/>
      <c r="J37" s="111" t="s">
        <v>484</v>
      </c>
      <c r="K37" s="41"/>
      <c r="L37" s="41"/>
      <c r="M37" s="41"/>
      <c r="N37" s="40"/>
      <c r="O37" s="43">
        <f>M35/O36</f>
        <v>3.410341034</v>
      </c>
      <c r="P37" s="33"/>
      <c r="Q37" s="34"/>
      <c r="R37" s="34"/>
    </row>
    <row r="38">
      <c r="A38" s="12"/>
      <c r="B38" s="23" t="s">
        <v>76</v>
      </c>
      <c r="C38" s="24" t="s">
        <v>16</v>
      </c>
      <c r="D38" s="96" t="s">
        <v>77</v>
      </c>
      <c r="E38" s="112" t="s">
        <v>135</v>
      </c>
      <c r="F38" s="109">
        <v>3200.0</v>
      </c>
      <c r="G38" s="133" t="s">
        <v>181</v>
      </c>
      <c r="H38" s="133" t="s">
        <v>181</v>
      </c>
      <c r="I38" s="133" t="s">
        <v>181</v>
      </c>
      <c r="J38" s="133" t="s">
        <v>181</v>
      </c>
      <c r="K38" s="133" t="s">
        <v>181</v>
      </c>
      <c r="L38" s="29" t="b">
        <v>0</v>
      </c>
      <c r="M38" s="30">
        <f>SUM(E38:L38)</f>
        <v>3200</v>
      </c>
      <c r="N38" s="31">
        <f>M38-7000</f>
        <v>-3800</v>
      </c>
      <c r="O38" s="32"/>
      <c r="P38" s="33"/>
      <c r="Q38" s="34"/>
      <c r="R38" s="34"/>
    </row>
    <row r="39">
      <c r="A39" s="12"/>
      <c r="B39" s="35"/>
      <c r="C39" s="24" t="s">
        <v>5</v>
      </c>
      <c r="E39" s="99"/>
      <c r="F39" s="110">
        <v>727.0</v>
      </c>
      <c r="N39" s="36"/>
      <c r="O39" s="38">
        <f>SUM(E39:K39)</f>
        <v>727</v>
      </c>
      <c r="P39" s="33"/>
      <c r="Q39" s="34"/>
      <c r="R39" s="34"/>
    </row>
    <row r="40">
      <c r="A40" s="12"/>
      <c r="B40" s="39"/>
      <c r="C40" s="24" t="s">
        <v>20</v>
      </c>
      <c r="D40" s="41"/>
      <c r="E40" s="100"/>
      <c r="F40" s="116" t="s">
        <v>485</v>
      </c>
      <c r="G40" s="41"/>
      <c r="H40" s="41"/>
      <c r="I40" s="41"/>
      <c r="J40" s="41"/>
      <c r="K40" s="41"/>
      <c r="L40" s="41"/>
      <c r="M40" s="41"/>
      <c r="N40" s="40"/>
      <c r="O40" s="43">
        <f>M38/O39</f>
        <v>4.401650619</v>
      </c>
      <c r="P40" s="33"/>
      <c r="Q40" s="34"/>
      <c r="R40" s="34"/>
    </row>
    <row r="41">
      <c r="A41" s="12"/>
      <c r="B41" s="23" t="s">
        <v>82</v>
      </c>
      <c r="C41" s="24" t="s">
        <v>16</v>
      </c>
      <c r="D41" s="25" t="s">
        <v>83</v>
      </c>
      <c r="E41" s="117" t="s">
        <v>135</v>
      </c>
      <c r="F41" s="117" t="s">
        <v>135</v>
      </c>
      <c r="G41" s="117">
        <v>5346.0</v>
      </c>
      <c r="H41" s="117" t="s">
        <v>135</v>
      </c>
      <c r="I41" s="117" t="s">
        <v>135</v>
      </c>
      <c r="J41" s="117" t="s">
        <v>135</v>
      </c>
      <c r="K41" s="117" t="s">
        <v>135</v>
      </c>
      <c r="L41" s="29" t="b">
        <v>0</v>
      </c>
      <c r="M41" s="30">
        <f>SUM(E41:L41)</f>
        <v>5346</v>
      </c>
      <c r="N41" s="31">
        <f>M41-7000</f>
        <v>-1654</v>
      </c>
      <c r="O41" s="32"/>
      <c r="P41" s="33"/>
      <c r="Q41" s="34"/>
      <c r="R41" s="34"/>
    </row>
    <row r="42">
      <c r="A42" s="12"/>
      <c r="B42" s="35"/>
      <c r="C42" s="24" t="s">
        <v>5</v>
      </c>
      <c r="D42" s="36"/>
      <c r="G42" s="110">
        <f>5+2480</f>
        <v>2485</v>
      </c>
      <c r="N42" s="36"/>
      <c r="O42" s="38">
        <f>SUM(E42:K42)</f>
        <v>2485</v>
      </c>
      <c r="P42" s="33"/>
      <c r="Q42" s="34"/>
      <c r="R42" s="34"/>
    </row>
    <row r="43">
      <c r="A43" s="12"/>
      <c r="B43" s="39"/>
      <c r="C43" s="24" t="s">
        <v>20</v>
      </c>
      <c r="D43" s="40"/>
      <c r="G43" s="111" t="s">
        <v>486</v>
      </c>
      <c r="L43" s="41"/>
      <c r="M43" s="41"/>
      <c r="N43" s="40"/>
      <c r="O43" s="43">
        <f>M41/O42</f>
        <v>2.151307847</v>
      </c>
      <c r="P43" s="33"/>
      <c r="Q43" s="34"/>
      <c r="R43" s="34"/>
    </row>
    <row r="44">
      <c r="A44" s="12"/>
      <c r="B44" s="23" t="s">
        <v>86</v>
      </c>
      <c r="C44" s="24" t="s">
        <v>16</v>
      </c>
      <c r="D44" s="96" t="s">
        <v>87</v>
      </c>
      <c r="E44" s="133" t="s">
        <v>27</v>
      </c>
      <c r="F44" s="133" t="s">
        <v>27</v>
      </c>
      <c r="G44" s="133" t="s">
        <v>27</v>
      </c>
      <c r="H44" s="133" t="s">
        <v>27</v>
      </c>
      <c r="I44" s="109">
        <v>2000.0</v>
      </c>
      <c r="J44" s="133" t="s">
        <v>487</v>
      </c>
      <c r="K44" s="133" t="s">
        <v>487</v>
      </c>
      <c r="L44" s="29" t="b">
        <v>0</v>
      </c>
      <c r="M44" s="30">
        <f>SUM(E44:L44)</f>
        <v>2000</v>
      </c>
      <c r="N44" s="31">
        <f>M44-7000</f>
        <v>-5000</v>
      </c>
      <c r="O44" s="32"/>
      <c r="P44" s="33"/>
      <c r="Q44" s="34"/>
      <c r="R44" s="34"/>
    </row>
    <row r="45">
      <c r="A45" s="12"/>
      <c r="B45" s="35"/>
      <c r="C45" s="24" t="s">
        <v>5</v>
      </c>
      <c r="I45" s="110">
        <v>494.0</v>
      </c>
      <c r="N45" s="36"/>
      <c r="O45" s="38">
        <f>SUM(E45:K45)</f>
        <v>494</v>
      </c>
      <c r="P45" s="33"/>
      <c r="Q45" s="34"/>
      <c r="R45" s="34"/>
    </row>
    <row r="46">
      <c r="A46" s="12"/>
      <c r="B46" s="39"/>
      <c r="C46" s="24" t="s">
        <v>20</v>
      </c>
      <c r="D46" s="41"/>
      <c r="E46" s="41"/>
      <c r="F46" s="41"/>
      <c r="G46" s="41"/>
      <c r="H46" s="41"/>
      <c r="I46" s="111" t="s">
        <v>488</v>
      </c>
      <c r="J46" s="41"/>
      <c r="K46" s="41"/>
      <c r="L46" s="41"/>
      <c r="M46" s="41"/>
      <c r="N46" s="40"/>
      <c r="O46" s="43">
        <f>M44/O45</f>
        <v>4.048582996</v>
      </c>
      <c r="P46" s="33"/>
      <c r="Q46" s="34"/>
      <c r="R46" s="34"/>
    </row>
    <row r="47">
      <c r="A47" s="12"/>
      <c r="B47" s="23" t="s">
        <v>94</v>
      </c>
      <c r="C47" s="24" t="s">
        <v>16</v>
      </c>
      <c r="D47" s="96" t="s">
        <v>95</v>
      </c>
      <c r="E47" s="132" t="s">
        <v>88</v>
      </c>
      <c r="F47" s="121" t="s">
        <v>88</v>
      </c>
      <c r="G47" s="109">
        <v>2900.0</v>
      </c>
      <c r="H47" s="109" t="s">
        <v>135</v>
      </c>
      <c r="I47" s="121" t="s">
        <v>88</v>
      </c>
      <c r="J47" s="121" t="s">
        <v>88</v>
      </c>
      <c r="K47" s="121" t="s">
        <v>88</v>
      </c>
      <c r="L47" s="29" t="b">
        <v>0</v>
      </c>
      <c r="M47" s="30">
        <f>SUM(E47:L47)</f>
        <v>2900</v>
      </c>
      <c r="N47" s="31">
        <f>M47-7000</f>
        <v>-4100</v>
      </c>
      <c r="O47" s="32"/>
      <c r="P47" s="33"/>
      <c r="Q47" s="34"/>
      <c r="R47" s="34"/>
    </row>
    <row r="48">
      <c r="A48" s="12"/>
      <c r="B48" s="35"/>
      <c r="C48" s="24" t="s">
        <v>5</v>
      </c>
      <c r="E48" s="99"/>
      <c r="G48" s="110">
        <v>1377.0</v>
      </c>
      <c r="N48" s="36"/>
      <c r="O48" s="38">
        <f>SUM(E48:K48)</f>
        <v>1377</v>
      </c>
      <c r="P48" s="33"/>
      <c r="Q48" s="34"/>
      <c r="R48" s="34"/>
    </row>
    <row r="49">
      <c r="A49" s="12"/>
      <c r="B49" s="39"/>
      <c r="C49" s="24" t="s">
        <v>20</v>
      </c>
      <c r="D49" s="41"/>
      <c r="E49" s="100"/>
      <c r="F49" s="41"/>
      <c r="G49" s="116" t="s">
        <v>489</v>
      </c>
      <c r="H49" s="41"/>
      <c r="I49" s="41"/>
      <c r="J49" s="41"/>
      <c r="K49" s="41"/>
      <c r="L49" s="41"/>
      <c r="M49" s="41"/>
      <c r="N49" s="40"/>
      <c r="O49" s="43">
        <f>M47/O48</f>
        <v>2.106027596</v>
      </c>
      <c r="P49" s="33"/>
      <c r="Q49" s="34"/>
      <c r="R49" s="34"/>
    </row>
    <row r="50">
      <c r="A50" s="12"/>
      <c r="B50" s="23" t="s">
        <v>98</v>
      </c>
      <c r="C50" s="24" t="s">
        <v>16</v>
      </c>
      <c r="D50" s="25" t="s">
        <v>99</v>
      </c>
      <c r="E50" s="117" t="s">
        <v>135</v>
      </c>
      <c r="F50" s="117">
        <v>5300.0</v>
      </c>
      <c r="G50" s="117" t="s">
        <v>135</v>
      </c>
      <c r="H50" s="117" t="s">
        <v>135</v>
      </c>
      <c r="I50" s="117">
        <v>5800.0</v>
      </c>
      <c r="J50" s="117" t="s">
        <v>135</v>
      </c>
      <c r="K50" s="117" t="s">
        <v>135</v>
      </c>
      <c r="L50" s="29" t="b">
        <v>0</v>
      </c>
      <c r="M50" s="30">
        <f>SUM(E50:L50)</f>
        <v>11100</v>
      </c>
      <c r="N50" s="31">
        <f>M50-7000</f>
        <v>4100</v>
      </c>
      <c r="O50" s="32"/>
      <c r="P50" s="33"/>
      <c r="Q50" s="34"/>
      <c r="R50" s="34"/>
    </row>
    <row r="51">
      <c r="A51" s="12"/>
      <c r="B51" s="35"/>
      <c r="C51" s="24" t="s">
        <v>5</v>
      </c>
      <c r="D51" s="36"/>
      <c r="F51" s="110">
        <v>2391.0</v>
      </c>
      <c r="I51" s="110">
        <v>1779.0</v>
      </c>
      <c r="N51" s="36"/>
      <c r="O51" s="38">
        <f>SUM(E51:K51)</f>
        <v>4170</v>
      </c>
      <c r="P51" s="33"/>
      <c r="Q51" s="34"/>
      <c r="R51" s="34"/>
    </row>
    <row r="52">
      <c r="A52" s="12"/>
      <c r="B52" s="39"/>
      <c r="C52" s="24" t="s">
        <v>20</v>
      </c>
      <c r="D52" s="40"/>
      <c r="F52" s="111" t="s">
        <v>490</v>
      </c>
      <c r="I52" s="111" t="s">
        <v>491</v>
      </c>
      <c r="L52" s="41"/>
      <c r="M52" s="41"/>
      <c r="N52" s="40"/>
      <c r="O52" s="43">
        <f>M50/O51</f>
        <v>2.661870504</v>
      </c>
      <c r="P52" s="33"/>
      <c r="Q52" s="34"/>
      <c r="R52" s="34"/>
    </row>
    <row r="53">
      <c r="A53" s="12"/>
      <c r="B53" s="23" t="s">
        <v>104</v>
      </c>
      <c r="C53" s="24" t="s">
        <v>16</v>
      </c>
      <c r="D53" s="25" t="s">
        <v>105</v>
      </c>
      <c r="E53" s="109">
        <v>4900.0</v>
      </c>
      <c r="F53" s="109" t="s">
        <v>135</v>
      </c>
      <c r="G53" s="109" t="s">
        <v>135</v>
      </c>
      <c r="H53" s="109">
        <v>3600.0</v>
      </c>
      <c r="I53" s="109" t="s">
        <v>135</v>
      </c>
      <c r="J53" s="109" t="s">
        <v>135</v>
      </c>
      <c r="K53" s="109" t="s">
        <v>135</v>
      </c>
      <c r="L53" s="29" t="b">
        <v>0</v>
      </c>
      <c r="M53" s="30">
        <f>SUM(E53:L53)</f>
        <v>8500</v>
      </c>
      <c r="N53" s="31">
        <f>M53-7000</f>
        <v>1500</v>
      </c>
      <c r="O53" s="32"/>
      <c r="P53" s="33"/>
      <c r="Q53" s="34"/>
      <c r="R53" s="34"/>
    </row>
    <row r="54">
      <c r="A54" s="12"/>
      <c r="B54" s="35"/>
      <c r="C54" s="24" t="s">
        <v>5</v>
      </c>
      <c r="D54" s="36"/>
      <c r="E54" s="110">
        <v>2153.0</v>
      </c>
      <c r="H54" s="110">
        <v>1501.0</v>
      </c>
      <c r="N54" s="36"/>
      <c r="O54" s="38">
        <f>SUM(E54:K54)</f>
        <v>3654</v>
      </c>
      <c r="P54" s="33"/>
      <c r="Q54" s="34"/>
      <c r="R54" s="34"/>
    </row>
    <row r="55">
      <c r="A55" s="12"/>
      <c r="B55" s="39"/>
      <c r="C55" s="24" t="s">
        <v>20</v>
      </c>
      <c r="D55" s="40"/>
      <c r="E55" s="111" t="s">
        <v>492</v>
      </c>
      <c r="H55" s="111" t="s">
        <v>493</v>
      </c>
      <c r="L55" s="41"/>
      <c r="M55" s="41"/>
      <c r="N55" s="40"/>
      <c r="O55" s="43">
        <f>M53/O54</f>
        <v>2.326217843</v>
      </c>
      <c r="P55" s="33"/>
      <c r="Q55" s="34"/>
      <c r="R55" s="34"/>
    </row>
    <row r="56">
      <c r="A56" s="12"/>
      <c r="B56" s="23" t="s">
        <v>108</v>
      </c>
      <c r="C56" s="24" t="s">
        <v>16</v>
      </c>
      <c r="D56" s="25" t="s">
        <v>109</v>
      </c>
      <c r="E56" s="109">
        <v>1950.0</v>
      </c>
      <c r="F56" s="109">
        <v>3200.0</v>
      </c>
      <c r="G56" s="109" t="s">
        <v>135</v>
      </c>
      <c r="H56" s="113" t="s">
        <v>494</v>
      </c>
      <c r="I56" s="109">
        <v>1650.0</v>
      </c>
      <c r="J56" s="109">
        <v>3500.0</v>
      </c>
      <c r="K56" s="109" t="s">
        <v>135</v>
      </c>
      <c r="L56" s="29" t="b">
        <v>0</v>
      </c>
      <c r="M56" s="30">
        <f>SUM(E56:L56)</f>
        <v>10300</v>
      </c>
      <c r="N56" s="31">
        <f>M56-7000</f>
        <v>3300</v>
      </c>
      <c r="O56" s="32"/>
      <c r="P56" s="33"/>
      <c r="Q56" s="34"/>
      <c r="R56" s="34"/>
    </row>
    <row r="57">
      <c r="A57" s="12"/>
      <c r="B57" s="35"/>
      <c r="C57" s="24" t="s">
        <v>5</v>
      </c>
      <c r="D57" s="36"/>
      <c r="E57" s="110">
        <f>638+100</f>
        <v>738</v>
      </c>
      <c r="F57" s="110">
        <f>1224+32</f>
        <v>1256</v>
      </c>
      <c r="I57" s="110">
        <f>462+116</f>
        <v>578</v>
      </c>
      <c r="J57" s="110">
        <f>1618+139</f>
        <v>1757</v>
      </c>
      <c r="N57" s="36"/>
      <c r="O57" s="38">
        <f>SUM(E57:K57)</f>
        <v>4329</v>
      </c>
      <c r="P57" s="33"/>
      <c r="Q57" s="34"/>
      <c r="R57" s="34"/>
    </row>
    <row r="58">
      <c r="A58" s="12"/>
      <c r="B58" s="39"/>
      <c r="C58" s="24" t="s">
        <v>20</v>
      </c>
      <c r="D58" s="40"/>
      <c r="E58" s="111" t="s">
        <v>495</v>
      </c>
      <c r="F58" s="111" t="s">
        <v>496</v>
      </c>
      <c r="I58" s="111" t="s">
        <v>497</v>
      </c>
      <c r="J58" s="111" t="s">
        <v>498</v>
      </c>
      <c r="L58" s="41"/>
      <c r="M58" s="41"/>
      <c r="N58" s="40"/>
      <c r="O58" s="43">
        <f>M56/O57</f>
        <v>2.379302379</v>
      </c>
      <c r="P58" s="33"/>
      <c r="Q58" s="34"/>
      <c r="R58" s="34"/>
    </row>
    <row r="59">
      <c r="A59" s="12"/>
      <c r="B59" s="23" t="s">
        <v>249</v>
      </c>
      <c r="C59" s="24" t="s">
        <v>16</v>
      </c>
      <c r="D59" s="25" t="s">
        <v>250</v>
      </c>
      <c r="E59" s="109" t="s">
        <v>135</v>
      </c>
      <c r="F59" s="109">
        <v>2700.0</v>
      </c>
      <c r="G59" s="109" t="s">
        <v>135</v>
      </c>
      <c r="H59" s="109" t="s">
        <v>62</v>
      </c>
      <c r="I59" s="109">
        <v>2500.0</v>
      </c>
      <c r="J59" s="109" t="s">
        <v>135</v>
      </c>
      <c r="K59" s="109" t="s">
        <v>135</v>
      </c>
      <c r="L59" s="29" t="b">
        <v>0</v>
      </c>
      <c r="M59" s="30">
        <f>SUM(E59:L59)</f>
        <v>5200</v>
      </c>
      <c r="N59" s="31">
        <f>M59-7000</f>
        <v>-1800</v>
      </c>
      <c r="O59" s="32"/>
      <c r="P59" s="33"/>
      <c r="Q59" s="34"/>
      <c r="R59" s="34"/>
    </row>
    <row r="60">
      <c r="A60" s="12"/>
      <c r="B60" s="35"/>
      <c r="C60" s="24" t="s">
        <v>5</v>
      </c>
      <c r="D60" s="36"/>
      <c r="F60" s="110">
        <v>1161.0</v>
      </c>
      <c r="I60" s="110">
        <v>1009.0</v>
      </c>
      <c r="N60" s="36"/>
      <c r="O60" s="38">
        <f>SUM(E60:K60)</f>
        <v>2170</v>
      </c>
      <c r="P60" s="33"/>
      <c r="Q60" s="34"/>
      <c r="R60" s="34"/>
    </row>
    <row r="61">
      <c r="A61" s="12"/>
      <c r="B61" s="39"/>
      <c r="C61" s="24" t="s">
        <v>20</v>
      </c>
      <c r="D61" s="40"/>
      <c r="F61" s="111" t="s">
        <v>499</v>
      </c>
      <c r="I61" s="111" t="s">
        <v>500</v>
      </c>
      <c r="L61" s="41"/>
      <c r="M61" s="41"/>
      <c r="N61" s="40"/>
      <c r="O61" s="43">
        <f>M59/O60</f>
        <v>2.396313364</v>
      </c>
      <c r="P61" s="33"/>
      <c r="Q61" s="34"/>
      <c r="R61" s="34"/>
    </row>
    <row r="62" ht="16.5" customHeight="1">
      <c r="A62" s="12"/>
      <c r="B62" s="23" t="s">
        <v>308</v>
      </c>
      <c r="C62" s="24" t="s">
        <v>16</v>
      </c>
      <c r="D62" s="25" t="s">
        <v>309</v>
      </c>
      <c r="E62" s="109" t="s">
        <v>135</v>
      </c>
      <c r="F62" s="109">
        <v>1600.0</v>
      </c>
      <c r="G62" s="133" t="s">
        <v>27</v>
      </c>
      <c r="H62" s="133" t="s">
        <v>27</v>
      </c>
      <c r="I62" s="133" t="s">
        <v>27</v>
      </c>
      <c r="J62" s="133" t="s">
        <v>27</v>
      </c>
      <c r="K62" s="133" t="s">
        <v>27</v>
      </c>
      <c r="L62" s="29" t="b">
        <v>0</v>
      </c>
      <c r="M62" s="30">
        <f>SUM(E62:L62)</f>
        <v>1600</v>
      </c>
      <c r="N62" s="31">
        <f>M62-7000</f>
        <v>-5400</v>
      </c>
      <c r="O62" s="32"/>
      <c r="P62" s="33"/>
      <c r="Q62" s="34"/>
      <c r="R62" s="34"/>
    </row>
    <row r="63" ht="16.5" customHeight="1">
      <c r="A63" s="12"/>
      <c r="B63" s="35"/>
      <c r="C63" s="24" t="s">
        <v>5</v>
      </c>
      <c r="D63" s="36"/>
      <c r="F63" s="110">
        <v>501.0</v>
      </c>
      <c r="N63" s="36"/>
      <c r="O63" s="38">
        <f>SUM(E63:K63)</f>
        <v>501</v>
      </c>
      <c r="P63" s="33"/>
      <c r="Q63" s="34"/>
      <c r="R63" s="34"/>
    </row>
    <row r="64" ht="16.5" customHeight="1">
      <c r="A64" s="12"/>
      <c r="B64" s="39"/>
      <c r="C64" s="24" t="s">
        <v>20</v>
      </c>
      <c r="D64" s="40"/>
      <c r="F64" s="111" t="s">
        <v>501</v>
      </c>
      <c r="G64" s="41"/>
      <c r="H64" s="41"/>
      <c r="I64" s="41"/>
      <c r="J64" s="41"/>
      <c r="K64" s="41"/>
      <c r="L64" s="41"/>
      <c r="M64" s="41"/>
      <c r="N64" s="40"/>
      <c r="O64" s="43">
        <f>M62/O63</f>
        <v>3.193612774</v>
      </c>
      <c r="P64" s="33"/>
      <c r="Q64" s="34"/>
      <c r="R64" s="34"/>
    </row>
    <row r="65" ht="16.5" customHeight="1">
      <c r="A65" s="12"/>
      <c r="B65" s="23" t="s">
        <v>448</v>
      </c>
      <c r="C65" s="24" t="s">
        <v>16</v>
      </c>
      <c r="D65" s="25" t="s">
        <v>449</v>
      </c>
      <c r="E65" s="109" t="s">
        <v>135</v>
      </c>
      <c r="F65" s="109">
        <v>3170.0</v>
      </c>
      <c r="G65" s="117" t="s">
        <v>135</v>
      </c>
      <c r="H65" s="117" t="s">
        <v>135</v>
      </c>
      <c r="I65" s="117">
        <v>5350.0</v>
      </c>
      <c r="J65" s="117" t="s">
        <v>135</v>
      </c>
      <c r="K65" s="117" t="s">
        <v>135</v>
      </c>
      <c r="L65" s="29" t="b">
        <v>0</v>
      </c>
      <c r="M65" s="30">
        <f>SUM(F65:L65)</f>
        <v>8520</v>
      </c>
      <c r="N65" s="31">
        <f>M65-7000</f>
        <v>1520</v>
      </c>
      <c r="O65" s="32"/>
      <c r="P65" s="33"/>
      <c r="Q65" s="34"/>
      <c r="R65" s="34"/>
    </row>
    <row r="66" ht="16.5" customHeight="1">
      <c r="A66" s="12"/>
      <c r="B66" s="35"/>
      <c r="C66" s="24" t="s">
        <v>5</v>
      </c>
      <c r="D66" s="36"/>
      <c r="F66" s="110">
        <f>75+1532</f>
        <v>1607</v>
      </c>
      <c r="I66" s="110">
        <v>1712.0</v>
      </c>
      <c r="N66" s="36"/>
      <c r="O66" s="38">
        <f>SUM(F66:K66)</f>
        <v>3319</v>
      </c>
      <c r="P66" s="33"/>
      <c r="Q66" s="34"/>
      <c r="R66" s="34"/>
    </row>
    <row r="67" ht="16.5" customHeight="1">
      <c r="A67" s="12"/>
      <c r="B67" s="39"/>
      <c r="C67" s="24" t="s">
        <v>20</v>
      </c>
      <c r="D67" s="40"/>
      <c r="F67" s="111" t="s">
        <v>502</v>
      </c>
      <c r="I67" s="111" t="s">
        <v>503</v>
      </c>
      <c r="L67" s="41"/>
      <c r="M67" s="41"/>
      <c r="N67" s="40"/>
      <c r="O67" s="43">
        <f>M65/O66</f>
        <v>2.567038265</v>
      </c>
      <c r="P67" s="33"/>
      <c r="Q67" s="34"/>
      <c r="R67" s="34"/>
    </row>
    <row r="68" ht="16.5" customHeight="1">
      <c r="A68" s="12"/>
      <c r="B68" s="23" t="s">
        <v>452</v>
      </c>
      <c r="C68" s="24" t="s">
        <v>16</v>
      </c>
      <c r="D68" s="25" t="s">
        <v>504</v>
      </c>
      <c r="E68" s="109" t="s">
        <v>135</v>
      </c>
      <c r="F68" s="109">
        <v>1400.0</v>
      </c>
      <c r="G68" s="134" t="s">
        <v>71</v>
      </c>
      <c r="H68" s="134" t="s">
        <v>71</v>
      </c>
      <c r="I68" s="134" t="s">
        <v>71</v>
      </c>
      <c r="J68" s="134" t="s">
        <v>71</v>
      </c>
      <c r="K68" s="134" t="s">
        <v>71</v>
      </c>
      <c r="L68" s="29" t="b">
        <v>0</v>
      </c>
      <c r="M68" s="30">
        <f>SUM(F68:L68)</f>
        <v>1400</v>
      </c>
      <c r="N68" s="31">
        <f>M68-7000</f>
        <v>-5600</v>
      </c>
      <c r="O68" s="32"/>
      <c r="P68" s="33"/>
      <c r="Q68" s="34"/>
      <c r="R68" s="34"/>
    </row>
    <row r="69" ht="16.5" customHeight="1">
      <c r="A69" s="12"/>
      <c r="B69" s="35"/>
      <c r="C69" s="24" t="s">
        <v>5</v>
      </c>
      <c r="D69" s="36"/>
      <c r="F69" s="110">
        <f>523+87</f>
        <v>610</v>
      </c>
      <c r="N69" s="36"/>
      <c r="O69" s="38">
        <f>SUM(F69:K69)</f>
        <v>610</v>
      </c>
      <c r="P69" s="33"/>
      <c r="Q69" s="34"/>
      <c r="R69" s="34"/>
    </row>
    <row r="70" ht="16.5" customHeight="1">
      <c r="A70" s="12"/>
      <c r="B70" s="39"/>
      <c r="C70" s="24" t="s">
        <v>20</v>
      </c>
      <c r="D70" s="40"/>
      <c r="F70" s="111" t="s">
        <v>505</v>
      </c>
      <c r="G70" s="41"/>
      <c r="H70" s="41"/>
      <c r="I70" s="41"/>
      <c r="J70" s="41"/>
      <c r="K70" s="41"/>
      <c r="L70" s="41"/>
      <c r="M70" s="41"/>
      <c r="N70" s="40"/>
      <c r="O70" s="43">
        <f>M68/O69</f>
        <v>2.295081967</v>
      </c>
      <c r="P70" s="33"/>
      <c r="Q70" s="34"/>
      <c r="R70" s="34"/>
    </row>
    <row r="71" ht="16.5" customHeight="1">
      <c r="A71" s="12"/>
      <c r="B71" s="23" t="s">
        <v>114</v>
      </c>
      <c r="C71" s="24" t="s">
        <v>16</v>
      </c>
      <c r="D71" s="25" t="s">
        <v>115</v>
      </c>
      <c r="E71" s="109" t="s">
        <v>135</v>
      </c>
      <c r="F71" s="109">
        <v>2800.0</v>
      </c>
      <c r="G71" s="117" t="s">
        <v>135</v>
      </c>
      <c r="H71" s="117">
        <v>4000.0</v>
      </c>
      <c r="I71" s="117" t="s">
        <v>135</v>
      </c>
      <c r="J71" s="113" t="s">
        <v>459</v>
      </c>
      <c r="K71" s="113" t="s">
        <v>459</v>
      </c>
      <c r="L71" s="29" t="b">
        <v>0</v>
      </c>
      <c r="M71" s="30">
        <f>SUM(E71:L71)</f>
        <v>6800</v>
      </c>
      <c r="N71" s="31">
        <f>M71-7000</f>
        <v>-200</v>
      </c>
      <c r="O71" s="32"/>
      <c r="P71" s="33"/>
      <c r="Q71" s="34"/>
      <c r="R71" s="34"/>
    </row>
    <row r="72">
      <c r="A72" s="12"/>
      <c r="B72" s="35"/>
      <c r="C72" s="24" t="s">
        <v>5</v>
      </c>
      <c r="D72" s="36"/>
      <c r="F72" s="110">
        <f>129+1385</f>
        <v>1514</v>
      </c>
      <c r="H72" s="110">
        <f>1409+28</f>
        <v>1437</v>
      </c>
      <c r="N72" s="36"/>
      <c r="O72" s="38">
        <f>SUM(E72:K72)</f>
        <v>2951</v>
      </c>
      <c r="P72" s="33"/>
      <c r="Q72" s="34"/>
      <c r="R72" s="34"/>
    </row>
    <row r="73">
      <c r="A73" s="12"/>
      <c r="B73" s="39"/>
      <c r="C73" s="24" t="s">
        <v>20</v>
      </c>
      <c r="D73" s="40"/>
      <c r="E73" s="41"/>
      <c r="F73" s="116" t="s">
        <v>506</v>
      </c>
      <c r="G73" s="41"/>
      <c r="H73" s="116" t="s">
        <v>507</v>
      </c>
      <c r="I73" s="41"/>
      <c r="J73" s="41"/>
      <c r="K73" s="41"/>
      <c r="L73" s="41"/>
      <c r="M73" s="41"/>
      <c r="N73" s="40"/>
      <c r="O73" s="43">
        <f>M71/O72</f>
        <v>2.304303626</v>
      </c>
      <c r="P73" s="33"/>
      <c r="Q73" s="34"/>
      <c r="R73" s="34"/>
    </row>
    <row r="74" ht="14.25" customHeight="1">
      <c r="A74" s="51"/>
      <c r="B74" s="52"/>
      <c r="C74" s="53"/>
      <c r="D74" s="54">
        <f>counta(D5:D73)</f>
        <v>23</v>
      </c>
      <c r="E74" s="37">
        <f t="shared" ref="E74:K74" si="2">$D$74-(COUNTIF(E5:E73, "TRUCK ISSUE") + COUNTIF(E5:E73, "NEW DRIVER") + COUNTIF(E5:E73, "LEFT") + COUNTIF(E5:E73, "YARD"))</f>
        <v>21</v>
      </c>
      <c r="F74" s="37">
        <f t="shared" si="2"/>
        <v>21</v>
      </c>
      <c r="G74" s="37">
        <f t="shared" si="2"/>
        <v>21</v>
      </c>
      <c r="H74" s="37">
        <f t="shared" si="2"/>
        <v>21</v>
      </c>
      <c r="I74" s="37">
        <f t="shared" si="2"/>
        <v>20</v>
      </c>
      <c r="J74" s="37">
        <f t="shared" si="2"/>
        <v>20</v>
      </c>
      <c r="K74" s="37">
        <f t="shared" si="2"/>
        <v>20</v>
      </c>
      <c r="L74" s="55"/>
      <c r="M74" s="55"/>
      <c r="N74" s="55"/>
      <c r="O74" s="55"/>
      <c r="P74" s="55"/>
      <c r="Q74" s="56"/>
      <c r="R74" s="56"/>
    </row>
    <row r="75" ht="14.25" customHeight="1">
      <c r="A75" s="51"/>
      <c r="B75" s="55"/>
      <c r="C75" s="55"/>
      <c r="D75" s="48"/>
      <c r="E75" s="48"/>
      <c r="F75" s="48"/>
      <c r="G75" s="48"/>
      <c r="H75" s="48"/>
      <c r="I75" s="48"/>
      <c r="J75" s="48"/>
      <c r="K75" s="48"/>
      <c r="L75" s="55"/>
      <c r="M75" s="55"/>
      <c r="N75" s="55"/>
      <c r="O75" s="55"/>
      <c r="P75" s="55"/>
      <c r="Q75" s="56"/>
      <c r="R75" s="56"/>
    </row>
    <row r="76">
      <c r="A76" s="12"/>
      <c r="B76" s="57" t="s">
        <v>120</v>
      </c>
      <c r="C76" s="58"/>
      <c r="D76" s="59" t="s">
        <v>121</v>
      </c>
      <c r="E76" s="60">
        <f t="shared" ref="E76:K76" si="3">SUM(E71,E56,E53,E50,E47,E44,E41,E38,E35,E32,E29,E26,E23,E20,E17,E14,E11,E8,E5,E59,E65,E62,E68)</f>
        <v>27977.5</v>
      </c>
      <c r="F76" s="60">
        <f t="shared" si="3"/>
        <v>36370</v>
      </c>
      <c r="G76" s="60">
        <f t="shared" si="3"/>
        <v>13996</v>
      </c>
      <c r="H76" s="60">
        <f t="shared" si="3"/>
        <v>19575</v>
      </c>
      <c r="I76" s="60">
        <f t="shared" si="3"/>
        <v>33400</v>
      </c>
      <c r="J76" s="60">
        <f t="shared" si="3"/>
        <v>7229</v>
      </c>
      <c r="K76" s="60">
        <f t="shared" si="3"/>
        <v>1200</v>
      </c>
      <c r="L76" s="61" t="s">
        <v>122</v>
      </c>
      <c r="M76" s="62">
        <f>SUM(E76:L76)</f>
        <v>139747.5</v>
      </c>
      <c r="N76" s="63"/>
      <c r="O76" s="64" t="s">
        <v>123</v>
      </c>
      <c r="P76" s="65">
        <f>COUNTIF(E5:K73, "No loads")</f>
        <v>0</v>
      </c>
      <c r="Q76" s="66"/>
      <c r="R76" s="66"/>
    </row>
    <row r="77">
      <c r="A77" s="12"/>
      <c r="B77" s="67">
        <f>D74</f>
        <v>23</v>
      </c>
      <c r="C77" s="68"/>
      <c r="D77" s="69" t="s">
        <v>124</v>
      </c>
      <c r="E77" s="70">
        <f t="shared" ref="E77:K77" si="4">E74</f>
        <v>21</v>
      </c>
      <c r="F77" s="70">
        <f t="shared" si="4"/>
        <v>21</v>
      </c>
      <c r="G77" s="70">
        <f t="shared" si="4"/>
        <v>21</v>
      </c>
      <c r="H77" s="70">
        <f t="shared" si="4"/>
        <v>21</v>
      </c>
      <c r="I77" s="70">
        <f t="shared" si="4"/>
        <v>20</v>
      </c>
      <c r="J77" s="70">
        <f t="shared" si="4"/>
        <v>20</v>
      </c>
      <c r="K77" s="70">
        <f t="shared" si="4"/>
        <v>20</v>
      </c>
      <c r="L77" s="71" t="s">
        <v>125</v>
      </c>
      <c r="M77" s="72">
        <f t="shared" ref="M77:M78" si="6">AVERAGE(E77:L77)</f>
        <v>20.57142857</v>
      </c>
      <c r="N77" s="63"/>
      <c r="O77" s="73" t="s">
        <v>27</v>
      </c>
      <c r="P77" s="74">
        <f>COUNTIF(E5:K73, "Home")</f>
        <v>24</v>
      </c>
      <c r="Q77" s="66"/>
      <c r="R77" s="66"/>
    </row>
    <row r="78">
      <c r="A78" s="12"/>
      <c r="B78" s="75"/>
      <c r="C78" s="75"/>
      <c r="D78" s="69" t="s">
        <v>124</v>
      </c>
      <c r="E78" s="76">
        <f t="shared" ref="E78:J78" si="5">$D$74-(COUNTIF(E5:E73, "TRUCK ISSUE") + COUNTIF(E5:E73, "NEW DRIVER") + COUNTIF(E5:E73, "LEFT") + COUNTIF(E5:E73, "YARD")+ COUNTIF(E5:E73, "HOME"))</f>
        <v>17</v>
      </c>
      <c r="F78" s="76">
        <f t="shared" si="5"/>
        <v>18</v>
      </c>
      <c r="G78" s="76">
        <f t="shared" si="5"/>
        <v>17</v>
      </c>
      <c r="H78" s="76">
        <f t="shared" si="5"/>
        <v>17</v>
      </c>
      <c r="I78" s="76">
        <f t="shared" si="5"/>
        <v>17</v>
      </c>
      <c r="J78" s="76">
        <f t="shared" si="5"/>
        <v>17</v>
      </c>
      <c r="K78" s="76">
        <f>$D$74-(COUNTIF(K5:K73, "TRUCK ISSUE") + COUNTIF(K5:K73, "NEW DRIVER") + COUNTIF(K5:K73, "LEFT") + COUNTIF(K5:K73, "YARD")+ COUNTIF(K5:K73, "HOME")+COUNTIF(K5:K73, "REST"))</f>
        <v>17</v>
      </c>
      <c r="L78" s="71" t="s">
        <v>126</v>
      </c>
      <c r="M78" s="72">
        <f t="shared" si="6"/>
        <v>17.14285714</v>
      </c>
      <c r="N78" s="66"/>
      <c r="O78" s="77" t="s">
        <v>62</v>
      </c>
      <c r="P78" s="74">
        <f>COUNTIF(E6:K74, "Rest")</f>
        <v>1</v>
      </c>
      <c r="Q78" s="66"/>
      <c r="R78" s="66"/>
    </row>
    <row r="79" ht="24.75" customHeight="1">
      <c r="A79" s="12"/>
      <c r="B79" s="75"/>
      <c r="C79" s="75"/>
      <c r="D79" s="78" t="s">
        <v>127</v>
      </c>
      <c r="E79" s="79">
        <f t="shared" ref="E79:K79" si="7">SUM(E72,E57,E54,E51,E48,E45,E42,E39,E36,E33,E30,E27,E24,E21,E18,E15,E12,E9, E63, E66, E6,E60,E69)</f>
        <v>10820</v>
      </c>
      <c r="F79" s="79">
        <f t="shared" si="7"/>
        <v>13947</v>
      </c>
      <c r="G79" s="79">
        <f t="shared" si="7"/>
        <v>5420</v>
      </c>
      <c r="H79" s="79">
        <f t="shared" si="7"/>
        <v>6863</v>
      </c>
      <c r="I79" s="79">
        <f t="shared" si="7"/>
        <v>11719</v>
      </c>
      <c r="J79" s="79">
        <f t="shared" si="7"/>
        <v>2953</v>
      </c>
      <c r="K79" s="79">
        <f t="shared" si="7"/>
        <v>109</v>
      </c>
      <c r="L79" s="80" t="s">
        <v>128</v>
      </c>
      <c r="M79" s="81">
        <f>SUM(E79:K79)</f>
        <v>51831</v>
      </c>
      <c r="N79" s="66"/>
      <c r="O79" s="82" t="s">
        <v>88</v>
      </c>
      <c r="P79" s="74">
        <f>COUNTIF(E5:K73, "TRUCK ISSUE")</f>
        <v>9</v>
      </c>
      <c r="Q79" s="75"/>
      <c r="R79" s="75"/>
    </row>
    <row r="80">
      <c r="A80" s="12"/>
      <c r="B80" s="75"/>
      <c r="C80" s="75"/>
      <c r="D80" s="78" t="s">
        <v>129</v>
      </c>
      <c r="E80" s="83">
        <f t="shared" ref="E80:K80" si="8">E76/E79</f>
        <v>2.585720887</v>
      </c>
      <c r="F80" s="83">
        <f t="shared" si="8"/>
        <v>2.607729261</v>
      </c>
      <c r="G80" s="83">
        <f t="shared" si="8"/>
        <v>2.582287823</v>
      </c>
      <c r="H80" s="83">
        <f t="shared" si="8"/>
        <v>2.852251202</v>
      </c>
      <c r="I80" s="83">
        <f t="shared" si="8"/>
        <v>2.850072532</v>
      </c>
      <c r="J80" s="83">
        <f t="shared" si="8"/>
        <v>2.448018964</v>
      </c>
      <c r="K80" s="83">
        <f t="shared" si="8"/>
        <v>11.00917431</v>
      </c>
      <c r="L80" s="80" t="s">
        <v>130</v>
      </c>
      <c r="M80" s="84">
        <f>M76/M79</f>
        <v>2.696214621</v>
      </c>
      <c r="N80" s="63"/>
      <c r="O80" s="82" t="s">
        <v>71</v>
      </c>
      <c r="P80" s="74">
        <f>COUNTIF(E5:K73, "YARD")</f>
        <v>8</v>
      </c>
      <c r="Q80" s="66"/>
      <c r="R80" s="66"/>
    </row>
    <row r="81">
      <c r="A81" s="12"/>
      <c r="B81" s="75"/>
      <c r="C81" s="75"/>
      <c r="D81" s="85" t="s">
        <v>131</v>
      </c>
      <c r="E81" s="86">
        <f t="shared" ref="E81:K81" si="9">E76/E77</f>
        <v>1332.261905</v>
      </c>
      <c r="F81" s="86">
        <f t="shared" si="9"/>
        <v>1731.904762</v>
      </c>
      <c r="G81" s="86">
        <f t="shared" si="9"/>
        <v>666.4761905</v>
      </c>
      <c r="H81" s="86">
        <f t="shared" si="9"/>
        <v>932.1428571</v>
      </c>
      <c r="I81" s="86">
        <f t="shared" si="9"/>
        <v>1670</v>
      </c>
      <c r="J81" s="86">
        <f t="shared" si="9"/>
        <v>361.45</v>
      </c>
      <c r="K81" s="86">
        <f t="shared" si="9"/>
        <v>60</v>
      </c>
      <c r="L81" s="80" t="s">
        <v>132</v>
      </c>
      <c r="M81" s="84">
        <f>M76/M77</f>
        <v>6793.28125</v>
      </c>
      <c r="N81" s="63"/>
      <c r="O81" s="87" t="s">
        <v>133</v>
      </c>
      <c r="P81" s="88">
        <f>COUNTIF(E5:K73, "MISSED APPT")+COUNTIF(E5:K73, "CANCELLED")</f>
        <v>7</v>
      </c>
      <c r="Q81" s="48"/>
      <c r="R81" s="48"/>
    </row>
    <row r="82">
      <c r="A82" s="12"/>
      <c r="B82" s="66"/>
      <c r="C82" s="66"/>
      <c r="D82" s="66"/>
      <c r="E82" s="66"/>
      <c r="F82" s="66"/>
      <c r="G82" s="66"/>
      <c r="H82" s="66"/>
      <c r="I82" s="66"/>
      <c r="J82" s="66"/>
      <c r="K82" s="89"/>
      <c r="L82" s="90" t="s">
        <v>134</v>
      </c>
      <c r="M82" s="91">
        <f>M76/M78</f>
        <v>8151.9375</v>
      </c>
      <c r="N82" s="92"/>
      <c r="O82" s="92"/>
      <c r="P82" s="92"/>
      <c r="Q82" s="48"/>
      <c r="R82" s="48"/>
    </row>
    <row r="83">
      <c r="A83" s="93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>
        <f>SUM(M5:M73)</f>
        <v>139747.5</v>
      </c>
      <c r="N83" s="66"/>
      <c r="O83" s="63"/>
      <c r="P83" s="92"/>
      <c r="Q83" s="22"/>
      <c r="R83" s="22"/>
    </row>
    <row r="84">
      <c r="A84" s="93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19"/>
      <c r="P84" s="22"/>
      <c r="Q84" s="22"/>
      <c r="R84" s="22"/>
    </row>
    <row r="85">
      <c r="A85" s="93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19"/>
      <c r="P85" s="22"/>
      <c r="Q85" s="22"/>
      <c r="R85" s="22"/>
    </row>
    <row r="86" hidden="1">
      <c r="A86" s="93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19"/>
      <c r="P86" s="22"/>
      <c r="Q86" s="22"/>
      <c r="R86" s="22"/>
    </row>
    <row r="87" hidden="1">
      <c r="A87" s="93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19"/>
      <c r="P87" s="22"/>
      <c r="Q87" s="22"/>
      <c r="R87" s="22"/>
    </row>
    <row r="88" hidden="1">
      <c r="A88" s="93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19"/>
      <c r="P88" s="22"/>
      <c r="Q88" s="22"/>
      <c r="R88" s="22"/>
    </row>
    <row r="89" hidden="1">
      <c r="A89" s="93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19"/>
      <c r="P89" s="22"/>
      <c r="Q89" s="22"/>
      <c r="R89" s="22"/>
    </row>
    <row r="90" hidden="1">
      <c r="A90" s="93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19"/>
      <c r="P90" s="22"/>
      <c r="Q90" s="22"/>
      <c r="R90" s="22"/>
    </row>
    <row r="91" hidden="1">
      <c r="A91" s="93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19"/>
      <c r="P91" s="22"/>
      <c r="Q91" s="22"/>
      <c r="R91" s="22"/>
    </row>
    <row r="92" hidden="1">
      <c r="A92" s="93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19"/>
      <c r="P92" s="22"/>
      <c r="Q92" s="22"/>
      <c r="R92" s="22"/>
    </row>
    <row r="93" hidden="1">
      <c r="A93" s="93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19"/>
      <c r="P93" s="22"/>
      <c r="Q93" s="22"/>
      <c r="R93" s="22"/>
    </row>
    <row r="94" hidden="1">
      <c r="A94" s="93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19"/>
      <c r="P94" s="22"/>
      <c r="Q94" s="22"/>
      <c r="R94" s="22"/>
    </row>
    <row r="95" hidden="1">
      <c r="A95" s="93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19"/>
      <c r="P95" s="22"/>
      <c r="Q95" s="22"/>
      <c r="R95" s="22"/>
    </row>
    <row r="96" hidden="1">
      <c r="A96" s="93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19"/>
      <c r="P96" s="22"/>
      <c r="Q96" s="22"/>
      <c r="R96" s="22"/>
    </row>
    <row r="97" hidden="1">
      <c r="A97" s="93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19"/>
      <c r="P97" s="22"/>
      <c r="Q97" s="22"/>
      <c r="R97" s="22"/>
    </row>
    <row r="98" hidden="1">
      <c r="A98" s="93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19"/>
      <c r="P98" s="22"/>
      <c r="Q98" s="22"/>
      <c r="R98" s="22"/>
    </row>
    <row r="99" hidden="1">
      <c r="A99" s="93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19"/>
      <c r="P99" s="22"/>
      <c r="Q99" s="22"/>
      <c r="R99" s="22"/>
    </row>
    <row r="100" hidden="1">
      <c r="A100" s="93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19"/>
      <c r="P100" s="22"/>
      <c r="Q100" s="22"/>
      <c r="R100" s="22"/>
    </row>
    <row r="101" hidden="1">
      <c r="A101" s="93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19"/>
      <c r="P101" s="22"/>
      <c r="Q101" s="22"/>
      <c r="R101" s="22"/>
    </row>
    <row r="102" hidden="1">
      <c r="A102" s="93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19"/>
      <c r="P102" s="22"/>
      <c r="Q102" s="22"/>
      <c r="R102" s="22"/>
    </row>
    <row r="103" hidden="1">
      <c r="A103" s="93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19"/>
      <c r="P103" s="22"/>
      <c r="Q103" s="22"/>
      <c r="R103" s="22"/>
    </row>
    <row r="104" hidden="1">
      <c r="A104" s="93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19"/>
      <c r="P104" s="22"/>
      <c r="Q104" s="22"/>
      <c r="R104" s="22"/>
    </row>
    <row r="105" hidden="1">
      <c r="A105" s="93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19"/>
      <c r="P105" s="22"/>
      <c r="Q105" s="22"/>
      <c r="R105" s="22"/>
    </row>
    <row r="106" hidden="1">
      <c r="A106" s="93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19"/>
      <c r="P106" s="22"/>
      <c r="Q106" s="22"/>
      <c r="R106" s="22"/>
    </row>
    <row r="107" hidden="1">
      <c r="A107" s="93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19"/>
      <c r="P107" s="22"/>
      <c r="Q107" s="22"/>
      <c r="R107" s="22"/>
    </row>
    <row r="108" hidden="1">
      <c r="A108" s="93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19"/>
      <c r="P108" s="22"/>
      <c r="Q108" s="22"/>
      <c r="R108" s="22"/>
    </row>
    <row r="109" hidden="1">
      <c r="A109" s="93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19"/>
      <c r="P109" s="22"/>
      <c r="Q109" s="22"/>
      <c r="R109" s="22"/>
    </row>
    <row r="110" hidden="1">
      <c r="A110" s="93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19"/>
      <c r="P110" s="22"/>
      <c r="Q110" s="22"/>
      <c r="R110" s="22"/>
    </row>
    <row r="111" hidden="1">
      <c r="A111" s="93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19"/>
      <c r="P111" s="22"/>
      <c r="Q111" s="22"/>
      <c r="R111" s="22"/>
    </row>
    <row r="112" hidden="1">
      <c r="A112" s="93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19"/>
      <c r="P112" s="22"/>
      <c r="Q112" s="22"/>
      <c r="R112" s="22"/>
    </row>
    <row r="113" hidden="1">
      <c r="A113" s="93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19"/>
      <c r="P113" s="22"/>
      <c r="Q113" s="22"/>
      <c r="R113" s="22"/>
    </row>
    <row r="114" hidden="1">
      <c r="A114" s="93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19"/>
      <c r="P114" s="22"/>
      <c r="Q114" s="22"/>
      <c r="R114" s="22"/>
    </row>
    <row r="115" hidden="1">
      <c r="A115" s="93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19"/>
      <c r="P115" s="22"/>
      <c r="Q115" s="22"/>
      <c r="R115" s="22"/>
    </row>
    <row r="116" hidden="1">
      <c r="A116" s="93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19"/>
      <c r="P116" s="22"/>
      <c r="Q116" s="22"/>
      <c r="R116" s="22"/>
    </row>
    <row r="117" hidden="1">
      <c r="A117" s="93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19"/>
      <c r="P117" s="22"/>
      <c r="Q117" s="22"/>
      <c r="R117" s="22"/>
    </row>
    <row r="118" hidden="1">
      <c r="A118" s="93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19"/>
      <c r="P118" s="22"/>
      <c r="Q118" s="22"/>
      <c r="R118" s="22"/>
    </row>
    <row r="119" hidden="1">
      <c r="A119" s="93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19"/>
      <c r="P119" s="22"/>
      <c r="Q119" s="22"/>
      <c r="R119" s="22"/>
    </row>
    <row r="120" hidden="1">
      <c r="A120" s="93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19"/>
      <c r="P120" s="22"/>
      <c r="Q120" s="22"/>
      <c r="R120" s="22"/>
    </row>
    <row r="121" hidden="1">
      <c r="A121" s="93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19"/>
      <c r="P121" s="22"/>
      <c r="Q121" s="22"/>
      <c r="R121" s="22"/>
    </row>
    <row r="122" hidden="1">
      <c r="A122" s="93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19"/>
      <c r="P122" s="22"/>
      <c r="Q122" s="22"/>
      <c r="R122" s="22"/>
    </row>
    <row r="123" hidden="1">
      <c r="A123" s="93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19"/>
      <c r="P123" s="22"/>
      <c r="Q123" s="22"/>
      <c r="R123" s="22"/>
    </row>
    <row r="124" hidden="1">
      <c r="A124" s="93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19"/>
      <c r="P124" s="22"/>
      <c r="Q124" s="22"/>
      <c r="R124" s="22"/>
    </row>
    <row r="125" hidden="1">
      <c r="A125" s="93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19"/>
      <c r="P125" s="22"/>
      <c r="Q125" s="22"/>
      <c r="R125" s="22"/>
    </row>
    <row r="126" hidden="1">
      <c r="A126" s="93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19"/>
      <c r="P126" s="22"/>
      <c r="Q126" s="22"/>
      <c r="R126" s="22"/>
    </row>
    <row r="127" hidden="1">
      <c r="A127" s="93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19"/>
      <c r="P127" s="22"/>
      <c r="Q127" s="22"/>
      <c r="R127" s="22"/>
    </row>
    <row r="128" hidden="1">
      <c r="A128" s="93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19"/>
      <c r="P128" s="22"/>
      <c r="Q128" s="22"/>
      <c r="R128" s="22"/>
    </row>
    <row r="129" hidden="1">
      <c r="A129" s="93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19"/>
      <c r="P129" s="22"/>
      <c r="Q129" s="22"/>
      <c r="R129" s="22"/>
    </row>
    <row r="130" hidden="1">
      <c r="A130" s="93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19"/>
      <c r="P130" s="22"/>
      <c r="Q130" s="22"/>
      <c r="R130" s="22"/>
    </row>
    <row r="131" hidden="1">
      <c r="A131" s="93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19"/>
      <c r="P131" s="22"/>
      <c r="Q131" s="22"/>
      <c r="R131" s="22"/>
    </row>
    <row r="132" hidden="1">
      <c r="A132" s="93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19"/>
      <c r="P132" s="22"/>
      <c r="Q132" s="22"/>
      <c r="R132" s="22"/>
    </row>
    <row r="133" hidden="1">
      <c r="A133" s="93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19"/>
      <c r="P133" s="22"/>
      <c r="Q133" s="22"/>
      <c r="R133" s="22"/>
    </row>
    <row r="134" hidden="1">
      <c r="A134" s="93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19"/>
      <c r="P134" s="22"/>
      <c r="Q134" s="22"/>
      <c r="R134" s="22"/>
    </row>
    <row r="135" hidden="1">
      <c r="A135" s="93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19"/>
      <c r="P135" s="22"/>
      <c r="Q135" s="22"/>
      <c r="R135" s="22"/>
    </row>
    <row r="136" hidden="1">
      <c r="A136" s="93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19"/>
      <c r="P136" s="22"/>
      <c r="Q136" s="22"/>
      <c r="R136" s="22"/>
    </row>
    <row r="137" hidden="1">
      <c r="A137" s="93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19"/>
      <c r="P137" s="22"/>
      <c r="Q137" s="22"/>
      <c r="R137" s="22"/>
    </row>
    <row r="138" hidden="1">
      <c r="A138" s="93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19"/>
      <c r="P138" s="22"/>
      <c r="Q138" s="22"/>
      <c r="R138" s="22"/>
    </row>
    <row r="139" hidden="1">
      <c r="A139" s="93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19"/>
      <c r="P139" s="22"/>
      <c r="Q139" s="22"/>
      <c r="R139" s="22"/>
    </row>
    <row r="140" hidden="1">
      <c r="A140" s="93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19"/>
      <c r="P140" s="22"/>
      <c r="Q140" s="22"/>
      <c r="R140" s="22"/>
    </row>
    <row r="141" hidden="1">
      <c r="A141" s="93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19"/>
      <c r="P141" s="22"/>
      <c r="Q141" s="22"/>
      <c r="R141" s="22"/>
    </row>
    <row r="142" hidden="1">
      <c r="A142" s="93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19"/>
      <c r="P142" s="22"/>
      <c r="Q142" s="22"/>
      <c r="R142" s="22"/>
    </row>
    <row r="143" hidden="1">
      <c r="A143" s="93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19"/>
      <c r="P143" s="22"/>
      <c r="Q143" s="22"/>
      <c r="R143" s="22"/>
    </row>
    <row r="144" hidden="1">
      <c r="A144" s="93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19"/>
      <c r="P144" s="22"/>
      <c r="Q144" s="22"/>
      <c r="R144" s="22"/>
    </row>
    <row r="145" hidden="1">
      <c r="A145" s="93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19"/>
      <c r="P145" s="22"/>
      <c r="Q145" s="22"/>
      <c r="R145" s="22"/>
    </row>
    <row r="146" hidden="1">
      <c r="A146" s="93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19"/>
      <c r="P146" s="22"/>
      <c r="Q146" s="22"/>
      <c r="R146" s="22"/>
    </row>
    <row r="147" hidden="1">
      <c r="A147" s="93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19"/>
      <c r="P147" s="22"/>
      <c r="Q147" s="22"/>
      <c r="R147" s="22"/>
    </row>
    <row r="148" hidden="1">
      <c r="A148" s="93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19"/>
      <c r="P148" s="22"/>
      <c r="Q148" s="22"/>
      <c r="R148" s="22"/>
    </row>
    <row r="149" hidden="1">
      <c r="A149" s="93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19"/>
      <c r="P149" s="22"/>
      <c r="Q149" s="22"/>
      <c r="R149" s="22"/>
    </row>
    <row r="150" hidden="1">
      <c r="A150" s="93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19"/>
      <c r="P150" s="22"/>
      <c r="Q150" s="22"/>
      <c r="R150" s="22"/>
    </row>
    <row r="151" hidden="1">
      <c r="A151" s="93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19"/>
      <c r="P151" s="22"/>
      <c r="Q151" s="22"/>
      <c r="R151" s="22"/>
    </row>
    <row r="152" hidden="1">
      <c r="A152" s="93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19"/>
      <c r="P152" s="22"/>
      <c r="Q152" s="22"/>
      <c r="R152" s="22"/>
    </row>
    <row r="153" hidden="1">
      <c r="A153" s="93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19"/>
      <c r="P153" s="22"/>
      <c r="Q153" s="22"/>
      <c r="R153" s="22"/>
    </row>
    <row r="154" hidden="1">
      <c r="A154" s="93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19"/>
      <c r="P154" s="22"/>
      <c r="Q154" s="22"/>
      <c r="R154" s="22"/>
    </row>
    <row r="155" hidden="1">
      <c r="A155" s="93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19"/>
      <c r="P155" s="22"/>
      <c r="Q155" s="22"/>
      <c r="R155" s="22"/>
    </row>
    <row r="156" hidden="1">
      <c r="A156" s="93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19"/>
      <c r="P156" s="22"/>
      <c r="Q156" s="22"/>
      <c r="R156" s="22"/>
    </row>
    <row r="157" hidden="1">
      <c r="A157" s="93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19"/>
      <c r="P157" s="22"/>
      <c r="Q157" s="22"/>
      <c r="R157" s="22"/>
    </row>
    <row r="158" hidden="1">
      <c r="A158" s="93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19"/>
      <c r="P158" s="22"/>
      <c r="Q158" s="22"/>
      <c r="R158" s="22"/>
    </row>
    <row r="159" hidden="1">
      <c r="A159" s="93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19"/>
      <c r="P159" s="22"/>
      <c r="Q159" s="22"/>
      <c r="R159" s="22"/>
    </row>
    <row r="160" hidden="1">
      <c r="A160" s="93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19"/>
      <c r="P160" s="22"/>
      <c r="Q160" s="22"/>
      <c r="R160" s="22"/>
    </row>
    <row r="161" hidden="1">
      <c r="A161" s="93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19"/>
      <c r="P161" s="22"/>
      <c r="Q161" s="22"/>
      <c r="R161" s="22"/>
    </row>
    <row r="162" hidden="1">
      <c r="A162" s="93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19"/>
      <c r="P162" s="22"/>
      <c r="Q162" s="22"/>
      <c r="R162" s="22"/>
    </row>
    <row r="163" hidden="1">
      <c r="A163" s="93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19"/>
      <c r="P163" s="22"/>
      <c r="Q163" s="22"/>
      <c r="R163" s="22"/>
    </row>
    <row r="164" hidden="1">
      <c r="A164" s="93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19"/>
      <c r="P164" s="22"/>
      <c r="Q164" s="22"/>
      <c r="R164" s="22"/>
    </row>
    <row r="165" hidden="1">
      <c r="A165" s="93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19"/>
      <c r="P165" s="22"/>
      <c r="Q165" s="22"/>
      <c r="R165" s="22"/>
    </row>
    <row r="166" hidden="1">
      <c r="A166" s="93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19"/>
      <c r="P166" s="22"/>
      <c r="Q166" s="22"/>
      <c r="R166" s="22"/>
    </row>
    <row r="167" hidden="1">
      <c r="A167" s="93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19"/>
      <c r="P167" s="22"/>
      <c r="Q167" s="22"/>
      <c r="R167" s="22"/>
    </row>
    <row r="168" hidden="1">
      <c r="A168" s="93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19"/>
      <c r="P168" s="22"/>
      <c r="Q168" s="22"/>
      <c r="R168" s="22"/>
    </row>
    <row r="169" hidden="1">
      <c r="A169" s="93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19"/>
      <c r="P169" s="22"/>
      <c r="Q169" s="22"/>
      <c r="R169" s="22"/>
    </row>
    <row r="170" hidden="1">
      <c r="A170" s="93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19"/>
      <c r="P170" s="22"/>
      <c r="Q170" s="22"/>
      <c r="R170" s="22"/>
    </row>
    <row r="171" hidden="1">
      <c r="A171" s="93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19"/>
      <c r="P171" s="22"/>
      <c r="Q171" s="22"/>
      <c r="R171" s="22"/>
    </row>
    <row r="172" hidden="1">
      <c r="A172" s="93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19"/>
      <c r="P172" s="22"/>
      <c r="Q172" s="22"/>
      <c r="R172" s="22"/>
    </row>
    <row r="173" hidden="1">
      <c r="A173" s="93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19"/>
      <c r="P173" s="22"/>
      <c r="Q173" s="22"/>
      <c r="R173" s="22"/>
    </row>
    <row r="174" hidden="1">
      <c r="A174" s="93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19"/>
      <c r="P174" s="22"/>
      <c r="Q174" s="22"/>
      <c r="R174" s="22"/>
    </row>
    <row r="175" hidden="1">
      <c r="A175" s="93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19"/>
      <c r="P175" s="22"/>
      <c r="Q175" s="22"/>
      <c r="R175" s="22"/>
    </row>
    <row r="176" hidden="1">
      <c r="A176" s="93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19"/>
      <c r="P176" s="22"/>
      <c r="Q176" s="22"/>
      <c r="R176" s="22"/>
    </row>
    <row r="177" hidden="1">
      <c r="A177" s="93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19"/>
      <c r="P177" s="22"/>
      <c r="Q177" s="22"/>
      <c r="R177" s="22"/>
    </row>
    <row r="178" hidden="1">
      <c r="A178" s="93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19"/>
      <c r="P178" s="22"/>
      <c r="Q178" s="22"/>
      <c r="R178" s="22"/>
    </row>
    <row r="179" hidden="1">
      <c r="A179" s="93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19"/>
      <c r="P179" s="22"/>
      <c r="Q179" s="22"/>
      <c r="R179" s="22"/>
    </row>
    <row r="180" hidden="1">
      <c r="A180" s="93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19"/>
      <c r="P180" s="22"/>
      <c r="Q180" s="22"/>
      <c r="R180" s="22"/>
    </row>
    <row r="181" hidden="1">
      <c r="A181" s="93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19"/>
      <c r="P181" s="22"/>
      <c r="Q181" s="22"/>
      <c r="R181" s="22"/>
    </row>
    <row r="182" hidden="1">
      <c r="A182" s="93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19"/>
      <c r="P182" s="22"/>
      <c r="Q182" s="22"/>
      <c r="R182" s="22"/>
    </row>
    <row r="183" hidden="1">
      <c r="A183" s="93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19"/>
      <c r="P183" s="22"/>
      <c r="Q183" s="22"/>
      <c r="R183" s="22"/>
    </row>
    <row r="184" hidden="1">
      <c r="A184" s="93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19"/>
      <c r="P184" s="22"/>
      <c r="Q184" s="22"/>
      <c r="R184" s="22"/>
    </row>
    <row r="185" hidden="1">
      <c r="A185" s="93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19"/>
      <c r="P185" s="22"/>
      <c r="Q185" s="22"/>
      <c r="R185" s="22"/>
    </row>
    <row r="186" hidden="1">
      <c r="A186" s="93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19"/>
      <c r="P186" s="22"/>
      <c r="Q186" s="22"/>
      <c r="R186" s="22"/>
    </row>
    <row r="187" hidden="1">
      <c r="A187" s="93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19"/>
      <c r="P187" s="22"/>
      <c r="Q187" s="22"/>
      <c r="R187" s="22"/>
    </row>
    <row r="188" hidden="1">
      <c r="A188" s="93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19"/>
      <c r="P188" s="22"/>
      <c r="Q188" s="22"/>
      <c r="R188" s="22"/>
    </row>
    <row r="189" hidden="1">
      <c r="A189" s="93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19"/>
      <c r="P189" s="22"/>
      <c r="Q189" s="22"/>
      <c r="R189" s="22"/>
    </row>
    <row r="190" hidden="1">
      <c r="A190" s="93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19"/>
      <c r="P190" s="22"/>
      <c r="Q190" s="22"/>
      <c r="R190" s="22"/>
    </row>
    <row r="191" hidden="1">
      <c r="A191" s="93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19"/>
      <c r="P191" s="22"/>
      <c r="Q191" s="22"/>
      <c r="R191" s="22"/>
    </row>
    <row r="192" hidden="1">
      <c r="A192" s="93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19"/>
      <c r="P192" s="22"/>
      <c r="Q192" s="22"/>
      <c r="R192" s="22"/>
    </row>
    <row r="193" hidden="1">
      <c r="A193" s="93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19"/>
      <c r="P193" s="22"/>
      <c r="Q193" s="22"/>
      <c r="R193" s="22"/>
    </row>
    <row r="194" hidden="1">
      <c r="A194" s="93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19"/>
      <c r="P194" s="22"/>
      <c r="Q194" s="22"/>
      <c r="R194" s="22"/>
    </row>
    <row r="195" hidden="1">
      <c r="A195" s="93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19"/>
      <c r="P195" s="22"/>
      <c r="Q195" s="22"/>
      <c r="R195" s="22"/>
    </row>
    <row r="196" hidden="1">
      <c r="A196" s="93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19"/>
      <c r="P196" s="22"/>
      <c r="Q196" s="22"/>
      <c r="R196" s="22"/>
    </row>
    <row r="197" hidden="1">
      <c r="A197" s="93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19"/>
      <c r="P197" s="22"/>
      <c r="Q197" s="22"/>
      <c r="R197" s="22"/>
    </row>
    <row r="198" hidden="1">
      <c r="A198" s="93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19"/>
      <c r="P198" s="22"/>
      <c r="Q198" s="22"/>
      <c r="R198" s="22"/>
    </row>
    <row r="199" hidden="1">
      <c r="A199" s="93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19"/>
      <c r="P199" s="22"/>
      <c r="Q199" s="22"/>
      <c r="R199" s="22"/>
    </row>
    <row r="200" hidden="1">
      <c r="A200" s="93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19"/>
      <c r="P200" s="22"/>
      <c r="Q200" s="22"/>
      <c r="R200" s="22"/>
    </row>
    <row r="201" hidden="1">
      <c r="A201" s="93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19"/>
      <c r="P201" s="22"/>
      <c r="Q201" s="22"/>
      <c r="R201" s="22"/>
    </row>
    <row r="202" hidden="1">
      <c r="A202" s="93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19"/>
      <c r="P202" s="22"/>
      <c r="Q202" s="22"/>
      <c r="R202" s="22"/>
    </row>
    <row r="203" hidden="1">
      <c r="A203" s="93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19"/>
      <c r="P203" s="22"/>
      <c r="Q203" s="22"/>
      <c r="R203" s="22"/>
    </row>
    <row r="204" hidden="1">
      <c r="A204" s="93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19"/>
      <c r="P204" s="22"/>
      <c r="Q204" s="22"/>
      <c r="R204" s="22"/>
    </row>
    <row r="205" hidden="1">
      <c r="A205" s="93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19"/>
      <c r="P205" s="22"/>
      <c r="Q205" s="22"/>
      <c r="R205" s="22"/>
    </row>
    <row r="206" hidden="1">
      <c r="A206" s="93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19"/>
      <c r="P206" s="22"/>
      <c r="Q206" s="22"/>
      <c r="R206" s="22"/>
    </row>
    <row r="207" hidden="1">
      <c r="A207" s="93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19"/>
      <c r="P207" s="22"/>
      <c r="Q207" s="22"/>
      <c r="R207" s="22"/>
    </row>
    <row r="208" hidden="1">
      <c r="A208" s="93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19"/>
      <c r="P208" s="22"/>
      <c r="Q208" s="22"/>
      <c r="R208" s="22"/>
    </row>
    <row r="209" hidden="1">
      <c r="A209" s="93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19"/>
      <c r="P209" s="22"/>
      <c r="Q209" s="22"/>
      <c r="R209" s="22"/>
    </row>
    <row r="210" hidden="1">
      <c r="A210" s="93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19"/>
      <c r="P210" s="22"/>
      <c r="Q210" s="22"/>
      <c r="R210" s="22"/>
    </row>
    <row r="211" hidden="1">
      <c r="A211" s="93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19"/>
      <c r="P211" s="22"/>
      <c r="Q211" s="22"/>
      <c r="R211" s="22"/>
    </row>
    <row r="212" hidden="1">
      <c r="A212" s="93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19"/>
      <c r="P212" s="22"/>
      <c r="Q212" s="22"/>
      <c r="R212" s="22"/>
    </row>
    <row r="213" hidden="1">
      <c r="A213" s="93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19"/>
      <c r="P213" s="22"/>
      <c r="Q213" s="22"/>
      <c r="R213" s="22"/>
    </row>
    <row r="214" hidden="1">
      <c r="A214" s="93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19"/>
      <c r="P214" s="22"/>
      <c r="Q214" s="22"/>
      <c r="R214" s="22"/>
    </row>
    <row r="215" hidden="1">
      <c r="A215" s="93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19"/>
      <c r="P215" s="22"/>
      <c r="Q215" s="22"/>
      <c r="R215" s="22"/>
    </row>
    <row r="216" hidden="1">
      <c r="A216" s="93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19"/>
      <c r="P216" s="22"/>
      <c r="Q216" s="22"/>
      <c r="R216" s="22"/>
    </row>
    <row r="217" hidden="1">
      <c r="A217" s="93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19"/>
      <c r="P217" s="22"/>
      <c r="Q217" s="22"/>
      <c r="R217" s="22"/>
    </row>
    <row r="218" hidden="1">
      <c r="A218" s="93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19"/>
      <c r="P218" s="22"/>
      <c r="Q218" s="22"/>
      <c r="R218" s="22"/>
    </row>
    <row r="219" hidden="1">
      <c r="A219" s="93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19"/>
      <c r="P219" s="22"/>
      <c r="Q219" s="22"/>
      <c r="R219" s="22"/>
    </row>
    <row r="220" hidden="1">
      <c r="A220" s="93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19"/>
      <c r="P220" s="22"/>
      <c r="Q220" s="22"/>
      <c r="R220" s="22"/>
    </row>
    <row r="221" hidden="1">
      <c r="A221" s="93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19"/>
      <c r="P221" s="22"/>
      <c r="Q221" s="22"/>
      <c r="R221" s="22"/>
    </row>
    <row r="222" hidden="1">
      <c r="A222" s="93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19"/>
      <c r="P222" s="22"/>
      <c r="Q222" s="22"/>
      <c r="R222" s="22"/>
    </row>
    <row r="223" hidden="1">
      <c r="A223" s="93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19"/>
      <c r="P223" s="22"/>
      <c r="Q223" s="22"/>
      <c r="R223" s="22"/>
    </row>
    <row r="224" hidden="1">
      <c r="A224" s="93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19"/>
      <c r="P224" s="22"/>
      <c r="Q224" s="22"/>
      <c r="R224" s="22"/>
    </row>
    <row r="225" hidden="1">
      <c r="A225" s="93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19"/>
      <c r="P225" s="22"/>
      <c r="Q225" s="22"/>
      <c r="R225" s="22"/>
    </row>
    <row r="226" hidden="1">
      <c r="A226" s="93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19"/>
      <c r="P226" s="22"/>
      <c r="Q226" s="22"/>
      <c r="R226" s="22"/>
    </row>
    <row r="227" hidden="1">
      <c r="A227" s="93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19"/>
      <c r="P227" s="22"/>
      <c r="Q227" s="22"/>
      <c r="R227" s="22"/>
    </row>
    <row r="228" hidden="1">
      <c r="A228" s="93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19"/>
      <c r="P228" s="22"/>
      <c r="Q228" s="22"/>
      <c r="R228" s="22"/>
    </row>
    <row r="229" hidden="1">
      <c r="A229" s="93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19"/>
      <c r="P229" s="22"/>
      <c r="Q229" s="22"/>
      <c r="R229" s="22"/>
    </row>
    <row r="230" hidden="1">
      <c r="A230" s="93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19"/>
      <c r="P230" s="22"/>
      <c r="Q230" s="22"/>
      <c r="R230" s="22"/>
    </row>
    <row r="231" hidden="1">
      <c r="A231" s="93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19"/>
      <c r="P231" s="22"/>
      <c r="Q231" s="22"/>
      <c r="R231" s="22"/>
    </row>
    <row r="232" hidden="1">
      <c r="A232" s="93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19"/>
      <c r="P232" s="22"/>
      <c r="Q232" s="22"/>
      <c r="R232" s="22"/>
    </row>
    <row r="233" hidden="1">
      <c r="A233" s="93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19"/>
      <c r="P233" s="22"/>
      <c r="Q233" s="22"/>
      <c r="R233" s="22"/>
    </row>
    <row r="234" hidden="1">
      <c r="A234" s="93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19"/>
      <c r="P234" s="22"/>
      <c r="Q234" s="22"/>
      <c r="R234" s="22"/>
    </row>
    <row r="235" hidden="1">
      <c r="A235" s="93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19"/>
      <c r="P235" s="22"/>
      <c r="Q235" s="22"/>
      <c r="R235" s="22"/>
    </row>
    <row r="236" hidden="1">
      <c r="A236" s="93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19"/>
      <c r="P236" s="22"/>
      <c r="Q236" s="22"/>
      <c r="R236" s="22"/>
    </row>
    <row r="237" hidden="1">
      <c r="A237" s="93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19"/>
      <c r="P237" s="22"/>
      <c r="Q237" s="22"/>
      <c r="R237" s="22"/>
    </row>
    <row r="238" hidden="1">
      <c r="A238" s="93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19"/>
      <c r="P238" s="22"/>
      <c r="Q238" s="22"/>
      <c r="R238" s="22"/>
    </row>
    <row r="239" hidden="1">
      <c r="A239" s="93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19"/>
      <c r="P239" s="22"/>
      <c r="Q239" s="22"/>
      <c r="R239" s="22"/>
    </row>
    <row r="240" hidden="1">
      <c r="A240" s="93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19"/>
      <c r="P240" s="22"/>
      <c r="Q240" s="22"/>
      <c r="R240" s="22"/>
    </row>
    <row r="241" hidden="1">
      <c r="A241" s="93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19"/>
      <c r="P241" s="22"/>
      <c r="Q241" s="22"/>
      <c r="R241" s="22"/>
    </row>
    <row r="242" hidden="1">
      <c r="A242" s="93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19"/>
      <c r="P242" s="22"/>
      <c r="Q242" s="22"/>
      <c r="R242" s="22"/>
    </row>
    <row r="243" hidden="1">
      <c r="A243" s="93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19"/>
      <c r="P243" s="22"/>
      <c r="Q243" s="22"/>
      <c r="R243" s="22"/>
    </row>
    <row r="244" hidden="1">
      <c r="A244" s="93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19"/>
      <c r="P244" s="22"/>
      <c r="Q244" s="22"/>
      <c r="R244" s="22"/>
    </row>
    <row r="245" hidden="1">
      <c r="A245" s="93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19"/>
      <c r="P245" s="22"/>
      <c r="Q245" s="22"/>
      <c r="R245" s="22"/>
    </row>
    <row r="246" hidden="1">
      <c r="A246" s="93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19"/>
      <c r="P246" s="22"/>
      <c r="Q246" s="22"/>
      <c r="R246" s="22"/>
    </row>
    <row r="247" hidden="1">
      <c r="A247" s="93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19"/>
      <c r="P247" s="22"/>
      <c r="Q247" s="22"/>
      <c r="R247" s="22"/>
    </row>
    <row r="248" hidden="1">
      <c r="A248" s="93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19"/>
      <c r="P248" s="22"/>
      <c r="Q248" s="22"/>
      <c r="R248" s="22"/>
    </row>
    <row r="249" hidden="1">
      <c r="A249" s="93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19"/>
      <c r="P249" s="22"/>
      <c r="Q249" s="22"/>
      <c r="R249" s="22"/>
    </row>
    <row r="250" hidden="1">
      <c r="A250" s="93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19"/>
      <c r="P250" s="22"/>
      <c r="Q250" s="22"/>
      <c r="R250" s="22"/>
    </row>
    <row r="251" hidden="1">
      <c r="A251" s="93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19"/>
      <c r="P251" s="22"/>
      <c r="Q251" s="22"/>
      <c r="R251" s="22"/>
    </row>
    <row r="252" hidden="1">
      <c r="A252" s="93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19"/>
      <c r="P252" s="22"/>
      <c r="Q252" s="22"/>
      <c r="R252" s="22"/>
    </row>
    <row r="253" hidden="1">
      <c r="A253" s="93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19"/>
      <c r="P253" s="22"/>
      <c r="Q253" s="22"/>
      <c r="R253" s="22"/>
    </row>
    <row r="254" hidden="1">
      <c r="A254" s="93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19"/>
      <c r="P254" s="22"/>
      <c r="Q254" s="22"/>
      <c r="R254" s="22"/>
    </row>
    <row r="255" hidden="1">
      <c r="A255" s="93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19"/>
      <c r="P255" s="22"/>
      <c r="Q255" s="22"/>
      <c r="R255" s="22"/>
    </row>
    <row r="256" hidden="1">
      <c r="A256" s="93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19"/>
      <c r="P256" s="22"/>
      <c r="Q256" s="22"/>
      <c r="R256" s="22"/>
    </row>
    <row r="257" hidden="1">
      <c r="A257" s="93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19"/>
      <c r="P257" s="22"/>
      <c r="Q257" s="22"/>
      <c r="R257" s="22"/>
    </row>
    <row r="258" hidden="1">
      <c r="A258" s="93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19"/>
      <c r="P258" s="22"/>
      <c r="Q258" s="22"/>
      <c r="R258" s="22"/>
    </row>
    <row r="259" hidden="1">
      <c r="A259" s="93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19"/>
      <c r="P259" s="22"/>
      <c r="Q259" s="22"/>
      <c r="R259" s="22"/>
    </row>
    <row r="260" hidden="1">
      <c r="A260" s="93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19"/>
      <c r="P260" s="22"/>
      <c r="Q260" s="22"/>
      <c r="R260" s="22"/>
    </row>
    <row r="261" hidden="1">
      <c r="A261" s="93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19"/>
      <c r="P261" s="22"/>
      <c r="Q261" s="22"/>
      <c r="R261" s="22"/>
    </row>
    <row r="262" hidden="1">
      <c r="A262" s="93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19"/>
      <c r="P262" s="22"/>
      <c r="Q262" s="22"/>
      <c r="R262" s="22"/>
    </row>
    <row r="263" hidden="1">
      <c r="A263" s="93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19"/>
      <c r="P263" s="22"/>
      <c r="Q263" s="22"/>
      <c r="R263" s="22"/>
    </row>
    <row r="264" hidden="1">
      <c r="A264" s="93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19"/>
      <c r="P264" s="22"/>
      <c r="Q264" s="22"/>
      <c r="R264" s="22"/>
    </row>
    <row r="265" hidden="1">
      <c r="A265" s="93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19"/>
      <c r="P265" s="22"/>
      <c r="Q265" s="22"/>
      <c r="R265" s="22"/>
    </row>
    <row r="266" hidden="1">
      <c r="A266" s="93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19"/>
      <c r="P266" s="22"/>
      <c r="Q266" s="22"/>
      <c r="R266" s="22"/>
    </row>
    <row r="267" hidden="1">
      <c r="A267" s="93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19"/>
      <c r="P267" s="22"/>
      <c r="Q267" s="22"/>
      <c r="R267" s="22"/>
    </row>
    <row r="268" hidden="1">
      <c r="A268" s="93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19"/>
      <c r="P268" s="22"/>
      <c r="Q268" s="22"/>
      <c r="R268" s="22"/>
    </row>
    <row r="269" hidden="1">
      <c r="A269" s="93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19"/>
      <c r="P269" s="22"/>
      <c r="Q269" s="22"/>
      <c r="R269" s="22"/>
    </row>
    <row r="270" hidden="1">
      <c r="A270" s="93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19"/>
      <c r="P270" s="22"/>
      <c r="Q270" s="22"/>
      <c r="R270" s="22"/>
    </row>
    <row r="271" hidden="1">
      <c r="A271" s="93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19"/>
      <c r="P271" s="22"/>
      <c r="Q271" s="22"/>
      <c r="R271" s="22"/>
    </row>
    <row r="272" hidden="1">
      <c r="A272" s="93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19"/>
      <c r="P272" s="22"/>
      <c r="Q272" s="22"/>
      <c r="R272" s="22"/>
    </row>
    <row r="273" hidden="1">
      <c r="A273" s="93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19"/>
      <c r="P273" s="22"/>
      <c r="Q273" s="22"/>
      <c r="R273" s="22"/>
    </row>
    <row r="274" hidden="1">
      <c r="A274" s="93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19"/>
      <c r="P274" s="22"/>
      <c r="Q274" s="22"/>
      <c r="R274" s="22"/>
    </row>
    <row r="275" hidden="1">
      <c r="A275" s="93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19"/>
      <c r="P275" s="22"/>
      <c r="Q275" s="22"/>
      <c r="R275" s="22"/>
    </row>
    <row r="276" hidden="1">
      <c r="A276" s="93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19"/>
      <c r="P276" s="22"/>
      <c r="Q276" s="22"/>
      <c r="R276" s="22"/>
    </row>
    <row r="277" hidden="1">
      <c r="A277" s="93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19"/>
      <c r="P277" s="22"/>
      <c r="Q277" s="22"/>
      <c r="R277" s="22"/>
    </row>
    <row r="278" hidden="1">
      <c r="A278" s="93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19"/>
      <c r="P278" s="22"/>
      <c r="Q278" s="22"/>
      <c r="R278" s="22"/>
    </row>
    <row r="279" hidden="1">
      <c r="A279" s="93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19"/>
      <c r="P279" s="22"/>
      <c r="Q279" s="22"/>
      <c r="R279" s="22"/>
    </row>
    <row r="280" hidden="1">
      <c r="A280" s="93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19"/>
      <c r="P280" s="22"/>
      <c r="Q280" s="22"/>
      <c r="R280" s="22"/>
    </row>
    <row r="281" hidden="1">
      <c r="A281" s="93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19"/>
      <c r="P281" s="22"/>
      <c r="Q281" s="22"/>
      <c r="R281" s="22"/>
    </row>
    <row r="282" hidden="1">
      <c r="A282" s="93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19"/>
      <c r="P282" s="22"/>
      <c r="Q282" s="22"/>
      <c r="R282" s="22"/>
    </row>
    <row r="283" hidden="1">
      <c r="A283" s="93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19"/>
      <c r="P283" s="22"/>
      <c r="Q283" s="22"/>
      <c r="R283" s="22"/>
    </row>
    <row r="284" hidden="1">
      <c r="A284" s="93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19"/>
      <c r="P284" s="22"/>
      <c r="Q284" s="22"/>
      <c r="R284" s="22"/>
    </row>
    <row r="285" hidden="1">
      <c r="A285" s="93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19"/>
      <c r="P285" s="22"/>
      <c r="Q285" s="22"/>
      <c r="R285" s="22"/>
    </row>
    <row r="286" hidden="1">
      <c r="A286" s="93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19"/>
      <c r="P286" s="22"/>
      <c r="Q286" s="22"/>
      <c r="R286" s="22"/>
    </row>
    <row r="287" hidden="1">
      <c r="A287" s="93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19"/>
      <c r="P287" s="22"/>
      <c r="Q287" s="22"/>
      <c r="R287" s="22"/>
    </row>
    <row r="288" hidden="1">
      <c r="A288" s="93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19"/>
      <c r="P288" s="22"/>
      <c r="Q288" s="22"/>
      <c r="R288" s="22"/>
    </row>
    <row r="289" hidden="1">
      <c r="A289" s="93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19"/>
      <c r="P289" s="22"/>
      <c r="Q289" s="22"/>
      <c r="R289" s="22"/>
    </row>
    <row r="290" hidden="1">
      <c r="A290" s="93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19"/>
      <c r="P290" s="22"/>
      <c r="Q290" s="22"/>
      <c r="R290" s="22"/>
    </row>
    <row r="291" hidden="1">
      <c r="A291" s="93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19"/>
      <c r="P291" s="22"/>
      <c r="Q291" s="22"/>
      <c r="R291" s="22"/>
    </row>
    <row r="292" hidden="1">
      <c r="A292" s="93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19"/>
      <c r="P292" s="22"/>
      <c r="Q292" s="22"/>
      <c r="R292" s="22"/>
    </row>
    <row r="293" hidden="1">
      <c r="A293" s="93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19"/>
      <c r="P293" s="22"/>
      <c r="Q293" s="22"/>
      <c r="R293" s="22"/>
    </row>
    <row r="294" hidden="1">
      <c r="A294" s="93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19"/>
      <c r="P294" s="22"/>
      <c r="Q294" s="22"/>
      <c r="R294" s="22"/>
    </row>
    <row r="295" hidden="1">
      <c r="A295" s="93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19"/>
      <c r="P295" s="22"/>
      <c r="Q295" s="22"/>
      <c r="R295" s="22"/>
    </row>
    <row r="296" hidden="1">
      <c r="A296" s="93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19"/>
      <c r="P296" s="22"/>
      <c r="Q296" s="22"/>
      <c r="R296" s="22"/>
    </row>
    <row r="297" hidden="1">
      <c r="A297" s="93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19"/>
      <c r="P297" s="22"/>
      <c r="Q297" s="22"/>
      <c r="R297" s="22"/>
    </row>
    <row r="298" hidden="1">
      <c r="A298" s="93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19"/>
      <c r="P298" s="22"/>
      <c r="Q298" s="22"/>
      <c r="R298" s="22"/>
    </row>
    <row r="299" hidden="1">
      <c r="A299" s="93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19"/>
      <c r="P299" s="22"/>
      <c r="Q299" s="22"/>
      <c r="R299" s="22"/>
    </row>
    <row r="300" hidden="1">
      <c r="A300" s="93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19"/>
      <c r="P300" s="22"/>
      <c r="Q300" s="22"/>
      <c r="R300" s="22"/>
    </row>
    <row r="301" hidden="1">
      <c r="A301" s="93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19"/>
      <c r="P301" s="22"/>
      <c r="Q301" s="22"/>
      <c r="R301" s="22"/>
    </row>
    <row r="302" hidden="1">
      <c r="A302" s="93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19"/>
      <c r="P302" s="22"/>
      <c r="Q302" s="22"/>
      <c r="R302" s="22"/>
    </row>
    <row r="303" hidden="1">
      <c r="A303" s="93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19"/>
      <c r="P303" s="22"/>
      <c r="Q303" s="22"/>
      <c r="R303" s="22"/>
    </row>
    <row r="304" hidden="1">
      <c r="A304" s="93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19"/>
      <c r="P304" s="22"/>
      <c r="Q304" s="22"/>
      <c r="R304" s="22"/>
    </row>
    <row r="305" hidden="1">
      <c r="A305" s="93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19"/>
      <c r="P305" s="22"/>
      <c r="Q305" s="22"/>
      <c r="R305" s="22"/>
    </row>
    <row r="306" hidden="1">
      <c r="A306" s="93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19"/>
      <c r="P306" s="22"/>
      <c r="Q306" s="22"/>
      <c r="R306" s="22"/>
    </row>
    <row r="307" hidden="1">
      <c r="A307" s="93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19"/>
      <c r="P307" s="22"/>
      <c r="Q307" s="22"/>
      <c r="R307" s="22"/>
    </row>
    <row r="308" hidden="1">
      <c r="A308" s="93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19"/>
      <c r="P308" s="22"/>
      <c r="Q308" s="22"/>
      <c r="R308" s="22"/>
    </row>
    <row r="309" hidden="1">
      <c r="A309" s="93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19"/>
      <c r="P309" s="22"/>
      <c r="Q309" s="22"/>
      <c r="R309" s="22"/>
    </row>
    <row r="310" hidden="1">
      <c r="A310" s="93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19"/>
      <c r="P310" s="22"/>
      <c r="Q310" s="22"/>
      <c r="R310" s="22"/>
    </row>
    <row r="311" hidden="1">
      <c r="A311" s="93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19"/>
      <c r="P311" s="22"/>
      <c r="Q311" s="22"/>
      <c r="R311" s="22"/>
    </row>
    <row r="312" hidden="1">
      <c r="A312" s="93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19"/>
      <c r="P312" s="22"/>
      <c r="Q312" s="22"/>
      <c r="R312" s="22"/>
    </row>
    <row r="313" hidden="1">
      <c r="A313" s="93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19"/>
      <c r="P313" s="22"/>
      <c r="Q313" s="22"/>
      <c r="R313" s="22"/>
    </row>
    <row r="314" hidden="1">
      <c r="A314" s="93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19"/>
      <c r="P314" s="22"/>
      <c r="Q314" s="22"/>
      <c r="R314" s="22"/>
    </row>
    <row r="315" hidden="1">
      <c r="A315" s="93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19"/>
      <c r="P315" s="22"/>
      <c r="Q315" s="22"/>
      <c r="R315" s="22"/>
    </row>
    <row r="316" hidden="1">
      <c r="A316" s="93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19"/>
      <c r="P316" s="22"/>
      <c r="Q316" s="22"/>
      <c r="R316" s="22"/>
    </row>
    <row r="317" hidden="1">
      <c r="A317" s="93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19"/>
      <c r="P317" s="22"/>
      <c r="Q317" s="22"/>
      <c r="R317" s="22"/>
    </row>
    <row r="318" hidden="1">
      <c r="A318" s="93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19"/>
      <c r="P318" s="22"/>
      <c r="Q318" s="22"/>
      <c r="R318" s="22"/>
    </row>
    <row r="319" hidden="1">
      <c r="A319" s="93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19"/>
      <c r="P319" s="22"/>
      <c r="Q319" s="22"/>
      <c r="R319" s="22"/>
    </row>
    <row r="320" hidden="1">
      <c r="A320" s="93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19"/>
      <c r="P320" s="22"/>
      <c r="Q320" s="22"/>
      <c r="R320" s="22"/>
    </row>
    <row r="321" hidden="1">
      <c r="A321" s="93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19"/>
      <c r="P321" s="22"/>
      <c r="Q321" s="22"/>
      <c r="R321" s="22"/>
    </row>
    <row r="322" hidden="1">
      <c r="A322" s="93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19"/>
      <c r="P322" s="22"/>
      <c r="Q322" s="22"/>
      <c r="R322" s="22"/>
    </row>
    <row r="323" hidden="1">
      <c r="A323" s="93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19"/>
      <c r="P323" s="22"/>
      <c r="Q323" s="22"/>
      <c r="R323" s="22"/>
    </row>
    <row r="324" hidden="1">
      <c r="A324" s="93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19"/>
      <c r="P324" s="22"/>
      <c r="Q324" s="22"/>
      <c r="R324" s="22"/>
    </row>
    <row r="325" hidden="1">
      <c r="A325" s="93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19"/>
      <c r="P325" s="22"/>
      <c r="Q325" s="22"/>
      <c r="R325" s="22"/>
    </row>
    <row r="326" hidden="1">
      <c r="A326" s="93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19"/>
      <c r="P326" s="22"/>
      <c r="Q326" s="22"/>
      <c r="R326" s="22"/>
    </row>
    <row r="327" hidden="1">
      <c r="A327" s="93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19"/>
      <c r="P327" s="22"/>
      <c r="Q327" s="22"/>
      <c r="R327" s="22"/>
    </row>
    <row r="328" hidden="1">
      <c r="A328" s="93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19"/>
      <c r="P328" s="22"/>
      <c r="Q328" s="22"/>
      <c r="R328" s="22"/>
    </row>
    <row r="329" hidden="1">
      <c r="A329" s="93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19"/>
      <c r="P329" s="22"/>
      <c r="Q329" s="22"/>
      <c r="R329" s="22"/>
    </row>
    <row r="330" hidden="1">
      <c r="A330" s="93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19"/>
      <c r="P330" s="22"/>
      <c r="Q330" s="22"/>
      <c r="R330" s="22"/>
    </row>
    <row r="331" hidden="1">
      <c r="A331" s="93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19"/>
      <c r="P331" s="22"/>
      <c r="Q331" s="22"/>
      <c r="R331" s="22"/>
    </row>
    <row r="332" hidden="1">
      <c r="A332" s="93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19"/>
      <c r="P332" s="22"/>
      <c r="Q332" s="22"/>
      <c r="R332" s="22"/>
    </row>
    <row r="333" hidden="1">
      <c r="A333" s="93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19"/>
      <c r="P333" s="22"/>
      <c r="Q333" s="22"/>
      <c r="R333" s="22"/>
    </row>
    <row r="334" hidden="1">
      <c r="A334" s="93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19"/>
      <c r="P334" s="22"/>
      <c r="Q334" s="22"/>
      <c r="R334" s="22"/>
    </row>
    <row r="335" hidden="1">
      <c r="A335" s="93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19"/>
      <c r="P335" s="22"/>
      <c r="Q335" s="22"/>
      <c r="R335" s="22"/>
    </row>
    <row r="336" hidden="1">
      <c r="A336" s="93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19"/>
      <c r="P336" s="22"/>
      <c r="Q336" s="22"/>
      <c r="R336" s="22"/>
    </row>
    <row r="337" hidden="1">
      <c r="A337" s="93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19"/>
      <c r="P337" s="22"/>
      <c r="Q337" s="22"/>
      <c r="R337" s="22"/>
    </row>
    <row r="338" hidden="1">
      <c r="A338" s="93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19"/>
      <c r="P338" s="22"/>
      <c r="Q338" s="22"/>
      <c r="R338" s="22"/>
    </row>
    <row r="339" hidden="1">
      <c r="A339" s="93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19"/>
      <c r="P339" s="22"/>
      <c r="Q339" s="22"/>
      <c r="R339" s="22"/>
    </row>
    <row r="340" hidden="1">
      <c r="A340" s="93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19"/>
      <c r="P340" s="22"/>
      <c r="Q340" s="22"/>
      <c r="R340" s="22"/>
    </row>
    <row r="341" hidden="1">
      <c r="A341" s="93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19"/>
      <c r="P341" s="22"/>
      <c r="Q341" s="22"/>
      <c r="R341" s="22"/>
    </row>
    <row r="342" hidden="1">
      <c r="A342" s="93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19"/>
      <c r="P342" s="22"/>
      <c r="Q342" s="22"/>
      <c r="R342" s="22"/>
    </row>
    <row r="343" hidden="1">
      <c r="A343" s="93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19"/>
      <c r="P343" s="22"/>
      <c r="Q343" s="22"/>
      <c r="R343" s="22"/>
    </row>
    <row r="344" hidden="1">
      <c r="A344" s="93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19"/>
      <c r="P344" s="22"/>
      <c r="Q344" s="22"/>
      <c r="R344" s="22"/>
    </row>
    <row r="345" hidden="1">
      <c r="A345" s="93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19"/>
      <c r="P345" s="22"/>
      <c r="Q345" s="22"/>
      <c r="R345" s="22"/>
    </row>
    <row r="346" hidden="1">
      <c r="A346" s="93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19"/>
      <c r="P346" s="22"/>
      <c r="Q346" s="22"/>
      <c r="R346" s="22"/>
    </row>
    <row r="347" hidden="1">
      <c r="A347" s="93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19"/>
      <c r="P347" s="22"/>
      <c r="Q347" s="22"/>
      <c r="R347" s="22"/>
    </row>
    <row r="348" hidden="1">
      <c r="A348" s="93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19"/>
      <c r="P348" s="22"/>
      <c r="Q348" s="22"/>
      <c r="R348" s="22"/>
    </row>
    <row r="349" hidden="1">
      <c r="A349" s="93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19"/>
      <c r="P349" s="22"/>
      <c r="Q349" s="22"/>
      <c r="R349" s="22"/>
    </row>
    <row r="350" hidden="1">
      <c r="A350" s="93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19"/>
      <c r="P350" s="22"/>
      <c r="Q350" s="22"/>
      <c r="R350" s="22"/>
    </row>
    <row r="351" hidden="1">
      <c r="A351" s="93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19"/>
      <c r="P351" s="22"/>
      <c r="Q351" s="22"/>
      <c r="R351" s="22"/>
    </row>
    <row r="352" hidden="1">
      <c r="A352" s="93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19"/>
      <c r="P352" s="22"/>
      <c r="Q352" s="22"/>
      <c r="R352" s="22"/>
    </row>
    <row r="353" hidden="1">
      <c r="A353" s="93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19"/>
      <c r="P353" s="22"/>
      <c r="Q353" s="22"/>
      <c r="R353" s="22"/>
    </row>
    <row r="354" hidden="1">
      <c r="A354" s="93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19"/>
      <c r="P354" s="22"/>
      <c r="Q354" s="22"/>
      <c r="R354" s="22"/>
    </row>
    <row r="355" hidden="1">
      <c r="A355" s="93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19"/>
      <c r="P355" s="22"/>
      <c r="Q355" s="22"/>
      <c r="R355" s="22"/>
    </row>
    <row r="356" hidden="1">
      <c r="A356" s="93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19"/>
      <c r="P356" s="22"/>
      <c r="Q356" s="22"/>
      <c r="R356" s="22"/>
    </row>
    <row r="357" hidden="1">
      <c r="A357" s="93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19"/>
      <c r="P357" s="22"/>
      <c r="Q357" s="22"/>
      <c r="R357" s="22"/>
    </row>
    <row r="358" hidden="1">
      <c r="A358" s="93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19"/>
      <c r="P358" s="22"/>
      <c r="Q358" s="22"/>
      <c r="R358" s="22"/>
    </row>
    <row r="359" hidden="1">
      <c r="A359" s="93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19"/>
      <c r="P359" s="22"/>
      <c r="Q359" s="22"/>
      <c r="R359" s="22"/>
    </row>
    <row r="360" hidden="1">
      <c r="A360" s="93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19"/>
      <c r="P360" s="22"/>
      <c r="Q360" s="22"/>
      <c r="R360" s="22"/>
    </row>
    <row r="361" hidden="1">
      <c r="A361" s="93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19"/>
      <c r="P361" s="22"/>
      <c r="Q361" s="22"/>
      <c r="R361" s="22"/>
    </row>
    <row r="362" hidden="1">
      <c r="A362" s="93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19"/>
      <c r="P362" s="22"/>
      <c r="Q362" s="22"/>
      <c r="R362" s="22"/>
    </row>
    <row r="363" hidden="1">
      <c r="A363" s="93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19"/>
      <c r="P363" s="22"/>
      <c r="Q363" s="22"/>
      <c r="R363" s="22"/>
    </row>
    <row r="364" hidden="1">
      <c r="A364" s="93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19"/>
      <c r="P364" s="22"/>
      <c r="Q364" s="22"/>
      <c r="R364" s="22"/>
    </row>
    <row r="365" hidden="1">
      <c r="A365" s="93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19"/>
      <c r="P365" s="22"/>
      <c r="Q365" s="22"/>
      <c r="R365" s="22"/>
    </row>
    <row r="366" hidden="1">
      <c r="A366" s="93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19"/>
      <c r="P366" s="22"/>
      <c r="Q366" s="22"/>
      <c r="R366" s="22"/>
    </row>
    <row r="367" hidden="1">
      <c r="A367" s="93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19"/>
      <c r="P367" s="22"/>
      <c r="Q367" s="22"/>
      <c r="R367" s="22"/>
    </row>
    <row r="368" hidden="1">
      <c r="A368" s="93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19"/>
      <c r="P368" s="22"/>
      <c r="Q368" s="22"/>
      <c r="R368" s="22"/>
    </row>
    <row r="369" hidden="1">
      <c r="A369" s="93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19"/>
      <c r="P369" s="22"/>
      <c r="Q369" s="22"/>
      <c r="R369" s="22"/>
    </row>
    <row r="370" hidden="1">
      <c r="A370" s="93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19"/>
      <c r="P370" s="22"/>
      <c r="Q370" s="22"/>
      <c r="R370" s="22"/>
    </row>
    <row r="371" hidden="1">
      <c r="A371" s="93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19"/>
      <c r="P371" s="22"/>
      <c r="Q371" s="22"/>
      <c r="R371" s="22"/>
    </row>
    <row r="372" hidden="1">
      <c r="A372" s="93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19"/>
      <c r="P372" s="22"/>
      <c r="Q372" s="22"/>
      <c r="R372" s="22"/>
    </row>
    <row r="373" hidden="1">
      <c r="A373" s="93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19"/>
      <c r="P373" s="22"/>
      <c r="Q373" s="22"/>
      <c r="R373" s="22"/>
    </row>
    <row r="374" hidden="1">
      <c r="A374" s="93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19"/>
      <c r="P374" s="22"/>
      <c r="Q374" s="22"/>
      <c r="R374" s="22"/>
    </row>
    <row r="375" hidden="1">
      <c r="A375" s="93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19"/>
      <c r="P375" s="22"/>
      <c r="Q375" s="22"/>
      <c r="R375" s="22"/>
    </row>
    <row r="376" hidden="1">
      <c r="A376" s="93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19"/>
      <c r="P376" s="22"/>
      <c r="Q376" s="22"/>
      <c r="R376" s="22"/>
    </row>
    <row r="377" hidden="1">
      <c r="A377" s="93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19"/>
      <c r="P377" s="22"/>
      <c r="Q377" s="22"/>
      <c r="R377" s="22"/>
    </row>
    <row r="378" hidden="1">
      <c r="A378" s="93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19"/>
      <c r="P378" s="22"/>
      <c r="Q378" s="22"/>
      <c r="R378" s="22"/>
    </row>
    <row r="379" hidden="1">
      <c r="A379" s="93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19"/>
      <c r="P379" s="22"/>
      <c r="Q379" s="22"/>
      <c r="R379" s="22"/>
    </row>
    <row r="380" hidden="1">
      <c r="A380" s="93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19"/>
      <c r="P380" s="22"/>
      <c r="Q380" s="22"/>
      <c r="R380" s="22"/>
    </row>
    <row r="381" hidden="1">
      <c r="A381" s="93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19"/>
      <c r="P381" s="22"/>
      <c r="Q381" s="22"/>
      <c r="R381" s="22"/>
    </row>
    <row r="382" hidden="1">
      <c r="A382" s="93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19"/>
      <c r="P382" s="22"/>
      <c r="Q382" s="22"/>
      <c r="R382" s="22"/>
    </row>
    <row r="383" hidden="1">
      <c r="A383" s="93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19"/>
      <c r="P383" s="22"/>
      <c r="Q383" s="22"/>
      <c r="R383" s="22"/>
    </row>
    <row r="384" hidden="1">
      <c r="A384" s="93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19"/>
      <c r="P384" s="22"/>
      <c r="Q384" s="22"/>
      <c r="R384" s="22"/>
    </row>
    <row r="385" hidden="1">
      <c r="A385" s="93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19"/>
      <c r="P385" s="22"/>
      <c r="Q385" s="22"/>
      <c r="R385" s="22"/>
    </row>
    <row r="386" hidden="1">
      <c r="A386" s="93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19"/>
      <c r="P386" s="22"/>
      <c r="Q386" s="22"/>
      <c r="R386" s="22"/>
    </row>
    <row r="387" hidden="1">
      <c r="A387" s="93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19"/>
      <c r="P387" s="22"/>
      <c r="Q387" s="22"/>
      <c r="R387" s="22"/>
    </row>
    <row r="388" hidden="1">
      <c r="A388" s="93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19"/>
      <c r="P388" s="22"/>
      <c r="Q388" s="22"/>
      <c r="R388" s="22"/>
    </row>
    <row r="389" hidden="1">
      <c r="A389" s="93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19"/>
      <c r="P389" s="22"/>
      <c r="Q389" s="22"/>
      <c r="R389" s="22"/>
    </row>
    <row r="390" hidden="1">
      <c r="A390" s="93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19"/>
      <c r="P390" s="22"/>
      <c r="Q390" s="22"/>
      <c r="R390" s="22"/>
    </row>
    <row r="391" hidden="1">
      <c r="A391" s="93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19"/>
      <c r="P391" s="22"/>
      <c r="Q391" s="22"/>
      <c r="R391" s="22"/>
    </row>
    <row r="392" hidden="1">
      <c r="A392" s="93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19"/>
      <c r="P392" s="22"/>
      <c r="Q392" s="22"/>
      <c r="R392" s="22"/>
    </row>
    <row r="393" hidden="1">
      <c r="A393" s="93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19"/>
      <c r="P393" s="22"/>
      <c r="Q393" s="22"/>
      <c r="R393" s="22"/>
    </row>
    <row r="394" hidden="1">
      <c r="A394" s="93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19"/>
      <c r="P394" s="22"/>
      <c r="Q394" s="22"/>
      <c r="R394" s="22"/>
    </row>
    <row r="395" hidden="1">
      <c r="A395" s="93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19"/>
      <c r="P395" s="22"/>
      <c r="Q395" s="22"/>
      <c r="R395" s="22"/>
    </row>
    <row r="396" hidden="1">
      <c r="A396" s="93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19"/>
      <c r="P396" s="22"/>
      <c r="Q396" s="22"/>
      <c r="R396" s="22"/>
    </row>
    <row r="397" hidden="1">
      <c r="A397" s="93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19"/>
      <c r="P397" s="22"/>
      <c r="Q397" s="22"/>
      <c r="R397" s="22"/>
    </row>
    <row r="398" hidden="1">
      <c r="A398" s="93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19"/>
      <c r="P398" s="22"/>
      <c r="Q398" s="22"/>
      <c r="R398" s="22"/>
    </row>
    <row r="399" hidden="1">
      <c r="A399" s="93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19"/>
      <c r="P399" s="22"/>
      <c r="Q399" s="22"/>
      <c r="R399" s="22"/>
    </row>
    <row r="400" hidden="1">
      <c r="A400" s="93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19"/>
      <c r="P400" s="22"/>
      <c r="Q400" s="22"/>
      <c r="R400" s="22"/>
    </row>
    <row r="401" hidden="1">
      <c r="A401" s="93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19"/>
      <c r="P401" s="22"/>
      <c r="Q401" s="22"/>
      <c r="R401" s="22"/>
    </row>
    <row r="402" hidden="1">
      <c r="A402" s="93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19"/>
      <c r="P402" s="22"/>
      <c r="Q402" s="22"/>
      <c r="R402" s="22"/>
    </row>
    <row r="403" hidden="1">
      <c r="A403" s="93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19"/>
      <c r="P403" s="22"/>
      <c r="Q403" s="22"/>
      <c r="R403" s="22"/>
    </row>
    <row r="404" hidden="1">
      <c r="A404" s="93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19"/>
      <c r="P404" s="22"/>
      <c r="Q404" s="22"/>
      <c r="R404" s="22"/>
    </row>
    <row r="405" hidden="1">
      <c r="A405" s="93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19"/>
      <c r="P405" s="22"/>
      <c r="Q405" s="22"/>
      <c r="R405" s="22"/>
    </row>
    <row r="406" hidden="1">
      <c r="A406" s="93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19"/>
      <c r="P406" s="22"/>
      <c r="Q406" s="22"/>
      <c r="R406" s="22"/>
    </row>
    <row r="407" hidden="1">
      <c r="A407" s="93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19"/>
      <c r="P407" s="22"/>
      <c r="Q407" s="22"/>
      <c r="R407" s="22"/>
    </row>
    <row r="408" hidden="1">
      <c r="A408" s="93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19"/>
      <c r="P408" s="22"/>
      <c r="Q408" s="22"/>
      <c r="R408" s="22"/>
    </row>
    <row r="409" hidden="1">
      <c r="A409" s="93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19"/>
      <c r="P409" s="22"/>
      <c r="Q409" s="22"/>
      <c r="R409" s="22"/>
    </row>
    <row r="410" hidden="1">
      <c r="A410" s="93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19"/>
      <c r="P410" s="22"/>
      <c r="Q410" s="22"/>
      <c r="R410" s="22"/>
    </row>
    <row r="411" hidden="1">
      <c r="A411" s="93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19"/>
      <c r="P411" s="22"/>
      <c r="Q411" s="22"/>
      <c r="R411" s="22"/>
    </row>
    <row r="412" hidden="1">
      <c r="A412" s="93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19"/>
      <c r="P412" s="22"/>
      <c r="Q412" s="22"/>
      <c r="R412" s="22"/>
    </row>
    <row r="413" hidden="1">
      <c r="A413" s="93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19"/>
      <c r="P413" s="22"/>
      <c r="Q413" s="22"/>
      <c r="R413" s="22"/>
    </row>
    <row r="414" hidden="1">
      <c r="A414" s="93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19"/>
      <c r="P414" s="22"/>
      <c r="Q414" s="22"/>
      <c r="R414" s="22"/>
    </row>
    <row r="415" hidden="1">
      <c r="A415" s="93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19"/>
      <c r="P415" s="22"/>
      <c r="Q415" s="22"/>
      <c r="R415" s="22"/>
    </row>
    <row r="416" hidden="1">
      <c r="A416" s="93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19"/>
      <c r="P416" s="22"/>
      <c r="Q416" s="22"/>
      <c r="R416" s="22"/>
    </row>
    <row r="417" hidden="1">
      <c r="A417" s="93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19"/>
      <c r="P417" s="22"/>
      <c r="Q417" s="22"/>
      <c r="R417" s="22"/>
    </row>
    <row r="418" hidden="1">
      <c r="A418" s="93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19"/>
      <c r="P418" s="22"/>
      <c r="Q418" s="22"/>
      <c r="R418" s="22"/>
    </row>
    <row r="419" hidden="1">
      <c r="A419" s="93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19"/>
      <c r="P419" s="22"/>
      <c r="Q419" s="22"/>
      <c r="R419" s="22"/>
    </row>
    <row r="420" hidden="1">
      <c r="A420" s="93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19"/>
      <c r="P420" s="22"/>
      <c r="Q420" s="22"/>
      <c r="R420" s="22"/>
    </row>
    <row r="421" hidden="1">
      <c r="A421" s="93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19"/>
      <c r="P421" s="22"/>
      <c r="Q421" s="22"/>
      <c r="R421" s="22"/>
    </row>
    <row r="422" hidden="1">
      <c r="A422" s="93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19"/>
      <c r="P422" s="22"/>
      <c r="Q422" s="22"/>
      <c r="R422" s="22"/>
    </row>
    <row r="423" hidden="1">
      <c r="A423" s="93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19"/>
      <c r="P423" s="22"/>
      <c r="Q423" s="22"/>
      <c r="R423" s="22"/>
    </row>
    <row r="424" hidden="1">
      <c r="A424" s="93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19"/>
      <c r="P424" s="22"/>
      <c r="Q424" s="22"/>
      <c r="R424" s="22"/>
    </row>
    <row r="425" hidden="1">
      <c r="A425" s="93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19"/>
      <c r="P425" s="22"/>
      <c r="Q425" s="22"/>
      <c r="R425" s="22"/>
    </row>
    <row r="426" hidden="1">
      <c r="A426" s="93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19"/>
      <c r="P426" s="22"/>
      <c r="Q426" s="22"/>
      <c r="R426" s="22"/>
    </row>
    <row r="427" hidden="1">
      <c r="A427" s="93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19"/>
      <c r="P427" s="22"/>
      <c r="Q427" s="22"/>
      <c r="R427" s="22"/>
    </row>
    <row r="428" hidden="1">
      <c r="A428" s="93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19"/>
      <c r="P428" s="22"/>
      <c r="Q428" s="22"/>
      <c r="R428" s="22"/>
    </row>
    <row r="429" hidden="1">
      <c r="A429" s="93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19"/>
      <c r="P429" s="22"/>
      <c r="Q429" s="22"/>
      <c r="R429" s="22"/>
    </row>
    <row r="430" hidden="1">
      <c r="A430" s="93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19"/>
      <c r="P430" s="22"/>
      <c r="Q430" s="22"/>
      <c r="R430" s="22"/>
    </row>
    <row r="431" hidden="1">
      <c r="A431" s="93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19"/>
      <c r="P431" s="22"/>
      <c r="Q431" s="22"/>
      <c r="R431" s="22"/>
    </row>
    <row r="432" hidden="1">
      <c r="A432" s="93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19"/>
      <c r="P432" s="22"/>
      <c r="Q432" s="22"/>
      <c r="R432" s="22"/>
    </row>
    <row r="433" hidden="1">
      <c r="A433" s="93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19"/>
      <c r="P433" s="22"/>
      <c r="Q433" s="22"/>
      <c r="R433" s="22"/>
    </row>
    <row r="434" hidden="1">
      <c r="A434" s="93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19"/>
      <c r="P434" s="22"/>
      <c r="Q434" s="22"/>
      <c r="R434" s="22"/>
    </row>
    <row r="435" hidden="1">
      <c r="A435" s="93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19"/>
      <c r="P435" s="22"/>
      <c r="Q435" s="22"/>
      <c r="R435" s="22"/>
    </row>
    <row r="436" hidden="1">
      <c r="A436" s="93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19"/>
      <c r="P436" s="22"/>
      <c r="Q436" s="22"/>
      <c r="R436" s="22"/>
    </row>
    <row r="437" hidden="1">
      <c r="A437" s="93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19"/>
      <c r="P437" s="22"/>
      <c r="Q437" s="22"/>
      <c r="R437" s="22"/>
    </row>
    <row r="438" hidden="1">
      <c r="A438" s="93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19"/>
      <c r="P438" s="22"/>
      <c r="Q438" s="22"/>
      <c r="R438" s="22"/>
    </row>
    <row r="439" hidden="1">
      <c r="A439" s="93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19"/>
      <c r="P439" s="22"/>
      <c r="Q439" s="22"/>
      <c r="R439" s="22"/>
    </row>
    <row r="440" hidden="1">
      <c r="A440" s="93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19"/>
      <c r="P440" s="22"/>
      <c r="Q440" s="22"/>
      <c r="R440" s="22"/>
    </row>
    <row r="441" hidden="1">
      <c r="A441" s="93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19"/>
      <c r="P441" s="22"/>
      <c r="Q441" s="22"/>
      <c r="R441" s="22"/>
    </row>
    <row r="442" hidden="1">
      <c r="A442" s="93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19"/>
      <c r="P442" s="22"/>
      <c r="Q442" s="22"/>
      <c r="R442" s="22"/>
    </row>
    <row r="443" hidden="1">
      <c r="A443" s="93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19"/>
      <c r="P443" s="22"/>
      <c r="Q443" s="22"/>
      <c r="R443" s="22"/>
    </row>
    <row r="444" hidden="1">
      <c r="A444" s="93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19"/>
      <c r="P444" s="22"/>
      <c r="Q444" s="22"/>
      <c r="R444" s="22"/>
    </row>
    <row r="445" hidden="1">
      <c r="A445" s="93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19"/>
      <c r="P445" s="22"/>
      <c r="Q445" s="22"/>
      <c r="R445" s="22"/>
    </row>
    <row r="446" hidden="1">
      <c r="A446" s="93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19"/>
      <c r="P446" s="22"/>
      <c r="Q446" s="22"/>
      <c r="R446" s="22"/>
    </row>
    <row r="447" hidden="1">
      <c r="A447" s="93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19"/>
      <c r="P447" s="22"/>
      <c r="Q447" s="22"/>
      <c r="R447" s="22"/>
    </row>
    <row r="448" hidden="1">
      <c r="A448" s="93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19"/>
      <c r="P448" s="22"/>
      <c r="Q448" s="22"/>
      <c r="R448" s="22"/>
    </row>
    <row r="449" hidden="1">
      <c r="A449" s="93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19"/>
      <c r="P449" s="22"/>
      <c r="Q449" s="22"/>
      <c r="R449" s="22"/>
    </row>
    <row r="450" hidden="1">
      <c r="A450" s="93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19"/>
      <c r="P450" s="22"/>
      <c r="Q450" s="22"/>
      <c r="R450" s="22"/>
    </row>
    <row r="451" hidden="1">
      <c r="A451" s="93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19"/>
      <c r="P451" s="22"/>
      <c r="Q451" s="22"/>
      <c r="R451" s="22"/>
    </row>
    <row r="452" hidden="1">
      <c r="A452" s="93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19"/>
      <c r="P452" s="22"/>
      <c r="Q452" s="22"/>
      <c r="R452" s="22"/>
    </row>
    <row r="453" hidden="1">
      <c r="A453" s="93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19"/>
      <c r="P453" s="22"/>
      <c r="Q453" s="22"/>
      <c r="R453" s="22"/>
    </row>
    <row r="454" hidden="1">
      <c r="A454" s="93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19"/>
      <c r="P454" s="22"/>
      <c r="Q454" s="22"/>
      <c r="R454" s="22"/>
    </row>
    <row r="455" hidden="1">
      <c r="A455" s="93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19"/>
      <c r="P455" s="22"/>
      <c r="Q455" s="22"/>
      <c r="R455" s="22"/>
    </row>
    <row r="456" hidden="1">
      <c r="A456" s="93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19"/>
      <c r="P456" s="22"/>
      <c r="Q456" s="22"/>
      <c r="R456" s="22"/>
    </row>
    <row r="457" hidden="1">
      <c r="A457" s="93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19"/>
      <c r="P457" s="22"/>
      <c r="Q457" s="22"/>
      <c r="R457" s="22"/>
    </row>
    <row r="458" hidden="1">
      <c r="A458" s="93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19"/>
      <c r="P458" s="22"/>
      <c r="Q458" s="22"/>
      <c r="R458" s="22"/>
    </row>
    <row r="459" hidden="1">
      <c r="A459" s="93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19"/>
      <c r="P459" s="22"/>
      <c r="Q459" s="22"/>
      <c r="R459" s="22"/>
    </row>
    <row r="460" hidden="1">
      <c r="A460" s="93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19"/>
      <c r="P460" s="22"/>
      <c r="Q460" s="22"/>
      <c r="R460" s="22"/>
    </row>
    <row r="461" hidden="1">
      <c r="A461" s="93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19"/>
      <c r="P461" s="22"/>
      <c r="Q461" s="22"/>
      <c r="R461" s="22"/>
    </row>
    <row r="462" hidden="1">
      <c r="A462" s="93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19"/>
      <c r="P462" s="22"/>
      <c r="Q462" s="22"/>
      <c r="R462" s="22"/>
    </row>
    <row r="463" hidden="1">
      <c r="A463" s="93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19"/>
      <c r="P463" s="22"/>
      <c r="Q463" s="22"/>
      <c r="R463" s="22"/>
    </row>
    <row r="464" hidden="1">
      <c r="A464" s="93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19"/>
      <c r="P464" s="22"/>
      <c r="Q464" s="22"/>
      <c r="R464" s="22"/>
    </row>
    <row r="465" hidden="1">
      <c r="A465" s="93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19"/>
      <c r="P465" s="22"/>
      <c r="Q465" s="22"/>
      <c r="R465" s="22"/>
    </row>
    <row r="466" hidden="1">
      <c r="A466" s="93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19"/>
      <c r="P466" s="22"/>
      <c r="Q466" s="22"/>
      <c r="R466" s="22"/>
    </row>
    <row r="467" hidden="1">
      <c r="A467" s="93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19"/>
      <c r="P467" s="22"/>
      <c r="Q467" s="22"/>
      <c r="R467" s="22"/>
    </row>
    <row r="468" hidden="1">
      <c r="A468" s="93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19"/>
      <c r="P468" s="22"/>
      <c r="Q468" s="22"/>
      <c r="R468" s="22"/>
    </row>
    <row r="469" hidden="1">
      <c r="A469" s="93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19"/>
      <c r="P469" s="22"/>
      <c r="Q469" s="22"/>
      <c r="R469" s="22"/>
    </row>
    <row r="470" hidden="1">
      <c r="A470" s="93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19"/>
      <c r="P470" s="22"/>
      <c r="Q470" s="22"/>
      <c r="R470" s="22"/>
    </row>
    <row r="471" hidden="1">
      <c r="A471" s="93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19"/>
      <c r="P471" s="22"/>
      <c r="Q471" s="22"/>
      <c r="R471" s="22"/>
    </row>
    <row r="472" hidden="1">
      <c r="A472" s="93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19"/>
      <c r="P472" s="22"/>
      <c r="Q472" s="22"/>
      <c r="R472" s="22"/>
    </row>
    <row r="473" hidden="1">
      <c r="A473" s="93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19"/>
      <c r="P473" s="22"/>
      <c r="Q473" s="22"/>
      <c r="R473" s="22"/>
    </row>
    <row r="474" hidden="1">
      <c r="A474" s="93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19"/>
      <c r="P474" s="22"/>
      <c r="Q474" s="22"/>
      <c r="R474" s="22"/>
    </row>
    <row r="475" hidden="1">
      <c r="A475" s="93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19"/>
      <c r="P475" s="22"/>
      <c r="Q475" s="22"/>
      <c r="R475" s="22"/>
    </row>
    <row r="476" hidden="1">
      <c r="A476" s="93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19"/>
      <c r="P476" s="22"/>
      <c r="Q476" s="22"/>
      <c r="R476" s="22"/>
    </row>
    <row r="477" hidden="1">
      <c r="A477" s="93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19"/>
      <c r="P477" s="22"/>
      <c r="Q477" s="22"/>
      <c r="R477" s="22"/>
    </row>
    <row r="478" hidden="1">
      <c r="A478" s="93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19"/>
      <c r="P478" s="22"/>
      <c r="Q478" s="22"/>
      <c r="R478" s="22"/>
    </row>
    <row r="479" hidden="1">
      <c r="A479" s="93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19"/>
      <c r="P479" s="22"/>
      <c r="Q479" s="22"/>
      <c r="R479" s="22"/>
    </row>
    <row r="480" hidden="1">
      <c r="A480" s="93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19"/>
      <c r="P480" s="22"/>
      <c r="Q480" s="22"/>
      <c r="R480" s="22"/>
    </row>
    <row r="481" hidden="1">
      <c r="A481" s="93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19"/>
      <c r="P481" s="22"/>
      <c r="Q481" s="22"/>
      <c r="R481" s="22"/>
    </row>
    <row r="482" hidden="1">
      <c r="A482" s="93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19"/>
      <c r="P482" s="22"/>
      <c r="Q482" s="22"/>
      <c r="R482" s="22"/>
    </row>
    <row r="483" hidden="1">
      <c r="A483" s="93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19"/>
      <c r="P483" s="22"/>
      <c r="Q483" s="22"/>
      <c r="R483" s="22"/>
    </row>
    <row r="484" hidden="1">
      <c r="A484" s="93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19"/>
      <c r="P484" s="22"/>
      <c r="Q484" s="22"/>
      <c r="R484" s="22"/>
    </row>
    <row r="485" hidden="1">
      <c r="A485" s="93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19"/>
      <c r="P485" s="22"/>
      <c r="Q485" s="22"/>
      <c r="R485" s="22"/>
    </row>
    <row r="486" hidden="1">
      <c r="A486" s="93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19"/>
      <c r="P486" s="22"/>
      <c r="Q486" s="22"/>
      <c r="R486" s="22"/>
    </row>
    <row r="487" hidden="1">
      <c r="A487" s="93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19"/>
      <c r="P487" s="22"/>
      <c r="Q487" s="22"/>
      <c r="R487" s="22"/>
    </row>
    <row r="488" hidden="1">
      <c r="A488" s="93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19"/>
      <c r="P488" s="22"/>
      <c r="Q488" s="22"/>
      <c r="R488" s="22"/>
    </row>
    <row r="489" hidden="1">
      <c r="A489" s="93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19"/>
      <c r="P489" s="22"/>
      <c r="Q489" s="22"/>
      <c r="R489" s="22"/>
    </row>
    <row r="490" hidden="1">
      <c r="A490" s="93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19"/>
      <c r="P490" s="22"/>
      <c r="Q490" s="22"/>
      <c r="R490" s="22"/>
    </row>
    <row r="491" hidden="1">
      <c r="A491" s="93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19"/>
      <c r="P491" s="22"/>
      <c r="Q491" s="22"/>
      <c r="R491" s="22"/>
    </row>
    <row r="492" hidden="1">
      <c r="A492" s="93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19"/>
      <c r="P492" s="22"/>
      <c r="Q492" s="22"/>
      <c r="R492" s="22"/>
    </row>
    <row r="493" hidden="1">
      <c r="A493" s="93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19"/>
      <c r="P493" s="22"/>
      <c r="Q493" s="22"/>
      <c r="R493" s="22"/>
    </row>
    <row r="494" hidden="1">
      <c r="A494" s="93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19"/>
      <c r="P494" s="22"/>
      <c r="Q494" s="22"/>
      <c r="R494" s="22"/>
    </row>
    <row r="495" hidden="1">
      <c r="A495" s="93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19"/>
      <c r="P495" s="22"/>
      <c r="Q495" s="22"/>
      <c r="R495" s="22"/>
    </row>
    <row r="496" hidden="1">
      <c r="A496" s="93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19"/>
      <c r="P496" s="22"/>
      <c r="Q496" s="22"/>
      <c r="R496" s="22"/>
    </row>
    <row r="497" hidden="1">
      <c r="A497" s="93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19"/>
      <c r="P497" s="22"/>
      <c r="Q497" s="22"/>
      <c r="R497" s="22"/>
    </row>
    <row r="498" hidden="1">
      <c r="A498" s="93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19"/>
      <c r="P498" s="22"/>
      <c r="Q498" s="22"/>
      <c r="R498" s="22"/>
    </row>
    <row r="499" hidden="1">
      <c r="A499" s="93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19"/>
      <c r="P499" s="22"/>
      <c r="Q499" s="22"/>
      <c r="R499" s="22"/>
    </row>
    <row r="500" hidden="1">
      <c r="A500" s="93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19"/>
      <c r="P500" s="22"/>
      <c r="Q500" s="22"/>
      <c r="R500" s="22"/>
    </row>
    <row r="501" hidden="1">
      <c r="A501" s="93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19"/>
      <c r="P501" s="22"/>
      <c r="Q501" s="22"/>
      <c r="R501" s="22"/>
    </row>
    <row r="502" hidden="1">
      <c r="A502" s="93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19"/>
      <c r="P502" s="22"/>
      <c r="Q502" s="22"/>
      <c r="R502" s="22"/>
    </row>
    <row r="503" hidden="1">
      <c r="A503" s="93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19"/>
      <c r="P503" s="22"/>
      <c r="Q503" s="22"/>
      <c r="R503" s="22"/>
    </row>
    <row r="504" hidden="1">
      <c r="A504" s="93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19"/>
      <c r="P504" s="22"/>
      <c r="Q504" s="22"/>
      <c r="R504" s="22"/>
    </row>
    <row r="505" hidden="1">
      <c r="A505" s="93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19"/>
      <c r="P505" s="22"/>
      <c r="Q505" s="22"/>
      <c r="R505" s="22"/>
    </row>
    <row r="506" hidden="1">
      <c r="A506" s="93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19"/>
      <c r="P506" s="22"/>
      <c r="Q506" s="22"/>
      <c r="R506" s="22"/>
    </row>
    <row r="507" hidden="1">
      <c r="A507" s="93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19"/>
      <c r="P507" s="22"/>
      <c r="Q507" s="22"/>
      <c r="R507" s="22"/>
    </row>
    <row r="508" hidden="1">
      <c r="A508" s="93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19"/>
      <c r="P508" s="22"/>
      <c r="Q508" s="22"/>
      <c r="R508" s="22"/>
    </row>
    <row r="509" hidden="1">
      <c r="A509" s="93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19"/>
      <c r="P509" s="22"/>
      <c r="Q509" s="22"/>
      <c r="R509" s="22"/>
    </row>
    <row r="510" hidden="1">
      <c r="A510" s="93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19"/>
      <c r="P510" s="22"/>
      <c r="Q510" s="22"/>
      <c r="R510" s="22"/>
    </row>
    <row r="511" hidden="1">
      <c r="A511" s="93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19"/>
      <c r="P511" s="22"/>
      <c r="Q511" s="22"/>
      <c r="R511" s="22"/>
    </row>
    <row r="512" hidden="1">
      <c r="A512" s="93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19"/>
      <c r="P512" s="22"/>
      <c r="Q512" s="22"/>
      <c r="R512" s="22"/>
    </row>
    <row r="513" hidden="1">
      <c r="A513" s="93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19"/>
      <c r="P513" s="22"/>
      <c r="Q513" s="22"/>
      <c r="R513" s="22"/>
    </row>
    <row r="514" hidden="1">
      <c r="A514" s="93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19"/>
      <c r="P514" s="22"/>
      <c r="Q514" s="22"/>
      <c r="R514" s="22"/>
    </row>
    <row r="515" hidden="1">
      <c r="A515" s="93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19"/>
      <c r="P515" s="22"/>
      <c r="Q515" s="22"/>
      <c r="R515" s="22"/>
    </row>
    <row r="516" hidden="1">
      <c r="A516" s="93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19"/>
      <c r="P516" s="22"/>
      <c r="Q516" s="22"/>
      <c r="R516" s="22"/>
    </row>
    <row r="517" hidden="1">
      <c r="A517" s="93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19"/>
      <c r="P517" s="22"/>
      <c r="Q517" s="22"/>
      <c r="R517" s="22"/>
    </row>
    <row r="518" hidden="1">
      <c r="A518" s="93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19"/>
      <c r="P518" s="22"/>
      <c r="Q518" s="22"/>
      <c r="R518" s="22"/>
    </row>
    <row r="519" hidden="1">
      <c r="A519" s="93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19"/>
      <c r="P519" s="22"/>
      <c r="Q519" s="22"/>
      <c r="R519" s="22"/>
    </row>
    <row r="520" hidden="1">
      <c r="A520" s="93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19"/>
      <c r="P520" s="22"/>
      <c r="Q520" s="22"/>
      <c r="R520" s="22"/>
    </row>
    <row r="521" hidden="1">
      <c r="A521" s="93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19"/>
      <c r="P521" s="22"/>
      <c r="Q521" s="22"/>
      <c r="R521" s="22"/>
    </row>
    <row r="522" hidden="1">
      <c r="A522" s="93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19"/>
      <c r="P522" s="22"/>
      <c r="Q522" s="22"/>
      <c r="R522" s="22"/>
    </row>
    <row r="523" hidden="1">
      <c r="A523" s="93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19"/>
      <c r="P523" s="22"/>
      <c r="Q523" s="22"/>
      <c r="R523" s="22"/>
    </row>
    <row r="524" hidden="1">
      <c r="A524" s="93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19"/>
      <c r="P524" s="22"/>
      <c r="Q524" s="22"/>
      <c r="R524" s="22"/>
    </row>
    <row r="525" hidden="1">
      <c r="A525" s="93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19"/>
      <c r="P525" s="22"/>
      <c r="Q525" s="22"/>
      <c r="R525" s="22"/>
    </row>
    <row r="526" hidden="1">
      <c r="A526" s="93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19"/>
      <c r="P526" s="22"/>
      <c r="Q526" s="22"/>
      <c r="R526" s="22"/>
    </row>
    <row r="527" hidden="1">
      <c r="A527" s="93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19"/>
      <c r="P527" s="22"/>
      <c r="Q527" s="22"/>
      <c r="R527" s="22"/>
    </row>
    <row r="528" hidden="1">
      <c r="A528" s="93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19"/>
      <c r="P528" s="22"/>
      <c r="Q528" s="22"/>
      <c r="R528" s="22"/>
    </row>
    <row r="529" hidden="1">
      <c r="A529" s="93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19"/>
      <c r="P529" s="22"/>
      <c r="Q529" s="22"/>
      <c r="R529" s="22"/>
    </row>
    <row r="530" hidden="1">
      <c r="A530" s="93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19"/>
      <c r="P530" s="22"/>
      <c r="Q530" s="22"/>
      <c r="R530" s="22"/>
    </row>
    <row r="531" hidden="1">
      <c r="A531" s="93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19"/>
      <c r="P531" s="22"/>
      <c r="Q531" s="22"/>
      <c r="R531" s="22"/>
    </row>
    <row r="532" hidden="1">
      <c r="A532" s="93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19"/>
      <c r="P532" s="22"/>
      <c r="Q532" s="22"/>
      <c r="R532" s="22"/>
    </row>
    <row r="533" hidden="1">
      <c r="A533" s="93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19"/>
      <c r="P533" s="22"/>
      <c r="Q533" s="22"/>
      <c r="R533" s="22"/>
    </row>
    <row r="534" hidden="1">
      <c r="A534" s="93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19"/>
      <c r="P534" s="22"/>
      <c r="Q534" s="22"/>
      <c r="R534" s="22"/>
    </row>
    <row r="535" hidden="1">
      <c r="A535" s="93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19"/>
      <c r="P535" s="22"/>
      <c r="Q535" s="22"/>
      <c r="R535" s="22"/>
    </row>
    <row r="536" hidden="1">
      <c r="A536" s="93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19"/>
      <c r="P536" s="22"/>
      <c r="Q536" s="22"/>
      <c r="R536" s="22"/>
    </row>
    <row r="537" hidden="1">
      <c r="A537" s="93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19"/>
      <c r="P537" s="22"/>
      <c r="Q537" s="22"/>
      <c r="R537" s="22"/>
    </row>
    <row r="538" hidden="1">
      <c r="A538" s="93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19"/>
      <c r="P538" s="22"/>
      <c r="Q538" s="22"/>
      <c r="R538" s="22"/>
    </row>
    <row r="539" hidden="1">
      <c r="A539" s="93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19"/>
      <c r="P539" s="22"/>
      <c r="Q539" s="22"/>
      <c r="R539" s="22"/>
    </row>
    <row r="540" hidden="1">
      <c r="A540" s="93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19"/>
      <c r="P540" s="22"/>
      <c r="Q540" s="22"/>
      <c r="R540" s="22"/>
    </row>
    <row r="541" hidden="1">
      <c r="A541" s="93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19"/>
      <c r="P541" s="22"/>
      <c r="Q541" s="22"/>
      <c r="R541" s="22"/>
    </row>
    <row r="542" hidden="1">
      <c r="A542" s="93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19"/>
      <c r="P542" s="22"/>
      <c r="Q542" s="22"/>
      <c r="R542" s="22"/>
    </row>
    <row r="543" hidden="1">
      <c r="A543" s="93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19"/>
      <c r="P543" s="22"/>
      <c r="Q543" s="22"/>
      <c r="R543" s="22"/>
    </row>
    <row r="544" hidden="1">
      <c r="A544" s="93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19"/>
      <c r="P544" s="22"/>
      <c r="Q544" s="22"/>
      <c r="R544" s="22"/>
    </row>
    <row r="545" hidden="1">
      <c r="A545" s="93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19"/>
      <c r="P545" s="22"/>
      <c r="Q545" s="22"/>
      <c r="R545" s="22"/>
    </row>
    <row r="546" hidden="1">
      <c r="A546" s="93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19"/>
      <c r="P546" s="22"/>
      <c r="Q546" s="22"/>
      <c r="R546" s="22"/>
    </row>
    <row r="547" hidden="1">
      <c r="A547" s="93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19"/>
      <c r="P547" s="22"/>
      <c r="Q547" s="22"/>
      <c r="R547" s="22"/>
    </row>
    <row r="548" hidden="1">
      <c r="A548" s="93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19"/>
      <c r="P548" s="22"/>
      <c r="Q548" s="22"/>
      <c r="R548" s="22"/>
    </row>
    <row r="549" hidden="1">
      <c r="A549" s="93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19"/>
      <c r="P549" s="22"/>
      <c r="Q549" s="22"/>
      <c r="R549" s="22"/>
    </row>
    <row r="550" hidden="1">
      <c r="A550" s="93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19"/>
      <c r="P550" s="22"/>
      <c r="Q550" s="22"/>
      <c r="R550" s="22"/>
    </row>
    <row r="551" hidden="1">
      <c r="A551" s="93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19"/>
      <c r="P551" s="22"/>
      <c r="Q551" s="22"/>
      <c r="R551" s="22"/>
    </row>
    <row r="552" hidden="1">
      <c r="A552" s="93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19"/>
      <c r="P552" s="22"/>
      <c r="Q552" s="22"/>
      <c r="R552" s="22"/>
    </row>
    <row r="553" hidden="1">
      <c r="A553" s="93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19"/>
      <c r="P553" s="22"/>
      <c r="Q553" s="22"/>
      <c r="R553" s="22"/>
    </row>
    <row r="554" hidden="1">
      <c r="A554" s="93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19"/>
      <c r="P554" s="22"/>
      <c r="Q554" s="22"/>
      <c r="R554" s="22"/>
    </row>
    <row r="555" hidden="1">
      <c r="A555" s="93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19"/>
      <c r="P555" s="22"/>
      <c r="Q555" s="22"/>
      <c r="R555" s="22"/>
    </row>
    <row r="556" hidden="1">
      <c r="A556" s="93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19"/>
      <c r="P556" s="22"/>
      <c r="Q556" s="22"/>
      <c r="R556" s="22"/>
    </row>
    <row r="557" hidden="1">
      <c r="A557" s="93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19"/>
      <c r="P557" s="22"/>
      <c r="Q557" s="22"/>
      <c r="R557" s="22"/>
    </row>
    <row r="558" hidden="1">
      <c r="A558" s="93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19"/>
      <c r="P558" s="22"/>
      <c r="Q558" s="22"/>
      <c r="R558" s="22"/>
    </row>
    <row r="559" hidden="1">
      <c r="A559" s="93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19"/>
      <c r="P559" s="22"/>
      <c r="Q559" s="22"/>
      <c r="R559" s="22"/>
    </row>
    <row r="560" hidden="1">
      <c r="A560" s="93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19"/>
      <c r="P560" s="22"/>
      <c r="Q560" s="22"/>
      <c r="R560" s="22"/>
    </row>
    <row r="561" hidden="1">
      <c r="A561" s="93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19"/>
      <c r="P561" s="22"/>
      <c r="Q561" s="22"/>
      <c r="R561" s="22"/>
    </row>
    <row r="562" hidden="1">
      <c r="A562" s="93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19"/>
      <c r="P562" s="22"/>
      <c r="Q562" s="22"/>
      <c r="R562" s="22"/>
    </row>
    <row r="563" hidden="1">
      <c r="A563" s="93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19"/>
      <c r="P563" s="22"/>
      <c r="Q563" s="22"/>
      <c r="R563" s="22"/>
    </row>
    <row r="564" hidden="1">
      <c r="A564" s="93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19"/>
      <c r="P564" s="22"/>
      <c r="Q564" s="22"/>
      <c r="R564" s="22"/>
    </row>
    <row r="565" hidden="1">
      <c r="A565" s="93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19"/>
      <c r="P565" s="22"/>
      <c r="Q565" s="22"/>
      <c r="R565" s="22"/>
    </row>
    <row r="566" hidden="1">
      <c r="A566" s="93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19"/>
      <c r="P566" s="22"/>
      <c r="Q566" s="22"/>
      <c r="R566" s="22"/>
    </row>
    <row r="567" hidden="1">
      <c r="A567" s="93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19"/>
      <c r="P567" s="22"/>
      <c r="Q567" s="22"/>
      <c r="R567" s="22"/>
    </row>
    <row r="568" hidden="1">
      <c r="A568" s="93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19"/>
      <c r="P568" s="22"/>
      <c r="Q568" s="22"/>
      <c r="R568" s="22"/>
    </row>
    <row r="569" hidden="1">
      <c r="A569" s="93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19"/>
      <c r="P569" s="22"/>
      <c r="Q569" s="22"/>
      <c r="R569" s="22"/>
    </row>
    <row r="570" hidden="1">
      <c r="A570" s="93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19"/>
      <c r="P570" s="22"/>
      <c r="Q570" s="22"/>
      <c r="R570" s="22"/>
    </row>
    <row r="571" hidden="1">
      <c r="A571" s="93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19"/>
      <c r="P571" s="22"/>
      <c r="Q571" s="22"/>
      <c r="R571" s="22"/>
    </row>
    <row r="572" hidden="1">
      <c r="A572" s="93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19"/>
      <c r="P572" s="22"/>
      <c r="Q572" s="22"/>
      <c r="R572" s="22"/>
    </row>
    <row r="573" hidden="1">
      <c r="A573" s="93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19"/>
      <c r="P573" s="22"/>
      <c r="Q573" s="22"/>
      <c r="R573" s="22"/>
    </row>
    <row r="574" hidden="1">
      <c r="A574" s="93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19"/>
      <c r="P574" s="22"/>
      <c r="Q574" s="22"/>
      <c r="R574" s="22"/>
    </row>
    <row r="575" hidden="1">
      <c r="A575" s="93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19"/>
      <c r="P575" s="22"/>
      <c r="Q575" s="22"/>
      <c r="R575" s="22"/>
    </row>
    <row r="576" hidden="1">
      <c r="A576" s="93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19"/>
      <c r="P576" s="22"/>
      <c r="Q576" s="22"/>
      <c r="R576" s="22"/>
    </row>
    <row r="577" hidden="1">
      <c r="A577" s="93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19"/>
      <c r="P577" s="22"/>
      <c r="Q577" s="22"/>
      <c r="R577" s="22"/>
    </row>
    <row r="578" hidden="1">
      <c r="A578" s="93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19"/>
      <c r="P578" s="22"/>
      <c r="Q578" s="22"/>
      <c r="R578" s="22"/>
    </row>
    <row r="579" hidden="1">
      <c r="A579" s="93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19"/>
      <c r="P579" s="22"/>
      <c r="Q579" s="22"/>
      <c r="R579" s="22"/>
    </row>
    <row r="580" hidden="1">
      <c r="A580" s="93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19"/>
      <c r="P580" s="22"/>
      <c r="Q580" s="22"/>
      <c r="R580" s="22"/>
    </row>
    <row r="581" hidden="1">
      <c r="A581" s="93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19"/>
      <c r="P581" s="22"/>
      <c r="Q581" s="22"/>
      <c r="R581" s="22"/>
    </row>
    <row r="582" hidden="1">
      <c r="A582" s="93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19"/>
      <c r="P582" s="22"/>
      <c r="Q582" s="22"/>
      <c r="R582" s="22"/>
    </row>
    <row r="583" hidden="1">
      <c r="A583" s="93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19"/>
      <c r="P583" s="22"/>
      <c r="Q583" s="22"/>
      <c r="R583" s="22"/>
    </row>
    <row r="584" hidden="1">
      <c r="A584" s="93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19"/>
      <c r="P584" s="22"/>
      <c r="Q584" s="22"/>
      <c r="R584" s="22"/>
    </row>
    <row r="585" hidden="1">
      <c r="A585" s="93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19"/>
      <c r="P585" s="22"/>
      <c r="Q585" s="22"/>
      <c r="R585" s="22"/>
    </row>
    <row r="586" hidden="1">
      <c r="A586" s="93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19"/>
      <c r="P586" s="22"/>
      <c r="Q586" s="22"/>
      <c r="R586" s="22"/>
    </row>
    <row r="587" hidden="1">
      <c r="A587" s="93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19"/>
      <c r="P587" s="22"/>
      <c r="Q587" s="22"/>
      <c r="R587" s="22"/>
    </row>
    <row r="588" hidden="1">
      <c r="A588" s="93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19"/>
      <c r="P588" s="22"/>
      <c r="Q588" s="22"/>
      <c r="R588" s="22"/>
    </row>
    <row r="589" hidden="1">
      <c r="A589" s="93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19"/>
      <c r="P589" s="22"/>
      <c r="Q589" s="22"/>
      <c r="R589" s="22"/>
    </row>
    <row r="590" hidden="1">
      <c r="A590" s="93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19"/>
      <c r="P590" s="22"/>
      <c r="Q590" s="22"/>
      <c r="R590" s="22"/>
    </row>
    <row r="591" hidden="1">
      <c r="A591" s="93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19"/>
      <c r="P591" s="22"/>
      <c r="Q591" s="22"/>
      <c r="R591" s="22"/>
    </row>
    <row r="592" hidden="1">
      <c r="A592" s="93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19"/>
      <c r="P592" s="22"/>
      <c r="Q592" s="22"/>
      <c r="R592" s="22"/>
    </row>
    <row r="593" hidden="1">
      <c r="A593" s="93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19"/>
      <c r="P593" s="22"/>
      <c r="Q593" s="22"/>
      <c r="R593" s="22"/>
    </row>
    <row r="594" hidden="1">
      <c r="A594" s="93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19"/>
      <c r="P594" s="22"/>
      <c r="Q594" s="22"/>
      <c r="R594" s="22"/>
    </row>
    <row r="595" hidden="1">
      <c r="A595" s="93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19"/>
      <c r="P595" s="22"/>
      <c r="Q595" s="22"/>
      <c r="R595" s="22"/>
    </row>
    <row r="596" hidden="1">
      <c r="A596" s="93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19"/>
      <c r="P596" s="22"/>
      <c r="Q596" s="22"/>
      <c r="R596" s="22"/>
    </row>
    <row r="597" hidden="1">
      <c r="A597" s="93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19"/>
      <c r="P597" s="22"/>
      <c r="Q597" s="22"/>
      <c r="R597" s="22"/>
    </row>
    <row r="598" hidden="1">
      <c r="A598" s="93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19"/>
      <c r="P598" s="22"/>
      <c r="Q598" s="22"/>
      <c r="R598" s="22"/>
    </row>
    <row r="599" hidden="1">
      <c r="A599" s="93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19"/>
      <c r="P599" s="22"/>
      <c r="Q599" s="22"/>
      <c r="R599" s="22"/>
    </row>
    <row r="600" hidden="1">
      <c r="A600" s="93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19"/>
      <c r="P600" s="22"/>
      <c r="Q600" s="22"/>
      <c r="R600" s="22"/>
    </row>
    <row r="601" hidden="1">
      <c r="A601" s="93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19"/>
      <c r="P601" s="22"/>
      <c r="Q601" s="22"/>
      <c r="R601" s="22"/>
    </row>
    <row r="602" hidden="1">
      <c r="A602" s="93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19"/>
      <c r="P602" s="22"/>
      <c r="Q602" s="22"/>
      <c r="R602" s="22"/>
    </row>
    <row r="603" hidden="1">
      <c r="A603" s="93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19"/>
      <c r="P603" s="22"/>
      <c r="Q603" s="22"/>
      <c r="R603" s="22"/>
    </row>
    <row r="604" hidden="1">
      <c r="A604" s="93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19"/>
      <c r="P604" s="22"/>
      <c r="Q604" s="22"/>
      <c r="R604" s="22"/>
    </row>
    <row r="605" hidden="1">
      <c r="A605" s="93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19"/>
      <c r="P605" s="22"/>
      <c r="Q605" s="22"/>
      <c r="R605" s="22"/>
    </row>
    <row r="606" hidden="1">
      <c r="A606" s="93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19"/>
      <c r="P606" s="22"/>
      <c r="Q606" s="22"/>
      <c r="R606" s="22"/>
    </row>
    <row r="607" hidden="1">
      <c r="A607" s="93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19"/>
      <c r="P607" s="22"/>
      <c r="Q607" s="22"/>
      <c r="R607" s="22"/>
    </row>
    <row r="608" hidden="1">
      <c r="A608" s="93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19"/>
      <c r="P608" s="22"/>
      <c r="Q608" s="22"/>
      <c r="R608" s="22"/>
    </row>
    <row r="609" hidden="1">
      <c r="A609" s="93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19"/>
      <c r="P609" s="22"/>
      <c r="Q609" s="22"/>
      <c r="R609" s="22"/>
    </row>
    <row r="610" hidden="1">
      <c r="A610" s="93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19"/>
      <c r="P610" s="22"/>
      <c r="Q610" s="22"/>
      <c r="R610" s="22"/>
    </row>
    <row r="611" hidden="1">
      <c r="A611" s="93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19"/>
      <c r="P611" s="22"/>
      <c r="Q611" s="22"/>
      <c r="R611" s="22"/>
    </row>
    <row r="612" hidden="1">
      <c r="A612" s="93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19"/>
      <c r="P612" s="22"/>
      <c r="Q612" s="22"/>
      <c r="R612" s="22"/>
    </row>
    <row r="613" hidden="1">
      <c r="A613" s="93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19"/>
      <c r="P613" s="22"/>
      <c r="Q613" s="22"/>
      <c r="R613" s="22"/>
    </row>
    <row r="614" hidden="1">
      <c r="A614" s="93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19"/>
      <c r="P614" s="22"/>
      <c r="Q614" s="22"/>
      <c r="R614" s="22"/>
    </row>
    <row r="615" hidden="1">
      <c r="A615" s="93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19"/>
      <c r="P615" s="22"/>
      <c r="Q615" s="22"/>
      <c r="R615" s="22"/>
    </row>
    <row r="616" hidden="1">
      <c r="A616" s="93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19"/>
      <c r="P616" s="22"/>
      <c r="Q616" s="22"/>
      <c r="R616" s="22"/>
    </row>
    <row r="617" hidden="1">
      <c r="A617" s="93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19"/>
      <c r="P617" s="22"/>
      <c r="Q617" s="22"/>
      <c r="R617" s="22"/>
    </row>
    <row r="618" hidden="1">
      <c r="A618" s="93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19"/>
      <c r="P618" s="22"/>
      <c r="Q618" s="22"/>
      <c r="R618" s="22"/>
    </row>
    <row r="619" hidden="1">
      <c r="A619" s="93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19"/>
      <c r="P619" s="22"/>
      <c r="Q619" s="22"/>
      <c r="R619" s="22"/>
    </row>
    <row r="620" hidden="1">
      <c r="A620" s="93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19"/>
      <c r="P620" s="22"/>
      <c r="Q620" s="22"/>
      <c r="R620" s="22"/>
    </row>
    <row r="621" hidden="1">
      <c r="A621" s="93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19"/>
      <c r="P621" s="22"/>
      <c r="Q621" s="22"/>
      <c r="R621" s="22"/>
    </row>
    <row r="622" hidden="1">
      <c r="A622" s="93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19"/>
      <c r="P622" s="22"/>
      <c r="Q622" s="22"/>
      <c r="R622" s="22"/>
    </row>
    <row r="623" hidden="1">
      <c r="A623" s="93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19"/>
      <c r="P623" s="22"/>
      <c r="Q623" s="22"/>
      <c r="R623" s="22"/>
    </row>
    <row r="624" hidden="1">
      <c r="A624" s="93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19"/>
      <c r="P624" s="22"/>
      <c r="Q624" s="22"/>
      <c r="R624" s="22"/>
    </row>
    <row r="625" hidden="1">
      <c r="A625" s="93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19"/>
      <c r="P625" s="22"/>
      <c r="Q625" s="22"/>
      <c r="R625" s="22"/>
    </row>
    <row r="626" hidden="1">
      <c r="A626" s="93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19"/>
      <c r="P626" s="22"/>
      <c r="Q626" s="22"/>
      <c r="R626" s="22"/>
    </row>
    <row r="627" hidden="1">
      <c r="A627" s="93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19"/>
      <c r="P627" s="22"/>
      <c r="Q627" s="22"/>
      <c r="R627" s="22"/>
    </row>
    <row r="628" hidden="1">
      <c r="A628" s="93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19"/>
      <c r="P628" s="22"/>
      <c r="Q628" s="22"/>
      <c r="R628" s="22"/>
    </row>
    <row r="629" hidden="1">
      <c r="A629" s="93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19"/>
      <c r="P629" s="22"/>
      <c r="Q629" s="22"/>
      <c r="R629" s="22"/>
    </row>
    <row r="630" hidden="1">
      <c r="A630" s="93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19"/>
      <c r="P630" s="22"/>
      <c r="Q630" s="22"/>
      <c r="R630" s="22"/>
    </row>
    <row r="631" hidden="1">
      <c r="A631" s="93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19"/>
      <c r="P631" s="22"/>
      <c r="Q631" s="22"/>
      <c r="R631" s="22"/>
    </row>
    <row r="632" hidden="1">
      <c r="A632" s="93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19"/>
      <c r="P632" s="22"/>
      <c r="Q632" s="22"/>
      <c r="R632" s="22"/>
    </row>
    <row r="633" hidden="1">
      <c r="A633" s="93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19"/>
      <c r="P633" s="22"/>
      <c r="Q633" s="22"/>
      <c r="R633" s="22"/>
    </row>
    <row r="634" hidden="1">
      <c r="A634" s="93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19"/>
      <c r="P634" s="22"/>
      <c r="Q634" s="22"/>
      <c r="R634" s="22"/>
    </row>
    <row r="635" hidden="1">
      <c r="A635" s="93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19"/>
      <c r="P635" s="22"/>
      <c r="Q635" s="22"/>
      <c r="R635" s="22"/>
    </row>
    <row r="636" hidden="1">
      <c r="A636" s="93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19"/>
      <c r="P636" s="22"/>
      <c r="Q636" s="22"/>
      <c r="R636" s="22"/>
    </row>
    <row r="637" hidden="1">
      <c r="A637" s="93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19"/>
      <c r="P637" s="22"/>
      <c r="Q637" s="22"/>
      <c r="R637" s="22"/>
    </row>
    <row r="638" hidden="1">
      <c r="A638" s="93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19"/>
      <c r="P638" s="22"/>
      <c r="Q638" s="22"/>
      <c r="R638" s="22"/>
    </row>
    <row r="639" hidden="1">
      <c r="A639" s="93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19"/>
      <c r="P639" s="22"/>
      <c r="Q639" s="22"/>
      <c r="R639" s="22"/>
    </row>
    <row r="640" hidden="1">
      <c r="A640" s="93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19"/>
      <c r="P640" s="22"/>
      <c r="Q640" s="22"/>
      <c r="R640" s="22"/>
    </row>
    <row r="641" hidden="1">
      <c r="A641" s="93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19"/>
      <c r="P641" s="22"/>
      <c r="Q641" s="22"/>
      <c r="R641" s="22"/>
    </row>
    <row r="642" hidden="1">
      <c r="A642" s="93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19"/>
      <c r="P642" s="22"/>
      <c r="Q642" s="22"/>
      <c r="R642" s="22"/>
    </row>
    <row r="643" hidden="1">
      <c r="A643" s="93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19"/>
      <c r="P643" s="22"/>
      <c r="Q643" s="22"/>
      <c r="R643" s="22"/>
    </row>
    <row r="644" hidden="1">
      <c r="A644" s="93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19"/>
      <c r="P644" s="22"/>
      <c r="Q644" s="22"/>
      <c r="R644" s="22"/>
    </row>
    <row r="645" hidden="1">
      <c r="A645" s="93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19"/>
      <c r="P645" s="22"/>
      <c r="Q645" s="22"/>
      <c r="R645" s="22"/>
    </row>
    <row r="646" hidden="1">
      <c r="A646" s="93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19"/>
      <c r="P646" s="22"/>
      <c r="Q646" s="22"/>
      <c r="R646" s="22"/>
    </row>
    <row r="647" hidden="1">
      <c r="A647" s="93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19"/>
      <c r="P647" s="22"/>
      <c r="Q647" s="22"/>
      <c r="R647" s="22"/>
    </row>
    <row r="648" hidden="1">
      <c r="A648" s="93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19"/>
      <c r="P648" s="22"/>
      <c r="Q648" s="22"/>
      <c r="R648" s="22"/>
    </row>
    <row r="649" hidden="1">
      <c r="A649" s="93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19"/>
      <c r="P649" s="22"/>
      <c r="Q649" s="22"/>
      <c r="R649" s="22"/>
    </row>
    <row r="650" hidden="1">
      <c r="A650" s="93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19"/>
      <c r="P650" s="22"/>
      <c r="Q650" s="22"/>
      <c r="R650" s="22"/>
    </row>
    <row r="651" hidden="1">
      <c r="A651" s="93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19"/>
      <c r="P651" s="22"/>
      <c r="Q651" s="22"/>
      <c r="R651" s="22"/>
    </row>
    <row r="652" hidden="1">
      <c r="A652" s="93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19"/>
      <c r="P652" s="22"/>
      <c r="Q652" s="22"/>
      <c r="R652" s="22"/>
    </row>
    <row r="653" hidden="1">
      <c r="A653" s="93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19"/>
      <c r="P653" s="22"/>
      <c r="Q653" s="22"/>
      <c r="R653" s="22"/>
    </row>
    <row r="654" hidden="1">
      <c r="A654" s="93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19"/>
      <c r="P654" s="22"/>
      <c r="Q654" s="22"/>
      <c r="R654" s="22"/>
    </row>
    <row r="655" hidden="1">
      <c r="A655" s="93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19"/>
      <c r="P655" s="22"/>
      <c r="Q655" s="22"/>
      <c r="R655" s="22"/>
    </row>
    <row r="656" hidden="1">
      <c r="A656" s="93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19"/>
      <c r="P656" s="22"/>
      <c r="Q656" s="22"/>
      <c r="R656" s="22"/>
    </row>
    <row r="657" hidden="1">
      <c r="A657" s="93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19"/>
      <c r="P657" s="22"/>
      <c r="Q657" s="22"/>
      <c r="R657" s="22"/>
    </row>
    <row r="658" hidden="1">
      <c r="A658" s="93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19"/>
      <c r="P658" s="22"/>
      <c r="Q658" s="22"/>
      <c r="R658" s="22"/>
    </row>
    <row r="659" hidden="1">
      <c r="A659" s="93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19"/>
      <c r="P659" s="22"/>
      <c r="Q659" s="22"/>
      <c r="R659" s="22"/>
    </row>
    <row r="660" hidden="1">
      <c r="A660" s="93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19"/>
      <c r="P660" s="22"/>
      <c r="Q660" s="22"/>
      <c r="R660" s="22"/>
    </row>
    <row r="661" hidden="1">
      <c r="A661" s="93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19"/>
      <c r="P661" s="22"/>
      <c r="Q661" s="22"/>
      <c r="R661" s="22"/>
    </row>
    <row r="662" hidden="1">
      <c r="A662" s="93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19"/>
      <c r="P662" s="22"/>
      <c r="Q662" s="22"/>
      <c r="R662" s="22"/>
    </row>
    <row r="663" hidden="1">
      <c r="A663" s="93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19"/>
      <c r="P663" s="22"/>
      <c r="Q663" s="22"/>
      <c r="R663" s="22"/>
    </row>
    <row r="664" hidden="1">
      <c r="A664" s="93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19"/>
      <c r="P664" s="22"/>
      <c r="Q664" s="22"/>
      <c r="R664" s="22"/>
    </row>
    <row r="665" hidden="1">
      <c r="A665" s="93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19"/>
      <c r="P665" s="22"/>
      <c r="Q665" s="22"/>
      <c r="R665" s="22"/>
    </row>
    <row r="666" hidden="1">
      <c r="A666" s="93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19"/>
      <c r="P666" s="22"/>
      <c r="Q666" s="22"/>
      <c r="R666" s="22"/>
    </row>
    <row r="667" hidden="1">
      <c r="A667" s="93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19"/>
      <c r="P667" s="22"/>
      <c r="Q667" s="22"/>
      <c r="R667" s="22"/>
    </row>
    <row r="668" hidden="1">
      <c r="A668" s="93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19"/>
      <c r="P668" s="22"/>
      <c r="Q668" s="22"/>
      <c r="R668" s="22"/>
    </row>
    <row r="669" hidden="1">
      <c r="A669" s="93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19"/>
      <c r="P669" s="22"/>
      <c r="Q669" s="22"/>
      <c r="R669" s="22"/>
    </row>
    <row r="670" hidden="1">
      <c r="A670" s="93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19"/>
      <c r="P670" s="22"/>
      <c r="Q670" s="22"/>
      <c r="R670" s="22"/>
    </row>
    <row r="671" hidden="1">
      <c r="A671" s="93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19"/>
      <c r="P671" s="22"/>
      <c r="Q671" s="22"/>
      <c r="R671" s="22"/>
    </row>
    <row r="672" hidden="1">
      <c r="A672" s="93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19"/>
      <c r="P672" s="22"/>
      <c r="Q672" s="22"/>
      <c r="R672" s="22"/>
    </row>
    <row r="673" hidden="1">
      <c r="A673" s="93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19"/>
      <c r="P673" s="22"/>
      <c r="Q673" s="22"/>
      <c r="R673" s="22"/>
    </row>
    <row r="674" hidden="1">
      <c r="A674" s="93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19"/>
      <c r="P674" s="22"/>
      <c r="Q674" s="22"/>
      <c r="R674" s="22"/>
    </row>
    <row r="675" hidden="1">
      <c r="A675" s="93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19"/>
      <c r="P675" s="22"/>
      <c r="Q675" s="22"/>
      <c r="R675" s="22"/>
    </row>
    <row r="676" hidden="1">
      <c r="A676" s="93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19"/>
      <c r="P676" s="22"/>
      <c r="Q676" s="22"/>
      <c r="R676" s="22"/>
    </row>
    <row r="677" hidden="1">
      <c r="A677" s="93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19"/>
      <c r="P677" s="22"/>
      <c r="Q677" s="22"/>
      <c r="R677" s="22"/>
    </row>
    <row r="678" hidden="1">
      <c r="A678" s="93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19"/>
      <c r="P678" s="22"/>
      <c r="Q678" s="22"/>
      <c r="R678" s="22"/>
    </row>
    <row r="679" hidden="1">
      <c r="A679" s="93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19"/>
      <c r="P679" s="22"/>
      <c r="Q679" s="22"/>
      <c r="R679" s="22"/>
    </row>
    <row r="680" hidden="1">
      <c r="A680" s="93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19"/>
      <c r="P680" s="22"/>
      <c r="Q680" s="22"/>
      <c r="R680" s="22"/>
    </row>
    <row r="681" hidden="1">
      <c r="A681" s="93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19"/>
      <c r="P681" s="22"/>
      <c r="Q681" s="22"/>
      <c r="R681" s="22"/>
    </row>
    <row r="682" hidden="1">
      <c r="A682" s="93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19"/>
      <c r="P682" s="22"/>
      <c r="Q682" s="22"/>
      <c r="R682" s="22"/>
    </row>
    <row r="683" hidden="1">
      <c r="A683" s="93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19"/>
      <c r="P683" s="22"/>
      <c r="Q683" s="22"/>
      <c r="R683" s="22"/>
    </row>
    <row r="684" hidden="1">
      <c r="A684" s="93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19"/>
      <c r="P684" s="22"/>
      <c r="Q684" s="22"/>
      <c r="R684" s="22"/>
    </row>
    <row r="685" hidden="1">
      <c r="A685" s="93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19"/>
      <c r="P685" s="22"/>
      <c r="Q685" s="22"/>
      <c r="R685" s="22"/>
    </row>
    <row r="686" hidden="1">
      <c r="A686" s="93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19"/>
      <c r="P686" s="22"/>
      <c r="Q686" s="22"/>
      <c r="R686" s="22"/>
    </row>
    <row r="687" hidden="1">
      <c r="A687" s="93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19"/>
      <c r="P687" s="22"/>
      <c r="Q687" s="22"/>
      <c r="R687" s="22"/>
    </row>
    <row r="688" hidden="1">
      <c r="A688" s="93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19"/>
      <c r="P688" s="22"/>
      <c r="Q688" s="22"/>
      <c r="R688" s="22"/>
    </row>
    <row r="689" hidden="1">
      <c r="A689" s="93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19"/>
      <c r="P689" s="22"/>
      <c r="Q689" s="22"/>
      <c r="R689" s="22"/>
    </row>
    <row r="690" hidden="1">
      <c r="A690" s="93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19"/>
      <c r="P690" s="22"/>
      <c r="Q690" s="22"/>
      <c r="R690" s="22"/>
    </row>
    <row r="691" hidden="1">
      <c r="A691" s="93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19"/>
      <c r="P691" s="22"/>
      <c r="Q691" s="22"/>
      <c r="R691" s="22"/>
    </row>
    <row r="692" hidden="1">
      <c r="A692" s="93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19"/>
      <c r="P692" s="22"/>
      <c r="Q692" s="22"/>
      <c r="R692" s="22"/>
    </row>
    <row r="693" hidden="1">
      <c r="A693" s="93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19"/>
      <c r="P693" s="22"/>
      <c r="Q693" s="22"/>
      <c r="R693" s="22"/>
    </row>
    <row r="694" hidden="1">
      <c r="A694" s="93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19"/>
      <c r="P694" s="22"/>
      <c r="Q694" s="22"/>
      <c r="R694" s="22"/>
    </row>
    <row r="695" hidden="1">
      <c r="A695" s="93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19"/>
      <c r="P695" s="22"/>
      <c r="Q695" s="22"/>
      <c r="R695" s="22"/>
    </row>
    <row r="696" hidden="1">
      <c r="A696" s="93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19"/>
      <c r="P696" s="22"/>
      <c r="Q696" s="22"/>
      <c r="R696" s="22"/>
    </row>
    <row r="697" hidden="1">
      <c r="A697" s="93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19"/>
      <c r="P697" s="22"/>
      <c r="Q697" s="22"/>
      <c r="R697" s="22"/>
    </row>
    <row r="698" hidden="1">
      <c r="A698" s="93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19"/>
      <c r="P698" s="22"/>
      <c r="Q698" s="22"/>
      <c r="R698" s="22"/>
    </row>
    <row r="699" hidden="1">
      <c r="A699" s="93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19"/>
      <c r="P699" s="22"/>
      <c r="Q699" s="22"/>
      <c r="R699" s="22"/>
    </row>
    <row r="700" hidden="1">
      <c r="A700" s="93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19"/>
      <c r="P700" s="22"/>
      <c r="Q700" s="22"/>
      <c r="R700" s="22"/>
    </row>
    <row r="701" hidden="1">
      <c r="A701" s="93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19"/>
      <c r="P701" s="22"/>
      <c r="Q701" s="22"/>
      <c r="R701" s="22"/>
    </row>
    <row r="702" hidden="1">
      <c r="A702" s="93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19"/>
      <c r="P702" s="22"/>
      <c r="Q702" s="22"/>
      <c r="R702" s="22"/>
    </row>
    <row r="703" hidden="1">
      <c r="A703" s="93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19"/>
      <c r="P703" s="22"/>
      <c r="Q703" s="22"/>
      <c r="R703" s="22"/>
    </row>
    <row r="704" hidden="1">
      <c r="A704" s="93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19"/>
      <c r="P704" s="22"/>
      <c r="Q704" s="22"/>
      <c r="R704" s="22"/>
    </row>
    <row r="705" hidden="1">
      <c r="A705" s="93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19"/>
      <c r="P705" s="22"/>
      <c r="Q705" s="22"/>
      <c r="R705" s="22"/>
    </row>
    <row r="706" hidden="1">
      <c r="A706" s="93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19"/>
      <c r="P706" s="22"/>
      <c r="Q706" s="22"/>
      <c r="R706" s="22"/>
    </row>
    <row r="707" hidden="1">
      <c r="A707" s="93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19"/>
      <c r="P707" s="22"/>
      <c r="Q707" s="22"/>
      <c r="R707" s="22"/>
    </row>
    <row r="708" hidden="1">
      <c r="A708" s="93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19"/>
      <c r="P708" s="22"/>
      <c r="Q708" s="22"/>
      <c r="R708" s="22"/>
    </row>
    <row r="709" hidden="1">
      <c r="A709" s="93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19"/>
      <c r="P709" s="22"/>
      <c r="Q709" s="22"/>
      <c r="R709" s="22"/>
    </row>
    <row r="710" hidden="1">
      <c r="A710" s="93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19"/>
      <c r="P710" s="22"/>
      <c r="Q710" s="22"/>
      <c r="R710" s="22"/>
    </row>
    <row r="711" hidden="1">
      <c r="A711" s="93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19"/>
      <c r="P711" s="22"/>
      <c r="Q711" s="22"/>
      <c r="R711" s="22"/>
    </row>
    <row r="712" hidden="1">
      <c r="A712" s="93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19"/>
      <c r="P712" s="22"/>
      <c r="Q712" s="22"/>
      <c r="R712" s="22"/>
    </row>
    <row r="713" hidden="1">
      <c r="A713" s="93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19"/>
      <c r="P713" s="22"/>
      <c r="Q713" s="22"/>
      <c r="R713" s="22"/>
    </row>
    <row r="714" hidden="1">
      <c r="A714" s="93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19"/>
      <c r="P714" s="22"/>
      <c r="Q714" s="22"/>
      <c r="R714" s="22"/>
    </row>
    <row r="715" hidden="1">
      <c r="A715" s="93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19"/>
      <c r="P715" s="22"/>
      <c r="Q715" s="22"/>
      <c r="R715" s="22"/>
    </row>
    <row r="716" hidden="1">
      <c r="A716" s="93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19"/>
      <c r="P716" s="22"/>
      <c r="Q716" s="22"/>
      <c r="R716" s="22"/>
    </row>
    <row r="717" hidden="1">
      <c r="A717" s="93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19"/>
      <c r="P717" s="22"/>
      <c r="Q717" s="22"/>
      <c r="R717" s="22"/>
    </row>
    <row r="718" hidden="1">
      <c r="A718" s="93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19"/>
      <c r="P718" s="22"/>
      <c r="Q718" s="22"/>
      <c r="R718" s="22"/>
    </row>
    <row r="719" hidden="1">
      <c r="A719" s="93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19"/>
      <c r="P719" s="22"/>
      <c r="Q719" s="22"/>
      <c r="R719" s="22"/>
    </row>
    <row r="720" hidden="1">
      <c r="A720" s="93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19"/>
      <c r="P720" s="22"/>
      <c r="Q720" s="22"/>
      <c r="R720" s="22"/>
    </row>
    <row r="721" hidden="1">
      <c r="A721" s="93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19"/>
      <c r="P721" s="22"/>
      <c r="Q721" s="22"/>
      <c r="R721" s="22"/>
    </row>
    <row r="722" hidden="1">
      <c r="A722" s="93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19"/>
      <c r="P722" s="22"/>
      <c r="Q722" s="22"/>
      <c r="R722" s="22"/>
    </row>
    <row r="723" hidden="1">
      <c r="A723" s="93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19"/>
      <c r="P723" s="22"/>
      <c r="Q723" s="22"/>
      <c r="R723" s="22"/>
    </row>
    <row r="724" hidden="1">
      <c r="A724" s="93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19"/>
      <c r="P724" s="22"/>
      <c r="Q724" s="22"/>
      <c r="R724" s="22"/>
    </row>
    <row r="725" hidden="1">
      <c r="A725" s="93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19"/>
      <c r="P725" s="22"/>
      <c r="Q725" s="22"/>
      <c r="R725" s="22"/>
    </row>
    <row r="726" hidden="1">
      <c r="A726" s="93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19"/>
      <c r="P726" s="22"/>
      <c r="Q726" s="22"/>
      <c r="R726" s="22"/>
    </row>
    <row r="727" hidden="1">
      <c r="A727" s="93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19"/>
      <c r="P727" s="22"/>
      <c r="Q727" s="22"/>
      <c r="R727" s="22"/>
    </row>
    <row r="728" hidden="1">
      <c r="A728" s="93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19"/>
      <c r="P728" s="22"/>
      <c r="Q728" s="22"/>
      <c r="R728" s="22"/>
    </row>
    <row r="729" hidden="1">
      <c r="A729" s="93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19"/>
      <c r="P729" s="22"/>
      <c r="Q729" s="22"/>
      <c r="R729" s="22"/>
    </row>
    <row r="730" hidden="1">
      <c r="A730" s="93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19"/>
      <c r="P730" s="22"/>
      <c r="Q730" s="22"/>
      <c r="R730" s="22"/>
    </row>
    <row r="731" hidden="1">
      <c r="A731" s="93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19"/>
      <c r="P731" s="22"/>
      <c r="Q731" s="22"/>
      <c r="R731" s="22"/>
    </row>
    <row r="732" hidden="1">
      <c r="A732" s="93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19"/>
      <c r="P732" s="22"/>
      <c r="Q732" s="22"/>
      <c r="R732" s="22"/>
    </row>
    <row r="733" hidden="1">
      <c r="A733" s="93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19"/>
      <c r="P733" s="22"/>
      <c r="Q733" s="22"/>
      <c r="R733" s="22"/>
    </row>
    <row r="734" hidden="1">
      <c r="A734" s="93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19"/>
      <c r="P734" s="22"/>
      <c r="Q734" s="22"/>
      <c r="R734" s="22"/>
    </row>
    <row r="735" hidden="1">
      <c r="A735" s="93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19"/>
      <c r="P735" s="22"/>
      <c r="Q735" s="22"/>
      <c r="R735" s="22"/>
    </row>
    <row r="736" hidden="1">
      <c r="A736" s="93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19"/>
      <c r="P736" s="22"/>
      <c r="Q736" s="22"/>
      <c r="R736" s="22"/>
    </row>
    <row r="737" hidden="1">
      <c r="A737" s="93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19"/>
      <c r="P737" s="22"/>
      <c r="Q737" s="22"/>
      <c r="R737" s="22"/>
    </row>
    <row r="738" hidden="1">
      <c r="A738" s="93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19"/>
      <c r="P738" s="22"/>
      <c r="Q738" s="22"/>
      <c r="R738" s="22"/>
    </row>
    <row r="739" hidden="1">
      <c r="A739" s="93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19"/>
      <c r="P739" s="22"/>
      <c r="Q739" s="22"/>
      <c r="R739" s="22"/>
    </row>
    <row r="740" hidden="1">
      <c r="A740" s="93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19"/>
      <c r="P740" s="22"/>
      <c r="Q740" s="22"/>
      <c r="R740" s="22"/>
    </row>
    <row r="741" hidden="1">
      <c r="A741" s="93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19"/>
      <c r="P741" s="22"/>
      <c r="Q741" s="22"/>
      <c r="R741" s="22"/>
    </row>
    <row r="742" hidden="1">
      <c r="A742" s="93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19"/>
      <c r="P742" s="22"/>
      <c r="Q742" s="22"/>
      <c r="R742" s="22"/>
    </row>
    <row r="743" hidden="1">
      <c r="A743" s="93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19"/>
      <c r="P743" s="22"/>
      <c r="Q743" s="22"/>
      <c r="R743" s="22"/>
    </row>
    <row r="744" hidden="1">
      <c r="A744" s="93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19"/>
      <c r="P744" s="22"/>
      <c r="Q744" s="22"/>
      <c r="R744" s="22"/>
    </row>
    <row r="745" hidden="1">
      <c r="A745" s="93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19"/>
      <c r="P745" s="22"/>
      <c r="Q745" s="22"/>
      <c r="R745" s="22"/>
    </row>
    <row r="746" hidden="1">
      <c r="A746" s="93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19"/>
      <c r="P746" s="22"/>
      <c r="Q746" s="22"/>
      <c r="R746" s="22"/>
    </row>
    <row r="747" hidden="1">
      <c r="A747" s="93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19"/>
      <c r="P747" s="22"/>
      <c r="Q747" s="22"/>
      <c r="R747" s="22"/>
    </row>
    <row r="748" hidden="1">
      <c r="A748" s="93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19"/>
      <c r="P748" s="22"/>
      <c r="Q748" s="22"/>
      <c r="R748" s="22"/>
    </row>
    <row r="749" hidden="1">
      <c r="A749" s="93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19"/>
      <c r="P749" s="22"/>
      <c r="Q749" s="22"/>
      <c r="R749" s="22"/>
    </row>
    <row r="750" hidden="1">
      <c r="A750" s="93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19"/>
      <c r="P750" s="22"/>
      <c r="Q750" s="22"/>
      <c r="R750" s="22"/>
    </row>
    <row r="751" hidden="1">
      <c r="A751" s="93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19"/>
      <c r="P751" s="22"/>
      <c r="Q751" s="22"/>
      <c r="R751" s="22"/>
    </row>
    <row r="752" hidden="1">
      <c r="A752" s="93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19"/>
      <c r="P752" s="22"/>
      <c r="Q752" s="22"/>
      <c r="R752" s="22"/>
    </row>
    <row r="753" hidden="1">
      <c r="A753" s="93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19"/>
      <c r="P753" s="22"/>
      <c r="Q753" s="22"/>
      <c r="R753" s="22"/>
    </row>
    <row r="754" hidden="1">
      <c r="A754" s="93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19"/>
      <c r="P754" s="22"/>
      <c r="Q754" s="22"/>
      <c r="R754" s="22"/>
    </row>
    <row r="755" hidden="1">
      <c r="A755" s="93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19"/>
      <c r="P755" s="22"/>
      <c r="Q755" s="22"/>
      <c r="R755" s="22"/>
    </row>
    <row r="756" hidden="1">
      <c r="A756" s="93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19"/>
      <c r="P756" s="22"/>
      <c r="Q756" s="22"/>
      <c r="R756" s="22"/>
    </row>
    <row r="757" hidden="1">
      <c r="A757" s="93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19"/>
      <c r="P757" s="22"/>
      <c r="Q757" s="22"/>
      <c r="R757" s="22"/>
    </row>
    <row r="758" hidden="1">
      <c r="A758" s="93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19"/>
      <c r="P758" s="22"/>
      <c r="Q758" s="22"/>
      <c r="R758" s="22"/>
    </row>
    <row r="759" hidden="1">
      <c r="A759" s="93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19"/>
      <c r="P759" s="22"/>
      <c r="Q759" s="22"/>
      <c r="R759" s="22"/>
    </row>
    <row r="760" hidden="1">
      <c r="A760" s="93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19"/>
      <c r="P760" s="22"/>
      <c r="Q760" s="22"/>
      <c r="R760" s="22"/>
    </row>
    <row r="761" hidden="1">
      <c r="A761" s="93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19"/>
      <c r="P761" s="22"/>
      <c r="Q761" s="22"/>
      <c r="R761" s="22"/>
    </row>
    <row r="762" hidden="1">
      <c r="A762" s="93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19"/>
      <c r="P762" s="22"/>
      <c r="Q762" s="22"/>
      <c r="R762" s="22"/>
    </row>
    <row r="763" hidden="1">
      <c r="A763" s="93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19"/>
      <c r="P763" s="22"/>
      <c r="Q763" s="22"/>
      <c r="R763" s="22"/>
    </row>
    <row r="764" hidden="1">
      <c r="A764" s="93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19"/>
      <c r="P764" s="22"/>
      <c r="Q764" s="22"/>
      <c r="R764" s="22"/>
    </row>
    <row r="765" hidden="1">
      <c r="A765" s="93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19"/>
      <c r="P765" s="22"/>
      <c r="Q765" s="22"/>
      <c r="R765" s="22"/>
    </row>
    <row r="766" hidden="1">
      <c r="A766" s="93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19"/>
      <c r="P766" s="22"/>
      <c r="Q766" s="22"/>
      <c r="R766" s="22"/>
    </row>
    <row r="767" hidden="1">
      <c r="A767" s="93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19"/>
      <c r="P767" s="22"/>
      <c r="Q767" s="22"/>
      <c r="R767" s="22"/>
    </row>
    <row r="768" hidden="1">
      <c r="A768" s="93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19"/>
      <c r="P768" s="22"/>
      <c r="Q768" s="22"/>
      <c r="R768" s="22"/>
    </row>
    <row r="769" hidden="1">
      <c r="A769" s="93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19"/>
      <c r="P769" s="22"/>
      <c r="Q769" s="22"/>
      <c r="R769" s="22"/>
    </row>
    <row r="770" hidden="1">
      <c r="A770" s="93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19"/>
      <c r="P770" s="22"/>
      <c r="Q770" s="22"/>
      <c r="R770" s="22"/>
    </row>
    <row r="771" hidden="1">
      <c r="A771" s="93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19"/>
      <c r="P771" s="22"/>
      <c r="Q771" s="22"/>
      <c r="R771" s="22"/>
    </row>
    <row r="772" hidden="1">
      <c r="A772" s="93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19"/>
      <c r="P772" s="22"/>
      <c r="Q772" s="22"/>
      <c r="R772" s="22"/>
    </row>
    <row r="773" hidden="1">
      <c r="A773" s="93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19"/>
      <c r="P773" s="22"/>
      <c r="Q773" s="22"/>
      <c r="R773" s="22"/>
    </row>
    <row r="774" hidden="1">
      <c r="A774" s="93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19"/>
      <c r="P774" s="22"/>
      <c r="Q774" s="22"/>
      <c r="R774" s="22"/>
    </row>
    <row r="775" hidden="1">
      <c r="A775" s="93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19"/>
      <c r="P775" s="22"/>
      <c r="Q775" s="22"/>
      <c r="R775" s="22"/>
    </row>
    <row r="776" hidden="1">
      <c r="A776" s="93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19"/>
      <c r="P776" s="22"/>
      <c r="Q776" s="22"/>
      <c r="R776" s="22"/>
    </row>
    <row r="777" hidden="1">
      <c r="A777" s="93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19"/>
      <c r="P777" s="22"/>
      <c r="Q777" s="22"/>
      <c r="R777" s="22"/>
    </row>
    <row r="778" hidden="1">
      <c r="A778" s="93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19"/>
      <c r="P778" s="22"/>
      <c r="Q778" s="22"/>
      <c r="R778" s="22"/>
    </row>
    <row r="779" hidden="1">
      <c r="A779" s="93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19"/>
      <c r="P779" s="22"/>
      <c r="Q779" s="22"/>
      <c r="R779" s="22"/>
    </row>
    <row r="780" hidden="1">
      <c r="A780" s="93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19"/>
      <c r="P780" s="22"/>
      <c r="Q780" s="22"/>
      <c r="R780" s="22"/>
    </row>
    <row r="781" hidden="1">
      <c r="A781" s="93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19"/>
      <c r="P781" s="22"/>
      <c r="Q781" s="22"/>
      <c r="R781" s="22"/>
    </row>
    <row r="782" hidden="1">
      <c r="A782" s="93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19"/>
      <c r="P782" s="22"/>
      <c r="Q782" s="22"/>
      <c r="R782" s="22"/>
    </row>
    <row r="783" hidden="1">
      <c r="A783" s="93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19"/>
      <c r="P783" s="22"/>
      <c r="Q783" s="22"/>
      <c r="R783" s="22"/>
    </row>
    <row r="784" hidden="1">
      <c r="A784" s="93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19"/>
      <c r="P784" s="22"/>
      <c r="Q784" s="22"/>
      <c r="R784" s="22"/>
    </row>
    <row r="785" hidden="1">
      <c r="A785" s="93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19"/>
      <c r="P785" s="22"/>
      <c r="Q785" s="22"/>
      <c r="R785" s="22"/>
    </row>
    <row r="786" hidden="1">
      <c r="A786" s="93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19"/>
      <c r="P786" s="22"/>
      <c r="Q786" s="22"/>
      <c r="R786" s="22"/>
    </row>
    <row r="787" hidden="1">
      <c r="A787" s="93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19"/>
      <c r="P787" s="22"/>
      <c r="Q787" s="22"/>
      <c r="R787" s="22"/>
    </row>
    <row r="788" hidden="1">
      <c r="A788" s="93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19"/>
      <c r="P788" s="22"/>
      <c r="Q788" s="22"/>
      <c r="R788" s="22"/>
    </row>
    <row r="789" hidden="1">
      <c r="A789" s="93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19"/>
      <c r="P789" s="22"/>
      <c r="Q789" s="22"/>
      <c r="R789" s="22"/>
    </row>
    <row r="790" hidden="1">
      <c r="A790" s="93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19"/>
      <c r="P790" s="22"/>
      <c r="Q790" s="22"/>
      <c r="R790" s="22"/>
    </row>
    <row r="791" hidden="1">
      <c r="A791" s="93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19"/>
      <c r="P791" s="22"/>
      <c r="Q791" s="22"/>
      <c r="R791" s="22"/>
    </row>
    <row r="792" hidden="1">
      <c r="A792" s="93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19"/>
      <c r="P792" s="22"/>
      <c r="Q792" s="22"/>
      <c r="R792" s="22"/>
    </row>
    <row r="793" hidden="1">
      <c r="A793" s="93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19"/>
      <c r="P793" s="22"/>
      <c r="Q793" s="22"/>
      <c r="R793" s="22"/>
    </row>
    <row r="794" hidden="1">
      <c r="A794" s="93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19"/>
      <c r="P794" s="22"/>
      <c r="Q794" s="22"/>
      <c r="R794" s="22"/>
    </row>
    <row r="795" hidden="1">
      <c r="A795" s="93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19"/>
      <c r="P795" s="22"/>
      <c r="Q795" s="22"/>
      <c r="R795" s="22"/>
    </row>
    <row r="796" hidden="1">
      <c r="A796" s="93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19"/>
      <c r="P796" s="22"/>
      <c r="Q796" s="22"/>
      <c r="R796" s="22"/>
    </row>
    <row r="797" hidden="1">
      <c r="A797" s="93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19"/>
      <c r="P797" s="22"/>
      <c r="Q797" s="22"/>
      <c r="R797" s="22"/>
    </row>
    <row r="798" hidden="1">
      <c r="A798" s="93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19"/>
      <c r="P798" s="22"/>
      <c r="Q798" s="22"/>
      <c r="R798" s="22"/>
    </row>
    <row r="799" hidden="1">
      <c r="A799" s="93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19"/>
      <c r="P799" s="22"/>
      <c r="Q799" s="22"/>
      <c r="R799" s="22"/>
    </row>
    <row r="800" hidden="1">
      <c r="A800" s="93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19"/>
      <c r="P800" s="22"/>
      <c r="Q800" s="22"/>
      <c r="R800" s="22"/>
    </row>
    <row r="801" hidden="1">
      <c r="A801" s="93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19"/>
      <c r="P801" s="22"/>
      <c r="Q801" s="22"/>
      <c r="R801" s="22"/>
    </row>
    <row r="802" hidden="1">
      <c r="A802" s="93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19"/>
      <c r="P802" s="22"/>
      <c r="Q802" s="22"/>
      <c r="R802" s="22"/>
    </row>
    <row r="803" hidden="1">
      <c r="A803" s="93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19"/>
      <c r="P803" s="22"/>
      <c r="Q803" s="22"/>
      <c r="R803" s="22"/>
    </row>
    <row r="804" hidden="1">
      <c r="A804" s="93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19"/>
      <c r="P804" s="22"/>
      <c r="Q804" s="22"/>
      <c r="R804" s="22"/>
    </row>
    <row r="805" hidden="1">
      <c r="A805" s="93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19"/>
      <c r="P805" s="22"/>
      <c r="Q805" s="22"/>
      <c r="R805" s="22"/>
    </row>
    <row r="806" hidden="1">
      <c r="A806" s="93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19"/>
      <c r="P806" s="22"/>
      <c r="Q806" s="22"/>
      <c r="R806" s="22"/>
    </row>
    <row r="807" hidden="1">
      <c r="A807" s="93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19"/>
      <c r="P807" s="22"/>
      <c r="Q807" s="22"/>
      <c r="R807" s="22"/>
    </row>
    <row r="808" hidden="1">
      <c r="A808" s="93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19"/>
      <c r="P808" s="22"/>
      <c r="Q808" s="22"/>
      <c r="R808" s="22"/>
    </row>
    <row r="809" hidden="1">
      <c r="A809" s="93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19"/>
      <c r="P809" s="22"/>
      <c r="Q809" s="22"/>
      <c r="R809" s="22"/>
    </row>
    <row r="810" hidden="1">
      <c r="A810" s="93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19"/>
      <c r="P810" s="22"/>
      <c r="Q810" s="22"/>
      <c r="R810" s="22"/>
    </row>
    <row r="811" hidden="1">
      <c r="A811" s="93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19"/>
      <c r="P811" s="22"/>
      <c r="Q811" s="22"/>
      <c r="R811" s="22"/>
    </row>
    <row r="812" hidden="1">
      <c r="A812" s="93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19"/>
      <c r="P812" s="22"/>
      <c r="Q812" s="22"/>
      <c r="R812" s="22"/>
    </row>
    <row r="813" hidden="1">
      <c r="A813" s="93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19"/>
      <c r="P813" s="22"/>
      <c r="Q813" s="22"/>
      <c r="R813" s="22"/>
    </row>
    <row r="814" hidden="1">
      <c r="A814" s="93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19"/>
      <c r="P814" s="22"/>
      <c r="Q814" s="22"/>
      <c r="R814" s="22"/>
    </row>
    <row r="815" hidden="1">
      <c r="A815" s="93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19"/>
      <c r="P815" s="22"/>
      <c r="Q815" s="22"/>
      <c r="R815" s="22"/>
    </row>
    <row r="816" hidden="1">
      <c r="A816" s="93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19"/>
      <c r="P816" s="22"/>
      <c r="Q816" s="22"/>
      <c r="R816" s="22"/>
    </row>
    <row r="817" hidden="1">
      <c r="A817" s="93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19"/>
      <c r="P817" s="22"/>
      <c r="Q817" s="22"/>
      <c r="R817" s="22"/>
    </row>
    <row r="818" hidden="1">
      <c r="A818" s="93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19"/>
      <c r="P818" s="22"/>
      <c r="Q818" s="22"/>
      <c r="R818" s="22"/>
    </row>
    <row r="819" hidden="1">
      <c r="A819" s="93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19"/>
      <c r="P819" s="22"/>
      <c r="Q819" s="22"/>
      <c r="R819" s="22"/>
    </row>
    <row r="820" hidden="1">
      <c r="A820" s="93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19"/>
      <c r="P820" s="22"/>
      <c r="Q820" s="22"/>
      <c r="R820" s="22"/>
    </row>
    <row r="821" hidden="1">
      <c r="A821" s="93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19"/>
      <c r="P821" s="22"/>
      <c r="Q821" s="22"/>
      <c r="R821" s="22"/>
    </row>
    <row r="822" hidden="1">
      <c r="A822" s="93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19"/>
      <c r="P822" s="22"/>
      <c r="Q822" s="22"/>
      <c r="R822" s="22"/>
    </row>
    <row r="823" hidden="1">
      <c r="A823" s="93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19"/>
      <c r="P823" s="22"/>
      <c r="Q823" s="22"/>
      <c r="R823" s="22"/>
    </row>
    <row r="824" hidden="1">
      <c r="A824" s="93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19"/>
      <c r="P824" s="22"/>
      <c r="Q824" s="22"/>
      <c r="R824" s="22"/>
    </row>
    <row r="825" hidden="1">
      <c r="A825" s="93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19"/>
      <c r="P825" s="22"/>
      <c r="Q825" s="22"/>
      <c r="R825" s="22"/>
    </row>
    <row r="826" hidden="1">
      <c r="A826" s="93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19"/>
      <c r="P826" s="22"/>
      <c r="Q826" s="22"/>
      <c r="R826" s="22"/>
    </row>
    <row r="827" hidden="1">
      <c r="A827" s="93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19"/>
      <c r="P827" s="22"/>
      <c r="Q827" s="22"/>
      <c r="R827" s="22"/>
    </row>
    <row r="828" hidden="1">
      <c r="A828" s="93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19"/>
      <c r="P828" s="22"/>
      <c r="Q828" s="22"/>
      <c r="R828" s="22"/>
    </row>
    <row r="829" hidden="1">
      <c r="A829" s="93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19"/>
      <c r="P829" s="22"/>
      <c r="Q829" s="22"/>
      <c r="R829" s="22"/>
    </row>
    <row r="830" hidden="1">
      <c r="A830" s="93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19"/>
      <c r="P830" s="22"/>
      <c r="Q830" s="22"/>
      <c r="R830" s="22"/>
    </row>
    <row r="831" hidden="1">
      <c r="A831" s="93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19"/>
      <c r="P831" s="22"/>
      <c r="Q831" s="22"/>
      <c r="R831" s="22"/>
    </row>
    <row r="832" hidden="1">
      <c r="A832" s="93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19"/>
      <c r="P832" s="22"/>
      <c r="Q832" s="22"/>
      <c r="R832" s="22"/>
    </row>
    <row r="833" hidden="1">
      <c r="A833" s="93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19"/>
      <c r="P833" s="22"/>
      <c r="Q833" s="22"/>
      <c r="R833" s="22"/>
    </row>
    <row r="834" hidden="1">
      <c r="A834" s="93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19"/>
      <c r="P834" s="22"/>
      <c r="Q834" s="22"/>
      <c r="R834" s="22"/>
    </row>
    <row r="835" hidden="1">
      <c r="A835" s="93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19"/>
      <c r="P835" s="22"/>
      <c r="Q835" s="22"/>
      <c r="R835" s="22"/>
    </row>
    <row r="836" hidden="1">
      <c r="A836" s="93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19"/>
      <c r="P836" s="22"/>
      <c r="Q836" s="22"/>
      <c r="R836" s="22"/>
    </row>
    <row r="837" hidden="1">
      <c r="A837" s="93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19"/>
      <c r="P837" s="22"/>
      <c r="Q837" s="22"/>
      <c r="R837" s="22"/>
    </row>
    <row r="838" hidden="1">
      <c r="A838" s="93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19"/>
      <c r="P838" s="22"/>
      <c r="Q838" s="22"/>
      <c r="R838" s="22"/>
    </row>
    <row r="839" hidden="1">
      <c r="A839" s="93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19"/>
      <c r="P839" s="22"/>
      <c r="Q839" s="22"/>
      <c r="R839" s="22"/>
    </row>
    <row r="840" hidden="1">
      <c r="A840" s="93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19"/>
      <c r="P840" s="22"/>
      <c r="Q840" s="22"/>
      <c r="R840" s="22"/>
    </row>
    <row r="841" hidden="1">
      <c r="A841" s="93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19"/>
      <c r="P841" s="22"/>
      <c r="Q841" s="22"/>
      <c r="R841" s="22"/>
    </row>
    <row r="842" hidden="1">
      <c r="A842" s="93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19"/>
      <c r="P842" s="22"/>
      <c r="Q842" s="22"/>
      <c r="R842" s="22"/>
    </row>
    <row r="843" hidden="1">
      <c r="A843" s="93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19"/>
      <c r="P843" s="22"/>
      <c r="Q843" s="22"/>
      <c r="R843" s="22"/>
    </row>
    <row r="844" hidden="1">
      <c r="A844" s="93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19"/>
      <c r="P844" s="22"/>
      <c r="Q844" s="22"/>
      <c r="R844" s="22"/>
    </row>
    <row r="845" hidden="1">
      <c r="A845" s="93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19"/>
      <c r="P845" s="22"/>
      <c r="Q845" s="22"/>
      <c r="R845" s="22"/>
    </row>
    <row r="846" hidden="1">
      <c r="A846" s="93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19"/>
      <c r="P846" s="22"/>
      <c r="Q846" s="22"/>
      <c r="R846" s="22"/>
    </row>
    <row r="847" hidden="1">
      <c r="A847" s="93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19"/>
      <c r="P847" s="22"/>
      <c r="Q847" s="22"/>
      <c r="R847" s="22"/>
    </row>
    <row r="848" hidden="1">
      <c r="A848" s="93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19"/>
      <c r="P848" s="22"/>
      <c r="Q848" s="22"/>
      <c r="R848" s="22"/>
    </row>
    <row r="849" hidden="1">
      <c r="A849" s="93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19"/>
      <c r="P849" s="22"/>
      <c r="Q849" s="22"/>
      <c r="R849" s="22"/>
    </row>
    <row r="850" hidden="1">
      <c r="A850" s="93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19"/>
      <c r="P850" s="22"/>
      <c r="Q850" s="22"/>
      <c r="R850" s="22"/>
    </row>
    <row r="851" hidden="1">
      <c r="A851" s="93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19"/>
      <c r="P851" s="22"/>
      <c r="Q851" s="22"/>
      <c r="R851" s="22"/>
    </row>
    <row r="852" hidden="1">
      <c r="A852" s="93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19"/>
      <c r="P852" s="22"/>
      <c r="Q852" s="22"/>
      <c r="R852" s="22"/>
    </row>
    <row r="853" hidden="1">
      <c r="A853" s="93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19"/>
      <c r="P853" s="22"/>
      <c r="Q853" s="22"/>
      <c r="R853" s="22"/>
    </row>
    <row r="854" hidden="1">
      <c r="A854" s="93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19"/>
      <c r="P854" s="22"/>
      <c r="Q854" s="22"/>
      <c r="R854" s="22"/>
    </row>
    <row r="855" hidden="1">
      <c r="A855" s="93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19"/>
      <c r="P855" s="22"/>
      <c r="Q855" s="22"/>
      <c r="R855" s="22"/>
    </row>
    <row r="856" hidden="1">
      <c r="A856" s="93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19"/>
      <c r="P856" s="22"/>
      <c r="Q856" s="22"/>
      <c r="R856" s="22"/>
    </row>
    <row r="857" hidden="1">
      <c r="A857" s="93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19"/>
      <c r="P857" s="22"/>
      <c r="Q857" s="22"/>
      <c r="R857" s="22"/>
    </row>
    <row r="858" hidden="1">
      <c r="A858" s="93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19"/>
      <c r="P858" s="22"/>
      <c r="Q858" s="22"/>
      <c r="R858" s="22"/>
    </row>
    <row r="859" hidden="1">
      <c r="A859" s="93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19"/>
      <c r="P859" s="22"/>
      <c r="Q859" s="22"/>
      <c r="R859" s="22"/>
    </row>
    <row r="860" hidden="1">
      <c r="A860" s="93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19"/>
      <c r="P860" s="22"/>
      <c r="Q860" s="22"/>
      <c r="R860" s="22"/>
    </row>
    <row r="861" hidden="1">
      <c r="A861" s="93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19"/>
      <c r="P861" s="22"/>
      <c r="Q861" s="22"/>
      <c r="R861" s="22"/>
    </row>
    <row r="862" hidden="1">
      <c r="A862" s="93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19"/>
      <c r="P862" s="22"/>
      <c r="Q862" s="22"/>
      <c r="R862" s="22"/>
    </row>
    <row r="863" hidden="1">
      <c r="A863" s="93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19"/>
      <c r="P863" s="22"/>
      <c r="Q863" s="22"/>
      <c r="R863" s="22"/>
    </row>
    <row r="864" hidden="1">
      <c r="A864" s="93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19"/>
      <c r="P864" s="22"/>
      <c r="Q864" s="22"/>
      <c r="R864" s="22"/>
    </row>
    <row r="865" hidden="1">
      <c r="A865" s="93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19"/>
      <c r="P865" s="22"/>
      <c r="Q865" s="22"/>
      <c r="R865" s="22"/>
    </row>
    <row r="866" hidden="1">
      <c r="A866" s="93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19"/>
      <c r="P866" s="22"/>
      <c r="Q866" s="22"/>
      <c r="R866" s="22"/>
    </row>
    <row r="867" hidden="1">
      <c r="A867" s="93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19"/>
      <c r="P867" s="22"/>
      <c r="Q867" s="22"/>
      <c r="R867" s="22"/>
    </row>
    <row r="868" hidden="1">
      <c r="A868" s="93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19"/>
      <c r="P868" s="22"/>
      <c r="Q868" s="22"/>
      <c r="R868" s="22"/>
    </row>
    <row r="869" hidden="1">
      <c r="A869" s="93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19"/>
      <c r="P869" s="22"/>
      <c r="Q869" s="22"/>
      <c r="R869" s="22"/>
    </row>
    <row r="870" hidden="1">
      <c r="A870" s="93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19"/>
      <c r="P870" s="22"/>
      <c r="Q870" s="22"/>
      <c r="R870" s="22"/>
    </row>
    <row r="871" hidden="1">
      <c r="A871" s="93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19"/>
      <c r="P871" s="22"/>
      <c r="Q871" s="22"/>
      <c r="R871" s="22"/>
    </row>
    <row r="872" hidden="1">
      <c r="A872" s="93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19"/>
      <c r="P872" s="22"/>
      <c r="Q872" s="22"/>
      <c r="R872" s="22"/>
    </row>
    <row r="873" hidden="1">
      <c r="A873" s="93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19"/>
      <c r="P873" s="22"/>
      <c r="Q873" s="22"/>
      <c r="R873" s="22"/>
    </row>
    <row r="874" hidden="1">
      <c r="A874" s="93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19"/>
      <c r="P874" s="22"/>
      <c r="Q874" s="22"/>
      <c r="R874" s="22"/>
    </row>
    <row r="875" hidden="1">
      <c r="A875" s="93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19"/>
      <c r="P875" s="22"/>
      <c r="Q875" s="22"/>
      <c r="R875" s="22"/>
    </row>
    <row r="876" hidden="1">
      <c r="A876" s="93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19"/>
      <c r="P876" s="22"/>
      <c r="Q876" s="22"/>
      <c r="R876" s="22"/>
    </row>
    <row r="877" hidden="1">
      <c r="A877" s="93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19"/>
      <c r="P877" s="22"/>
      <c r="Q877" s="22"/>
      <c r="R877" s="22"/>
    </row>
    <row r="878" hidden="1">
      <c r="A878" s="93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19"/>
      <c r="P878" s="22"/>
      <c r="Q878" s="22"/>
      <c r="R878" s="22"/>
    </row>
    <row r="879" hidden="1">
      <c r="A879" s="93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19"/>
      <c r="P879" s="22"/>
      <c r="Q879" s="22"/>
      <c r="R879" s="22"/>
    </row>
    <row r="880" hidden="1">
      <c r="A880" s="93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19"/>
      <c r="P880" s="22"/>
      <c r="Q880" s="22"/>
      <c r="R880" s="22"/>
    </row>
    <row r="881" hidden="1">
      <c r="A881" s="93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19"/>
      <c r="P881" s="22"/>
      <c r="Q881" s="22"/>
      <c r="R881" s="22"/>
    </row>
    <row r="882" hidden="1">
      <c r="A882" s="93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19"/>
      <c r="P882" s="22"/>
      <c r="Q882" s="22"/>
      <c r="R882" s="22"/>
    </row>
    <row r="883" hidden="1">
      <c r="A883" s="93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19"/>
      <c r="P883" s="22"/>
      <c r="Q883" s="22"/>
      <c r="R883" s="22"/>
    </row>
    <row r="884" hidden="1">
      <c r="A884" s="93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19"/>
      <c r="P884" s="22"/>
      <c r="Q884" s="22"/>
      <c r="R884" s="22"/>
    </row>
    <row r="885" hidden="1">
      <c r="A885" s="93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19"/>
      <c r="P885" s="22"/>
      <c r="Q885" s="22"/>
      <c r="R885" s="22"/>
    </row>
    <row r="886" hidden="1">
      <c r="A886" s="93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19"/>
      <c r="P886" s="22"/>
      <c r="Q886" s="22"/>
      <c r="R886" s="22"/>
    </row>
    <row r="887" hidden="1">
      <c r="A887" s="93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19"/>
      <c r="P887" s="22"/>
      <c r="Q887" s="22"/>
      <c r="R887" s="22"/>
    </row>
    <row r="888" hidden="1">
      <c r="A888" s="93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19"/>
      <c r="P888" s="22"/>
      <c r="Q888" s="22"/>
      <c r="R888" s="22"/>
    </row>
    <row r="889" hidden="1">
      <c r="A889" s="93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19"/>
      <c r="P889" s="22"/>
      <c r="Q889" s="22"/>
      <c r="R889" s="22"/>
    </row>
    <row r="890" hidden="1">
      <c r="A890" s="93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19"/>
      <c r="P890" s="22"/>
      <c r="Q890" s="22"/>
      <c r="R890" s="22"/>
    </row>
    <row r="891" hidden="1">
      <c r="A891" s="93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19"/>
      <c r="P891" s="22"/>
      <c r="Q891" s="22"/>
      <c r="R891" s="22"/>
    </row>
    <row r="892" hidden="1">
      <c r="A892" s="93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19"/>
      <c r="P892" s="22"/>
      <c r="Q892" s="22"/>
      <c r="R892" s="22"/>
    </row>
    <row r="893" hidden="1">
      <c r="A893" s="93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19"/>
      <c r="P893" s="22"/>
      <c r="Q893" s="22"/>
      <c r="R893" s="22"/>
    </row>
    <row r="894" hidden="1">
      <c r="A894" s="93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19"/>
      <c r="P894" s="22"/>
      <c r="Q894" s="22"/>
      <c r="R894" s="22"/>
    </row>
    <row r="895" hidden="1">
      <c r="A895" s="93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19"/>
      <c r="P895" s="22"/>
      <c r="Q895" s="22"/>
      <c r="R895" s="22"/>
    </row>
    <row r="896" hidden="1">
      <c r="A896" s="93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19"/>
      <c r="P896" s="22"/>
      <c r="Q896" s="22"/>
      <c r="R896" s="22"/>
    </row>
    <row r="897" hidden="1">
      <c r="A897" s="93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19"/>
      <c r="P897" s="22"/>
      <c r="Q897" s="22"/>
      <c r="R897" s="22"/>
    </row>
    <row r="898" hidden="1">
      <c r="A898" s="93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19"/>
      <c r="P898" s="22"/>
      <c r="Q898" s="22"/>
      <c r="R898" s="22"/>
    </row>
    <row r="899" hidden="1">
      <c r="A899" s="93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19"/>
      <c r="P899" s="22"/>
      <c r="Q899" s="22"/>
      <c r="R899" s="22"/>
    </row>
    <row r="900" hidden="1">
      <c r="A900" s="93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19"/>
      <c r="P900" s="22"/>
      <c r="Q900" s="22"/>
      <c r="R900" s="22"/>
    </row>
    <row r="901" hidden="1">
      <c r="A901" s="93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19"/>
      <c r="P901" s="22"/>
      <c r="Q901" s="22"/>
      <c r="R901" s="22"/>
    </row>
    <row r="902" hidden="1">
      <c r="A902" s="93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19"/>
      <c r="P902" s="22"/>
      <c r="Q902" s="22"/>
      <c r="R902" s="22"/>
    </row>
    <row r="903" hidden="1">
      <c r="A903" s="93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19"/>
      <c r="P903" s="22"/>
      <c r="Q903" s="22"/>
      <c r="R903" s="22"/>
    </row>
    <row r="904" hidden="1">
      <c r="A904" s="93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19"/>
      <c r="P904" s="22"/>
      <c r="Q904" s="22"/>
      <c r="R904" s="22"/>
    </row>
    <row r="905" hidden="1">
      <c r="A905" s="93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19"/>
      <c r="P905" s="22"/>
      <c r="Q905" s="22"/>
      <c r="R905" s="22"/>
    </row>
    <row r="906" hidden="1">
      <c r="A906" s="93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19"/>
      <c r="P906" s="22"/>
      <c r="Q906" s="22"/>
      <c r="R906" s="22"/>
    </row>
    <row r="907" hidden="1">
      <c r="A907" s="93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19"/>
      <c r="P907" s="22"/>
      <c r="Q907" s="22"/>
      <c r="R907" s="22"/>
    </row>
    <row r="908" hidden="1">
      <c r="A908" s="93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19"/>
      <c r="P908" s="22"/>
      <c r="Q908" s="22"/>
      <c r="R908" s="22"/>
    </row>
    <row r="909" hidden="1">
      <c r="A909" s="93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19"/>
      <c r="P909" s="22"/>
      <c r="Q909" s="22"/>
      <c r="R909" s="22"/>
    </row>
    <row r="910" hidden="1">
      <c r="A910" s="93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19"/>
      <c r="P910" s="22"/>
      <c r="Q910" s="22"/>
      <c r="R910" s="22"/>
    </row>
    <row r="911" hidden="1">
      <c r="A911" s="93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19"/>
      <c r="P911" s="22"/>
      <c r="Q911" s="22"/>
      <c r="R911" s="22"/>
    </row>
    <row r="912" hidden="1">
      <c r="A912" s="93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19"/>
      <c r="P912" s="22"/>
      <c r="Q912" s="22"/>
      <c r="R912" s="22"/>
    </row>
    <row r="913" hidden="1">
      <c r="A913" s="93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19"/>
      <c r="P913" s="22"/>
      <c r="Q913" s="22"/>
      <c r="R913" s="22"/>
    </row>
    <row r="914" hidden="1">
      <c r="A914" s="93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19"/>
      <c r="P914" s="22"/>
      <c r="Q914" s="22"/>
      <c r="R914" s="22"/>
    </row>
    <row r="915" hidden="1">
      <c r="A915" s="93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19"/>
      <c r="P915" s="22"/>
      <c r="Q915" s="22"/>
      <c r="R915" s="22"/>
    </row>
    <row r="916" hidden="1">
      <c r="A916" s="93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19"/>
      <c r="P916" s="22"/>
      <c r="Q916" s="22"/>
      <c r="R916" s="22"/>
    </row>
    <row r="917" hidden="1">
      <c r="A917" s="93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19"/>
      <c r="P917" s="22"/>
      <c r="Q917" s="22"/>
      <c r="R917" s="22"/>
    </row>
    <row r="918" hidden="1">
      <c r="A918" s="93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19"/>
      <c r="P918" s="22"/>
      <c r="Q918" s="22"/>
      <c r="R918" s="22"/>
    </row>
    <row r="919" hidden="1">
      <c r="A919" s="93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19"/>
      <c r="P919" s="22"/>
      <c r="Q919" s="22"/>
      <c r="R919" s="22"/>
    </row>
    <row r="920" hidden="1">
      <c r="A920" s="93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19"/>
      <c r="P920" s="22"/>
      <c r="Q920" s="22"/>
      <c r="R920" s="22"/>
    </row>
    <row r="921" hidden="1">
      <c r="A921" s="93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19"/>
      <c r="P921" s="22"/>
      <c r="Q921" s="22"/>
      <c r="R921" s="22"/>
    </row>
    <row r="922" hidden="1">
      <c r="A922" s="93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19"/>
      <c r="P922" s="22"/>
      <c r="Q922" s="22"/>
      <c r="R922" s="22"/>
    </row>
    <row r="923" hidden="1">
      <c r="A923" s="93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19"/>
      <c r="P923" s="22"/>
      <c r="Q923" s="22"/>
      <c r="R923" s="22"/>
    </row>
    <row r="924" hidden="1">
      <c r="A924" s="93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19"/>
      <c r="P924" s="22"/>
      <c r="Q924" s="22"/>
      <c r="R924" s="22"/>
    </row>
    <row r="925" hidden="1">
      <c r="A925" s="93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19"/>
      <c r="P925" s="22"/>
      <c r="Q925" s="22"/>
      <c r="R925" s="22"/>
    </row>
    <row r="926" hidden="1">
      <c r="A926" s="93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19"/>
      <c r="P926" s="22"/>
      <c r="Q926" s="22"/>
      <c r="R926" s="22"/>
    </row>
    <row r="927" hidden="1">
      <c r="A927" s="93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19"/>
      <c r="P927" s="22"/>
      <c r="Q927" s="22"/>
      <c r="R927" s="22"/>
    </row>
    <row r="928" hidden="1">
      <c r="A928" s="93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19"/>
      <c r="P928" s="22"/>
      <c r="Q928" s="22"/>
      <c r="R928" s="22"/>
    </row>
    <row r="929" hidden="1">
      <c r="A929" s="93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19"/>
      <c r="P929" s="22"/>
      <c r="Q929" s="22"/>
      <c r="R929" s="22"/>
    </row>
    <row r="930" hidden="1">
      <c r="A930" s="93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19"/>
      <c r="P930" s="22"/>
      <c r="Q930" s="22"/>
      <c r="R930" s="22"/>
    </row>
    <row r="931" hidden="1">
      <c r="A931" s="93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19"/>
      <c r="P931" s="22"/>
      <c r="Q931" s="22"/>
      <c r="R931" s="22"/>
    </row>
    <row r="932" hidden="1">
      <c r="A932" s="93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19"/>
      <c r="P932" s="22"/>
      <c r="Q932" s="22"/>
      <c r="R932" s="22"/>
    </row>
    <row r="933" hidden="1">
      <c r="A933" s="93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19"/>
      <c r="P933" s="22"/>
      <c r="Q933" s="22"/>
      <c r="R933" s="22"/>
    </row>
    <row r="934" hidden="1">
      <c r="A934" s="93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19"/>
      <c r="P934" s="22"/>
      <c r="Q934" s="22"/>
      <c r="R934" s="22"/>
    </row>
    <row r="935" hidden="1">
      <c r="A935" s="93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19"/>
      <c r="P935" s="22"/>
      <c r="Q935" s="22"/>
      <c r="R935" s="22"/>
    </row>
    <row r="936" hidden="1">
      <c r="A936" s="93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19"/>
      <c r="P936" s="22"/>
      <c r="Q936" s="22"/>
      <c r="R936" s="22"/>
    </row>
    <row r="937" hidden="1">
      <c r="A937" s="93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19"/>
      <c r="P937" s="22"/>
      <c r="Q937" s="22"/>
      <c r="R937" s="22"/>
    </row>
    <row r="938" hidden="1">
      <c r="A938" s="93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19"/>
      <c r="P938" s="22"/>
      <c r="Q938" s="22"/>
      <c r="R938" s="22"/>
    </row>
    <row r="939" hidden="1">
      <c r="A939" s="93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19"/>
      <c r="P939" s="22"/>
      <c r="Q939" s="22"/>
      <c r="R939" s="22"/>
    </row>
    <row r="940" hidden="1">
      <c r="A940" s="93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19"/>
      <c r="P940" s="22"/>
      <c r="Q940" s="22"/>
      <c r="R940" s="22"/>
    </row>
    <row r="941" hidden="1">
      <c r="A941" s="93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19"/>
      <c r="P941" s="22"/>
      <c r="Q941" s="22"/>
      <c r="R941" s="22"/>
    </row>
    <row r="942" hidden="1">
      <c r="A942" s="93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19"/>
      <c r="P942" s="22"/>
      <c r="Q942" s="22"/>
      <c r="R942" s="22"/>
    </row>
    <row r="943" hidden="1">
      <c r="A943" s="93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19"/>
      <c r="P943" s="22"/>
      <c r="Q943" s="22"/>
      <c r="R943" s="22"/>
    </row>
    <row r="944" hidden="1">
      <c r="A944" s="93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19"/>
      <c r="P944" s="22"/>
      <c r="Q944" s="22"/>
      <c r="R944" s="22"/>
    </row>
    <row r="945" hidden="1">
      <c r="A945" s="93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19"/>
      <c r="P945" s="22"/>
      <c r="Q945" s="22"/>
      <c r="R945" s="22"/>
    </row>
    <row r="946" hidden="1">
      <c r="A946" s="93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19"/>
      <c r="P946" s="22"/>
      <c r="Q946" s="22"/>
      <c r="R946" s="22"/>
    </row>
    <row r="947" hidden="1">
      <c r="A947" s="93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19"/>
      <c r="P947" s="22"/>
      <c r="Q947" s="22"/>
      <c r="R947" s="22"/>
    </row>
    <row r="948" hidden="1">
      <c r="A948" s="93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19"/>
      <c r="P948" s="22"/>
      <c r="Q948" s="22"/>
      <c r="R948" s="22"/>
    </row>
    <row r="949" hidden="1">
      <c r="A949" s="93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19"/>
      <c r="P949" s="22"/>
      <c r="Q949" s="22"/>
      <c r="R949" s="22"/>
    </row>
    <row r="950" hidden="1">
      <c r="A950" s="93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19"/>
      <c r="P950" s="22"/>
      <c r="Q950" s="22"/>
      <c r="R950" s="22"/>
    </row>
    <row r="951" hidden="1">
      <c r="A951" s="93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19"/>
      <c r="P951" s="22"/>
      <c r="Q951" s="22"/>
      <c r="R951" s="22"/>
    </row>
    <row r="952" hidden="1">
      <c r="A952" s="93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19"/>
      <c r="P952" s="22"/>
      <c r="Q952" s="22"/>
      <c r="R952" s="22"/>
    </row>
    <row r="953" hidden="1">
      <c r="A953" s="93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19"/>
      <c r="P953" s="22"/>
      <c r="Q953" s="22"/>
      <c r="R953" s="22"/>
    </row>
    <row r="954" hidden="1">
      <c r="A954" s="93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19"/>
      <c r="P954" s="22"/>
      <c r="Q954" s="22"/>
      <c r="R954" s="22"/>
    </row>
    <row r="955" hidden="1">
      <c r="A955" s="93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19"/>
      <c r="P955" s="22"/>
      <c r="Q955" s="22"/>
      <c r="R955" s="22"/>
    </row>
    <row r="956" hidden="1">
      <c r="A956" s="93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19"/>
      <c r="P956" s="22"/>
      <c r="Q956" s="22"/>
      <c r="R956" s="22"/>
    </row>
    <row r="957" hidden="1">
      <c r="A957" s="93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19"/>
      <c r="P957" s="22"/>
      <c r="Q957" s="22"/>
      <c r="R957" s="22"/>
    </row>
    <row r="958" hidden="1">
      <c r="A958" s="93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19"/>
      <c r="P958" s="22"/>
      <c r="Q958" s="22"/>
      <c r="R958" s="22"/>
    </row>
    <row r="959" hidden="1">
      <c r="A959" s="93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19"/>
      <c r="P959" s="22"/>
      <c r="Q959" s="22"/>
      <c r="R959" s="22"/>
    </row>
    <row r="960" hidden="1">
      <c r="A960" s="93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19"/>
      <c r="P960" s="22"/>
      <c r="Q960" s="22"/>
      <c r="R960" s="22"/>
    </row>
    <row r="961" hidden="1">
      <c r="A961" s="93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19"/>
      <c r="P961" s="22"/>
      <c r="Q961" s="22"/>
      <c r="R961" s="22"/>
    </row>
    <row r="962" hidden="1">
      <c r="A962" s="93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19"/>
      <c r="P962" s="22"/>
      <c r="Q962" s="22"/>
      <c r="R962" s="22"/>
    </row>
    <row r="963" hidden="1">
      <c r="A963" s="93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19"/>
      <c r="P963" s="22"/>
      <c r="Q963" s="22"/>
      <c r="R963" s="22"/>
    </row>
    <row r="964" hidden="1">
      <c r="A964" s="93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19"/>
      <c r="P964" s="22"/>
      <c r="Q964" s="22"/>
      <c r="R964" s="22"/>
    </row>
    <row r="965" hidden="1">
      <c r="A965" s="93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19"/>
      <c r="P965" s="22"/>
      <c r="Q965" s="22"/>
      <c r="R965" s="22"/>
    </row>
    <row r="966" hidden="1">
      <c r="A966" s="93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19"/>
      <c r="P966" s="22"/>
      <c r="Q966" s="22"/>
      <c r="R966" s="22"/>
    </row>
    <row r="967" hidden="1">
      <c r="A967" s="93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19"/>
      <c r="P967" s="22"/>
      <c r="Q967" s="22"/>
      <c r="R967" s="22"/>
    </row>
    <row r="968" hidden="1">
      <c r="A968" s="93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19"/>
      <c r="P968" s="22"/>
      <c r="Q968" s="22"/>
      <c r="R968" s="22"/>
    </row>
    <row r="969" hidden="1">
      <c r="A969" s="93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19"/>
      <c r="P969" s="22"/>
      <c r="Q969" s="22"/>
      <c r="R969" s="22"/>
    </row>
    <row r="970" hidden="1">
      <c r="A970" s="93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19"/>
      <c r="P970" s="22"/>
      <c r="Q970" s="22"/>
      <c r="R970" s="22"/>
    </row>
    <row r="971" hidden="1">
      <c r="A971" s="93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19"/>
      <c r="P971" s="22"/>
      <c r="Q971" s="22"/>
      <c r="R971" s="22"/>
    </row>
    <row r="972" hidden="1">
      <c r="A972" s="93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19"/>
      <c r="P972" s="22"/>
      <c r="Q972" s="22"/>
      <c r="R972" s="22"/>
    </row>
    <row r="973" hidden="1">
      <c r="A973" s="93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19"/>
      <c r="P973" s="22"/>
      <c r="Q973" s="22"/>
      <c r="R973" s="22"/>
    </row>
    <row r="974" hidden="1">
      <c r="A974" s="93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19"/>
      <c r="P974" s="22"/>
      <c r="Q974" s="22"/>
      <c r="R974" s="22"/>
    </row>
    <row r="975" hidden="1">
      <c r="A975" s="93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19"/>
      <c r="P975" s="22"/>
      <c r="Q975" s="22"/>
      <c r="R975" s="22"/>
    </row>
    <row r="976" hidden="1">
      <c r="A976" s="93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19"/>
      <c r="P976" s="22"/>
      <c r="Q976" s="22"/>
      <c r="R976" s="22"/>
    </row>
    <row r="977" hidden="1">
      <c r="A977" s="93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19"/>
      <c r="P977" s="22"/>
      <c r="Q977" s="22"/>
      <c r="R977" s="22"/>
    </row>
    <row r="978" hidden="1">
      <c r="A978" s="93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19"/>
      <c r="P978" s="22"/>
      <c r="Q978" s="22"/>
      <c r="R978" s="22"/>
    </row>
    <row r="979" hidden="1">
      <c r="A979" s="93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19"/>
      <c r="P979" s="22"/>
      <c r="Q979" s="22"/>
      <c r="R979" s="22"/>
    </row>
    <row r="980" hidden="1">
      <c r="A980" s="93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19"/>
      <c r="P980" s="22"/>
      <c r="Q980" s="22"/>
      <c r="R980" s="22"/>
    </row>
    <row r="981" hidden="1">
      <c r="A981" s="93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19"/>
      <c r="P981" s="22"/>
      <c r="Q981" s="22"/>
      <c r="R981" s="22"/>
    </row>
    <row r="982" hidden="1">
      <c r="A982" s="93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19"/>
      <c r="P982" s="22"/>
      <c r="Q982" s="22"/>
      <c r="R982" s="22"/>
    </row>
    <row r="983" hidden="1">
      <c r="A983" s="93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19"/>
      <c r="P983" s="22"/>
      <c r="Q983" s="22"/>
      <c r="R983" s="22"/>
    </row>
    <row r="984" hidden="1">
      <c r="A984" s="93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19"/>
      <c r="P984" s="22"/>
      <c r="Q984" s="22"/>
      <c r="R984" s="22"/>
    </row>
    <row r="985" hidden="1">
      <c r="A985" s="93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19"/>
      <c r="P985" s="22"/>
      <c r="Q985" s="22"/>
      <c r="R985" s="22"/>
    </row>
    <row r="986" hidden="1">
      <c r="A986" s="93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19"/>
      <c r="P986" s="22"/>
      <c r="Q986" s="22"/>
      <c r="R986" s="22"/>
    </row>
    <row r="987" hidden="1">
      <c r="A987" s="93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19"/>
      <c r="P987" s="22"/>
      <c r="Q987" s="22"/>
      <c r="R987" s="22"/>
    </row>
    <row r="988" hidden="1">
      <c r="A988" s="93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19"/>
      <c r="P988" s="22"/>
      <c r="Q988" s="22"/>
      <c r="R988" s="22"/>
    </row>
    <row r="989" hidden="1">
      <c r="A989" s="93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19"/>
      <c r="P989" s="22"/>
      <c r="Q989" s="22"/>
      <c r="R989" s="22"/>
    </row>
    <row r="990" hidden="1">
      <c r="A990" s="93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19"/>
      <c r="P990" s="22"/>
      <c r="Q990" s="22"/>
      <c r="R990" s="22"/>
    </row>
    <row r="991" hidden="1">
      <c r="A991" s="93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19"/>
      <c r="P991" s="22"/>
      <c r="Q991" s="22"/>
      <c r="R991" s="22"/>
    </row>
    <row r="992" hidden="1">
      <c r="A992" s="93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19"/>
      <c r="P992" s="22"/>
      <c r="Q992" s="22"/>
      <c r="R992" s="22"/>
    </row>
    <row r="993" hidden="1">
      <c r="A993" s="93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19"/>
      <c r="P993" s="22"/>
      <c r="Q993" s="22"/>
      <c r="R993" s="22"/>
    </row>
    <row r="994" hidden="1">
      <c r="A994" s="93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19"/>
      <c r="P994" s="22"/>
      <c r="Q994" s="22"/>
      <c r="R994" s="22"/>
    </row>
    <row r="995" hidden="1">
      <c r="A995" s="93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19"/>
      <c r="P995" s="22"/>
      <c r="Q995" s="22"/>
      <c r="R995" s="22"/>
    </row>
    <row r="996" hidden="1">
      <c r="A996" s="93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19"/>
      <c r="P996" s="22"/>
      <c r="Q996" s="22"/>
      <c r="R996" s="22"/>
    </row>
    <row r="997" hidden="1">
      <c r="A997" s="93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19"/>
      <c r="P997" s="22"/>
      <c r="Q997" s="22"/>
      <c r="R997" s="22"/>
    </row>
    <row r="998" hidden="1">
      <c r="A998" s="93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19"/>
      <c r="P998" s="22"/>
      <c r="Q998" s="22"/>
      <c r="R998" s="22"/>
    </row>
    <row r="999" hidden="1">
      <c r="A999" s="93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19"/>
      <c r="P999" s="22"/>
      <c r="Q999" s="22"/>
      <c r="R999" s="22"/>
    </row>
    <row r="1000" hidden="1">
      <c r="A1000" s="93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19"/>
      <c r="P1000" s="22"/>
      <c r="Q1000" s="22"/>
      <c r="R1000" s="22"/>
    </row>
    <row r="1001" hidden="1">
      <c r="A1001" s="93"/>
      <c r="B1001" s="66"/>
      <c r="C1001" s="66"/>
      <c r="D1001" s="66"/>
      <c r="E1001" s="66"/>
      <c r="F1001" s="66"/>
      <c r="G1001" s="66"/>
      <c r="H1001" s="66"/>
      <c r="I1001" s="66"/>
      <c r="J1001" s="66"/>
      <c r="K1001" s="66"/>
      <c r="L1001" s="66"/>
      <c r="M1001" s="66"/>
      <c r="N1001" s="66"/>
      <c r="O1001" s="19"/>
      <c r="P1001" s="22"/>
      <c r="Q1001" s="22"/>
      <c r="R1001" s="22"/>
    </row>
    <row r="1002" hidden="1">
      <c r="A1002" s="93"/>
      <c r="B1002" s="66"/>
      <c r="C1002" s="66"/>
      <c r="D1002" s="66"/>
      <c r="E1002" s="66"/>
      <c r="F1002" s="66"/>
      <c r="G1002" s="66"/>
      <c r="H1002" s="66"/>
      <c r="I1002" s="66"/>
      <c r="J1002" s="66"/>
      <c r="K1002" s="66"/>
      <c r="L1002" s="66"/>
      <c r="M1002" s="66"/>
      <c r="N1002" s="66"/>
      <c r="O1002" s="19"/>
      <c r="P1002" s="22"/>
      <c r="Q1002" s="22"/>
      <c r="R1002" s="22"/>
    </row>
    <row r="1003" hidden="1">
      <c r="A1003" s="93"/>
      <c r="B1003" s="66"/>
      <c r="C1003" s="66"/>
      <c r="D1003" s="66"/>
      <c r="E1003" s="66"/>
      <c r="F1003" s="66"/>
      <c r="G1003" s="66"/>
      <c r="H1003" s="66"/>
      <c r="I1003" s="66"/>
      <c r="J1003" s="66"/>
      <c r="K1003" s="66"/>
      <c r="L1003" s="66"/>
      <c r="M1003" s="66"/>
      <c r="N1003" s="66"/>
      <c r="O1003" s="19"/>
      <c r="P1003" s="22"/>
      <c r="Q1003" s="22"/>
      <c r="R1003" s="22"/>
    </row>
    <row r="1004" hidden="1">
      <c r="A1004" s="93"/>
      <c r="B1004" s="66"/>
      <c r="C1004" s="66"/>
      <c r="D1004" s="66"/>
      <c r="E1004" s="66"/>
      <c r="F1004" s="66"/>
      <c r="G1004" s="66"/>
      <c r="H1004" s="66"/>
      <c r="I1004" s="66"/>
      <c r="J1004" s="66"/>
      <c r="K1004" s="66"/>
      <c r="L1004" s="66"/>
      <c r="M1004" s="66"/>
      <c r="N1004" s="66"/>
      <c r="O1004" s="19"/>
      <c r="P1004" s="22"/>
      <c r="Q1004" s="22"/>
      <c r="R1004" s="22"/>
    </row>
    <row r="1005" hidden="1">
      <c r="A1005" s="93"/>
      <c r="B1005" s="66"/>
      <c r="C1005" s="66"/>
      <c r="D1005" s="66"/>
      <c r="E1005" s="66"/>
      <c r="F1005" s="66"/>
      <c r="G1005" s="66"/>
      <c r="H1005" s="66"/>
      <c r="I1005" s="66"/>
      <c r="J1005" s="66"/>
      <c r="K1005" s="66"/>
      <c r="L1005" s="66"/>
      <c r="M1005" s="66"/>
      <c r="N1005" s="66"/>
      <c r="O1005" s="19"/>
      <c r="P1005" s="22"/>
      <c r="Q1005" s="22"/>
      <c r="R1005" s="22"/>
    </row>
    <row r="1006" hidden="1">
      <c r="A1006" s="93"/>
      <c r="B1006" s="66"/>
      <c r="C1006" s="66"/>
      <c r="D1006" s="66"/>
      <c r="E1006" s="66"/>
      <c r="F1006" s="66"/>
      <c r="G1006" s="66"/>
      <c r="H1006" s="66"/>
      <c r="I1006" s="66"/>
      <c r="J1006" s="66"/>
      <c r="K1006" s="66"/>
      <c r="L1006" s="66"/>
      <c r="M1006" s="66"/>
      <c r="N1006" s="66"/>
      <c r="O1006" s="19"/>
      <c r="P1006" s="22"/>
      <c r="Q1006" s="22"/>
      <c r="R1006" s="22"/>
    </row>
    <row r="1007" hidden="1">
      <c r="A1007" s="93"/>
      <c r="B1007" s="66"/>
      <c r="C1007" s="66"/>
      <c r="D1007" s="66"/>
      <c r="E1007" s="66"/>
      <c r="F1007" s="66"/>
      <c r="G1007" s="66"/>
      <c r="H1007" s="66"/>
      <c r="I1007" s="66"/>
      <c r="J1007" s="66"/>
      <c r="K1007" s="66"/>
      <c r="L1007" s="66"/>
      <c r="M1007" s="66"/>
      <c r="N1007" s="66"/>
      <c r="O1007" s="19"/>
      <c r="P1007" s="22"/>
      <c r="Q1007" s="22"/>
      <c r="R1007" s="22"/>
    </row>
    <row r="1008" hidden="1">
      <c r="A1008" s="93"/>
      <c r="B1008" s="66"/>
      <c r="C1008" s="66"/>
      <c r="D1008" s="66"/>
      <c r="E1008" s="66"/>
      <c r="F1008" s="66"/>
      <c r="G1008" s="66"/>
      <c r="H1008" s="66"/>
      <c r="I1008" s="66"/>
      <c r="J1008" s="66"/>
      <c r="K1008" s="66"/>
      <c r="L1008" s="66"/>
      <c r="M1008" s="66"/>
      <c r="N1008" s="66"/>
      <c r="O1008" s="19"/>
      <c r="P1008" s="22"/>
      <c r="Q1008" s="22"/>
      <c r="R1008" s="22"/>
    </row>
    <row r="1009" hidden="1">
      <c r="A1009" s="93"/>
      <c r="B1009" s="66"/>
      <c r="C1009" s="66"/>
      <c r="D1009" s="66"/>
      <c r="E1009" s="66"/>
      <c r="F1009" s="66"/>
      <c r="G1009" s="66"/>
      <c r="H1009" s="66"/>
      <c r="I1009" s="66"/>
      <c r="J1009" s="66"/>
      <c r="K1009" s="66"/>
      <c r="L1009" s="66"/>
      <c r="M1009" s="66"/>
      <c r="N1009" s="66"/>
      <c r="O1009" s="19"/>
      <c r="P1009" s="22"/>
      <c r="Q1009" s="22"/>
      <c r="R1009" s="22"/>
    </row>
    <row r="1010" hidden="1">
      <c r="A1010" s="93"/>
      <c r="B1010" s="66"/>
      <c r="C1010" s="66"/>
      <c r="D1010" s="66"/>
      <c r="E1010" s="66"/>
      <c r="F1010" s="66"/>
      <c r="G1010" s="66"/>
      <c r="H1010" s="66"/>
      <c r="I1010" s="66"/>
      <c r="J1010" s="66"/>
      <c r="K1010" s="66"/>
      <c r="L1010" s="66"/>
      <c r="M1010" s="66"/>
      <c r="N1010" s="66"/>
      <c r="O1010" s="19"/>
      <c r="P1010" s="22"/>
      <c r="Q1010" s="22"/>
      <c r="R1010" s="22"/>
    </row>
    <row r="1011" hidden="1">
      <c r="A1011" s="93"/>
      <c r="B1011" s="66"/>
      <c r="C1011" s="66"/>
      <c r="D1011" s="66"/>
      <c r="E1011" s="66"/>
      <c r="F1011" s="66"/>
      <c r="G1011" s="66"/>
      <c r="H1011" s="66"/>
      <c r="I1011" s="66"/>
      <c r="J1011" s="66"/>
      <c r="K1011" s="66"/>
      <c r="L1011" s="66"/>
      <c r="M1011" s="66"/>
      <c r="N1011" s="66"/>
      <c r="O1011" s="19"/>
      <c r="P1011" s="22"/>
      <c r="Q1011" s="22"/>
      <c r="R1011" s="22"/>
    </row>
    <row r="1012" hidden="1">
      <c r="A1012" s="93"/>
      <c r="B1012" s="66"/>
      <c r="C1012" s="66"/>
      <c r="D1012" s="66"/>
      <c r="E1012" s="66"/>
      <c r="F1012" s="66"/>
      <c r="G1012" s="66"/>
      <c r="H1012" s="66"/>
      <c r="I1012" s="66"/>
      <c r="J1012" s="66"/>
      <c r="K1012" s="66"/>
      <c r="L1012" s="66"/>
      <c r="M1012" s="66"/>
      <c r="N1012" s="66"/>
      <c r="O1012" s="19"/>
      <c r="P1012" s="22"/>
      <c r="Q1012" s="22"/>
      <c r="R1012" s="22"/>
    </row>
    <row r="1013" hidden="1">
      <c r="A1013" s="93"/>
      <c r="B1013" s="66"/>
      <c r="C1013" s="66"/>
      <c r="D1013" s="66"/>
      <c r="E1013" s="66"/>
      <c r="F1013" s="66"/>
      <c r="G1013" s="66"/>
      <c r="H1013" s="66"/>
      <c r="I1013" s="66"/>
      <c r="J1013" s="66"/>
      <c r="K1013" s="66"/>
      <c r="L1013" s="66"/>
      <c r="M1013" s="66"/>
      <c r="N1013" s="66"/>
      <c r="O1013" s="19"/>
      <c r="P1013" s="22"/>
      <c r="Q1013" s="22"/>
      <c r="R1013" s="22"/>
    </row>
    <row r="1014" hidden="1">
      <c r="A1014" s="93"/>
      <c r="B1014" s="66"/>
      <c r="C1014" s="66"/>
      <c r="D1014" s="66"/>
      <c r="E1014" s="66"/>
      <c r="F1014" s="66"/>
      <c r="G1014" s="66"/>
      <c r="H1014" s="66"/>
      <c r="I1014" s="66"/>
      <c r="J1014" s="66"/>
      <c r="K1014" s="66"/>
      <c r="L1014" s="66"/>
      <c r="M1014" s="66"/>
      <c r="N1014" s="66"/>
      <c r="O1014" s="19"/>
      <c r="P1014" s="22"/>
      <c r="Q1014" s="22"/>
      <c r="R1014" s="22"/>
    </row>
    <row r="1015" hidden="1">
      <c r="A1015" s="93"/>
      <c r="B1015" s="66"/>
      <c r="C1015" s="66"/>
      <c r="D1015" s="66"/>
      <c r="E1015" s="66"/>
      <c r="F1015" s="66"/>
      <c r="G1015" s="66"/>
      <c r="H1015" s="66"/>
      <c r="I1015" s="66"/>
      <c r="J1015" s="66"/>
      <c r="K1015" s="66"/>
      <c r="L1015" s="66"/>
      <c r="M1015" s="66"/>
      <c r="N1015" s="66"/>
      <c r="O1015" s="19"/>
      <c r="P1015" s="22"/>
      <c r="Q1015" s="22"/>
      <c r="R1015" s="22"/>
    </row>
    <row r="1016" hidden="1">
      <c r="A1016" s="93"/>
      <c r="B1016" s="66"/>
      <c r="C1016" s="66"/>
      <c r="D1016" s="66"/>
      <c r="E1016" s="66"/>
      <c r="F1016" s="66"/>
      <c r="G1016" s="66"/>
      <c r="H1016" s="66"/>
      <c r="I1016" s="66"/>
      <c r="J1016" s="66"/>
      <c r="K1016" s="66"/>
      <c r="L1016" s="66"/>
      <c r="M1016" s="66"/>
      <c r="N1016" s="66"/>
      <c r="O1016" s="19"/>
      <c r="P1016" s="22"/>
      <c r="Q1016" s="22"/>
      <c r="R1016" s="22"/>
    </row>
    <row r="1017" hidden="1">
      <c r="A1017" s="93"/>
      <c r="B1017" s="66"/>
      <c r="C1017" s="66"/>
      <c r="D1017" s="66"/>
      <c r="E1017" s="66"/>
      <c r="F1017" s="66"/>
      <c r="G1017" s="66"/>
      <c r="H1017" s="66"/>
      <c r="I1017" s="66"/>
      <c r="J1017" s="66"/>
      <c r="K1017" s="66"/>
      <c r="L1017" s="66"/>
      <c r="M1017" s="66"/>
      <c r="N1017" s="66"/>
      <c r="O1017" s="19"/>
      <c r="P1017" s="22"/>
      <c r="Q1017" s="22"/>
      <c r="R1017" s="22"/>
    </row>
    <row r="1018" hidden="1">
      <c r="A1018" s="93"/>
      <c r="B1018" s="66"/>
      <c r="C1018" s="66"/>
      <c r="D1018" s="66"/>
      <c r="E1018" s="66"/>
      <c r="F1018" s="66"/>
      <c r="G1018" s="66"/>
      <c r="H1018" s="66"/>
      <c r="I1018" s="66"/>
      <c r="J1018" s="66"/>
      <c r="K1018" s="66"/>
      <c r="L1018" s="66"/>
      <c r="M1018" s="66"/>
      <c r="N1018" s="66"/>
      <c r="O1018" s="19"/>
      <c r="P1018" s="22"/>
      <c r="Q1018" s="22"/>
      <c r="R1018" s="22"/>
    </row>
    <row r="1019" hidden="1">
      <c r="A1019" s="93"/>
      <c r="B1019" s="66"/>
      <c r="C1019" s="66"/>
      <c r="D1019" s="66"/>
      <c r="E1019" s="66"/>
      <c r="F1019" s="66"/>
      <c r="G1019" s="66"/>
      <c r="H1019" s="66"/>
      <c r="I1019" s="66"/>
      <c r="J1019" s="66"/>
      <c r="K1019" s="66"/>
      <c r="L1019" s="66"/>
      <c r="M1019" s="66"/>
      <c r="N1019" s="66"/>
      <c r="O1019" s="19"/>
      <c r="P1019" s="22"/>
      <c r="Q1019" s="22"/>
      <c r="R1019" s="22"/>
    </row>
    <row r="1020" hidden="1">
      <c r="A1020" s="93"/>
      <c r="B1020" s="66"/>
      <c r="C1020" s="66"/>
      <c r="D1020" s="66"/>
      <c r="E1020" s="66"/>
      <c r="F1020" s="66"/>
      <c r="G1020" s="66"/>
      <c r="H1020" s="66"/>
      <c r="I1020" s="66"/>
      <c r="J1020" s="66"/>
      <c r="K1020" s="66"/>
      <c r="L1020" s="66"/>
      <c r="M1020" s="66"/>
      <c r="N1020" s="66"/>
      <c r="O1020" s="19"/>
      <c r="P1020" s="22"/>
      <c r="Q1020" s="22"/>
      <c r="R1020" s="22"/>
    </row>
    <row r="1021" hidden="1">
      <c r="A1021" s="93"/>
      <c r="B1021" s="66"/>
      <c r="C1021" s="66"/>
      <c r="D1021" s="66"/>
      <c r="E1021" s="66"/>
      <c r="F1021" s="66"/>
      <c r="G1021" s="66"/>
      <c r="H1021" s="66"/>
      <c r="I1021" s="66"/>
      <c r="J1021" s="66"/>
      <c r="K1021" s="66"/>
      <c r="L1021" s="66"/>
      <c r="M1021" s="66"/>
      <c r="N1021" s="66"/>
      <c r="O1021" s="19"/>
      <c r="P1021" s="22"/>
      <c r="Q1021" s="22"/>
      <c r="R1021" s="22"/>
    </row>
    <row r="1022" hidden="1">
      <c r="A1022" s="93"/>
      <c r="B1022" s="66"/>
      <c r="C1022" s="66"/>
      <c r="D1022" s="66"/>
      <c r="E1022" s="66"/>
      <c r="F1022" s="66"/>
      <c r="G1022" s="66"/>
      <c r="H1022" s="66"/>
      <c r="I1022" s="66"/>
      <c r="J1022" s="66"/>
      <c r="K1022" s="66"/>
      <c r="L1022" s="66"/>
      <c r="M1022" s="66"/>
      <c r="N1022" s="66"/>
      <c r="O1022" s="19"/>
      <c r="P1022" s="22"/>
      <c r="Q1022" s="22"/>
      <c r="R1022" s="22"/>
    </row>
    <row r="1023" hidden="1">
      <c r="A1023" s="93"/>
      <c r="B1023" s="66"/>
      <c r="C1023" s="66"/>
      <c r="D1023" s="66"/>
      <c r="E1023" s="66"/>
      <c r="F1023" s="66"/>
      <c r="G1023" s="66"/>
      <c r="H1023" s="66"/>
      <c r="I1023" s="66"/>
      <c r="J1023" s="66"/>
      <c r="K1023" s="66"/>
      <c r="L1023" s="66"/>
      <c r="M1023" s="66"/>
      <c r="N1023" s="66"/>
      <c r="O1023" s="19"/>
      <c r="P1023" s="22"/>
      <c r="Q1023" s="22"/>
      <c r="R1023" s="22"/>
    </row>
    <row r="1024" hidden="1">
      <c r="A1024" s="93"/>
      <c r="B1024" s="66"/>
      <c r="C1024" s="66"/>
      <c r="D1024" s="66"/>
      <c r="E1024" s="66"/>
      <c r="F1024" s="66"/>
      <c r="G1024" s="66"/>
      <c r="H1024" s="66"/>
      <c r="I1024" s="66"/>
      <c r="J1024" s="66"/>
      <c r="K1024" s="66"/>
      <c r="L1024" s="66"/>
      <c r="M1024" s="66"/>
      <c r="N1024" s="66"/>
      <c r="O1024" s="19"/>
      <c r="P1024" s="22"/>
      <c r="Q1024" s="22"/>
      <c r="R1024" s="22"/>
    </row>
    <row r="1025" hidden="1">
      <c r="A1025" s="93"/>
      <c r="B1025" s="66"/>
      <c r="C1025" s="66"/>
      <c r="D1025" s="66"/>
      <c r="E1025" s="66"/>
      <c r="F1025" s="66"/>
      <c r="G1025" s="66"/>
      <c r="H1025" s="66"/>
      <c r="I1025" s="66"/>
      <c r="J1025" s="66"/>
      <c r="K1025" s="66"/>
      <c r="L1025" s="66"/>
      <c r="M1025" s="66"/>
      <c r="N1025" s="66"/>
      <c r="O1025" s="19"/>
      <c r="P1025" s="22"/>
      <c r="Q1025" s="22"/>
      <c r="R1025" s="22"/>
    </row>
    <row r="1026" hidden="1">
      <c r="A1026" s="93"/>
      <c r="B1026" s="66"/>
      <c r="C1026" s="66"/>
      <c r="D1026" s="66"/>
      <c r="E1026" s="66"/>
      <c r="F1026" s="66"/>
      <c r="G1026" s="66"/>
      <c r="H1026" s="66"/>
      <c r="I1026" s="66"/>
      <c r="J1026" s="66"/>
      <c r="K1026" s="66"/>
      <c r="L1026" s="66"/>
      <c r="M1026" s="66"/>
      <c r="N1026" s="66"/>
      <c r="O1026" s="19"/>
      <c r="P1026" s="22"/>
      <c r="Q1026" s="22"/>
      <c r="R1026" s="22"/>
    </row>
    <row r="1027" hidden="1">
      <c r="A1027" s="93"/>
      <c r="B1027" s="66"/>
      <c r="C1027" s="66"/>
      <c r="D1027" s="66"/>
      <c r="E1027" s="66"/>
      <c r="F1027" s="66"/>
      <c r="G1027" s="66"/>
      <c r="H1027" s="66"/>
      <c r="I1027" s="66"/>
      <c r="J1027" s="66"/>
      <c r="K1027" s="66"/>
      <c r="L1027" s="66"/>
      <c r="M1027" s="66"/>
      <c r="N1027" s="66"/>
      <c r="O1027" s="19"/>
      <c r="P1027" s="22"/>
      <c r="Q1027" s="22"/>
      <c r="R1027" s="22"/>
    </row>
    <row r="1028" hidden="1">
      <c r="A1028" s="93"/>
      <c r="B1028" s="66"/>
      <c r="C1028" s="66"/>
      <c r="D1028" s="66"/>
      <c r="E1028" s="66"/>
      <c r="F1028" s="66"/>
      <c r="G1028" s="66"/>
      <c r="H1028" s="66"/>
      <c r="I1028" s="66"/>
      <c r="J1028" s="66"/>
      <c r="K1028" s="66"/>
      <c r="L1028" s="66"/>
      <c r="M1028" s="66"/>
      <c r="N1028" s="66"/>
      <c r="O1028" s="19"/>
      <c r="P1028" s="22"/>
      <c r="Q1028" s="22"/>
      <c r="R1028" s="22"/>
    </row>
    <row r="1029" hidden="1">
      <c r="A1029" s="93"/>
      <c r="B1029" s="66"/>
      <c r="C1029" s="66"/>
      <c r="D1029" s="66"/>
      <c r="E1029" s="66"/>
      <c r="F1029" s="66"/>
      <c r="G1029" s="66"/>
      <c r="H1029" s="66"/>
      <c r="I1029" s="66"/>
      <c r="J1029" s="66"/>
      <c r="K1029" s="66"/>
      <c r="L1029" s="66"/>
      <c r="M1029" s="66"/>
      <c r="N1029" s="66"/>
      <c r="O1029" s="19"/>
      <c r="P1029" s="22"/>
      <c r="Q1029" s="22"/>
      <c r="R1029" s="22"/>
    </row>
    <row r="1030" hidden="1">
      <c r="A1030" s="93"/>
      <c r="B1030" s="66"/>
      <c r="C1030" s="66"/>
      <c r="D1030" s="66"/>
      <c r="E1030" s="66"/>
      <c r="F1030" s="66"/>
      <c r="G1030" s="66"/>
      <c r="H1030" s="66"/>
      <c r="I1030" s="66"/>
      <c r="J1030" s="66"/>
      <c r="K1030" s="66"/>
      <c r="L1030" s="66"/>
      <c r="M1030" s="66"/>
      <c r="N1030" s="66"/>
      <c r="O1030" s="19"/>
      <c r="P1030" s="22"/>
      <c r="Q1030" s="22"/>
      <c r="R1030" s="22"/>
    </row>
    <row r="1031" hidden="1">
      <c r="A1031" s="93"/>
      <c r="B1031" s="66"/>
      <c r="C1031" s="66"/>
      <c r="D1031" s="66"/>
      <c r="E1031" s="66"/>
      <c r="F1031" s="66"/>
      <c r="G1031" s="66"/>
      <c r="H1031" s="66"/>
      <c r="I1031" s="66"/>
      <c r="J1031" s="66"/>
      <c r="K1031" s="66"/>
      <c r="L1031" s="66"/>
      <c r="M1031" s="66"/>
      <c r="N1031" s="66"/>
      <c r="O1031" s="19"/>
      <c r="P1031" s="22"/>
      <c r="Q1031" s="22"/>
      <c r="R1031" s="22"/>
    </row>
    <row r="1032" hidden="1">
      <c r="A1032" s="93"/>
      <c r="B1032" s="66"/>
      <c r="C1032" s="66"/>
      <c r="D1032" s="66"/>
      <c r="E1032" s="66"/>
      <c r="F1032" s="66"/>
      <c r="G1032" s="66"/>
      <c r="H1032" s="66"/>
      <c r="I1032" s="66"/>
      <c r="J1032" s="66"/>
      <c r="K1032" s="66"/>
      <c r="L1032" s="66"/>
      <c r="M1032" s="66"/>
      <c r="N1032" s="66"/>
      <c r="O1032" s="19"/>
      <c r="P1032" s="22"/>
      <c r="Q1032" s="22"/>
      <c r="R1032" s="22"/>
    </row>
    <row r="1033" hidden="1">
      <c r="A1033" s="93"/>
      <c r="B1033" s="66"/>
      <c r="C1033" s="66"/>
      <c r="D1033" s="66"/>
      <c r="E1033" s="66"/>
      <c r="F1033" s="66"/>
      <c r="G1033" s="66"/>
      <c r="H1033" s="66"/>
      <c r="I1033" s="66"/>
      <c r="J1033" s="66"/>
      <c r="K1033" s="66"/>
      <c r="L1033" s="66"/>
      <c r="M1033" s="66"/>
      <c r="N1033" s="66"/>
      <c r="O1033" s="19"/>
      <c r="P1033" s="22"/>
      <c r="Q1033" s="22"/>
      <c r="R1033" s="22"/>
    </row>
    <row r="1034" hidden="1">
      <c r="A1034" s="93"/>
      <c r="B1034" s="66"/>
      <c r="C1034" s="66"/>
      <c r="D1034" s="66"/>
      <c r="E1034" s="66"/>
      <c r="F1034" s="66"/>
      <c r="G1034" s="66"/>
      <c r="H1034" s="66"/>
      <c r="I1034" s="66"/>
      <c r="J1034" s="66"/>
      <c r="K1034" s="66"/>
      <c r="L1034" s="66"/>
      <c r="M1034" s="66"/>
      <c r="N1034" s="66"/>
      <c r="O1034" s="19"/>
      <c r="P1034" s="22"/>
      <c r="Q1034" s="22"/>
      <c r="R1034" s="22"/>
    </row>
    <row r="1035" hidden="1">
      <c r="A1035" s="93"/>
      <c r="B1035" s="66"/>
      <c r="C1035" s="66"/>
      <c r="D1035" s="66"/>
      <c r="E1035" s="66"/>
      <c r="F1035" s="66"/>
      <c r="G1035" s="66"/>
      <c r="H1035" s="66"/>
      <c r="I1035" s="66"/>
      <c r="J1035" s="66"/>
      <c r="K1035" s="66"/>
      <c r="L1035" s="66"/>
      <c r="M1035" s="66"/>
      <c r="N1035" s="66"/>
      <c r="O1035" s="19"/>
      <c r="P1035" s="22"/>
      <c r="Q1035" s="22"/>
      <c r="R1035" s="22"/>
    </row>
    <row r="1036" hidden="1">
      <c r="A1036" s="93"/>
      <c r="B1036" s="66"/>
      <c r="C1036" s="66"/>
      <c r="D1036" s="66"/>
      <c r="E1036" s="66"/>
      <c r="F1036" s="66"/>
      <c r="G1036" s="66"/>
      <c r="H1036" s="66"/>
      <c r="I1036" s="66"/>
      <c r="J1036" s="66"/>
      <c r="K1036" s="66"/>
      <c r="L1036" s="66"/>
      <c r="M1036" s="66"/>
      <c r="N1036" s="66"/>
      <c r="O1036" s="19"/>
      <c r="P1036" s="22"/>
      <c r="Q1036" s="22"/>
      <c r="R1036" s="22"/>
    </row>
    <row r="1037" hidden="1">
      <c r="A1037" s="93"/>
      <c r="B1037" s="66"/>
      <c r="C1037" s="66"/>
      <c r="D1037" s="66"/>
      <c r="E1037" s="66"/>
      <c r="F1037" s="66"/>
      <c r="G1037" s="66"/>
      <c r="H1037" s="66"/>
      <c r="I1037" s="66"/>
      <c r="J1037" s="66"/>
      <c r="K1037" s="66"/>
      <c r="L1037" s="66"/>
      <c r="M1037" s="66"/>
      <c r="N1037" s="66"/>
      <c r="O1037" s="19"/>
      <c r="P1037" s="22"/>
      <c r="Q1037" s="22"/>
      <c r="R1037" s="22"/>
    </row>
    <row r="1038" hidden="1">
      <c r="A1038" s="93"/>
      <c r="B1038" s="66"/>
      <c r="C1038" s="66"/>
      <c r="D1038" s="66"/>
      <c r="E1038" s="66"/>
      <c r="F1038" s="66"/>
      <c r="G1038" s="66"/>
      <c r="H1038" s="66"/>
      <c r="I1038" s="66"/>
      <c r="J1038" s="66"/>
      <c r="K1038" s="66"/>
      <c r="L1038" s="66"/>
      <c r="M1038" s="66"/>
      <c r="N1038" s="66"/>
      <c r="O1038" s="19"/>
      <c r="P1038" s="22"/>
      <c r="Q1038" s="22"/>
      <c r="R1038" s="22"/>
    </row>
    <row r="1039" hidden="1">
      <c r="A1039" s="93"/>
      <c r="B1039" s="66"/>
      <c r="C1039" s="66"/>
      <c r="D1039" s="66"/>
      <c r="E1039" s="66"/>
      <c r="F1039" s="66"/>
      <c r="G1039" s="66"/>
      <c r="H1039" s="66"/>
      <c r="I1039" s="66"/>
      <c r="J1039" s="66"/>
      <c r="K1039" s="66"/>
      <c r="L1039" s="66"/>
      <c r="M1039" s="66"/>
      <c r="N1039" s="66"/>
      <c r="O1039" s="19"/>
      <c r="P1039" s="22"/>
      <c r="Q1039" s="22"/>
      <c r="R1039" s="22"/>
    </row>
    <row r="1040" hidden="1">
      <c r="A1040" s="93"/>
      <c r="B1040" s="66"/>
      <c r="C1040" s="66"/>
      <c r="D1040" s="66"/>
      <c r="E1040" s="66"/>
      <c r="F1040" s="66"/>
      <c r="G1040" s="66"/>
      <c r="H1040" s="66"/>
      <c r="I1040" s="66"/>
      <c r="J1040" s="66"/>
      <c r="K1040" s="66"/>
      <c r="L1040" s="66"/>
      <c r="M1040" s="66"/>
      <c r="N1040" s="66"/>
      <c r="O1040" s="19"/>
      <c r="P1040" s="22"/>
      <c r="Q1040" s="22"/>
      <c r="R1040" s="22"/>
    </row>
    <row r="1041" hidden="1">
      <c r="A1041" s="93"/>
      <c r="B1041" s="66"/>
      <c r="C1041" s="66"/>
      <c r="D1041" s="66"/>
      <c r="E1041" s="66"/>
      <c r="F1041" s="66"/>
      <c r="G1041" s="66"/>
      <c r="H1041" s="66"/>
      <c r="I1041" s="66"/>
      <c r="J1041" s="66"/>
      <c r="K1041" s="66"/>
      <c r="L1041" s="66"/>
      <c r="M1041" s="66"/>
      <c r="N1041" s="66"/>
      <c r="O1041" s="19"/>
      <c r="P1041" s="22"/>
      <c r="Q1041" s="22"/>
      <c r="R1041" s="22"/>
    </row>
    <row r="1042" hidden="1">
      <c r="A1042" s="93"/>
      <c r="B1042" s="66"/>
      <c r="C1042" s="66"/>
      <c r="D1042" s="66"/>
      <c r="E1042" s="66"/>
      <c r="F1042" s="66"/>
      <c r="G1042" s="66"/>
      <c r="H1042" s="66"/>
      <c r="I1042" s="66"/>
      <c r="J1042" s="66"/>
      <c r="K1042" s="66"/>
      <c r="L1042" s="66"/>
      <c r="M1042" s="66"/>
      <c r="N1042" s="66"/>
      <c r="O1042" s="19"/>
      <c r="P1042" s="22"/>
      <c r="Q1042" s="22"/>
      <c r="R1042" s="22"/>
    </row>
    <row r="1043" hidden="1">
      <c r="A1043" s="93"/>
      <c r="B1043" s="66"/>
      <c r="C1043" s="66"/>
      <c r="D1043" s="66"/>
      <c r="E1043" s="66"/>
      <c r="F1043" s="66"/>
      <c r="G1043" s="66"/>
      <c r="H1043" s="66"/>
      <c r="I1043" s="66"/>
      <c r="J1043" s="66"/>
      <c r="K1043" s="66"/>
      <c r="L1043" s="66"/>
      <c r="M1043" s="66"/>
      <c r="N1043" s="66"/>
      <c r="O1043" s="19"/>
      <c r="P1043" s="22"/>
      <c r="Q1043" s="22"/>
      <c r="R1043" s="22"/>
    </row>
    <row r="1044" hidden="1">
      <c r="A1044" s="93"/>
      <c r="B1044" s="66"/>
      <c r="C1044" s="66"/>
      <c r="D1044" s="66"/>
      <c r="E1044" s="66"/>
      <c r="F1044" s="66"/>
      <c r="G1044" s="66"/>
      <c r="H1044" s="66"/>
      <c r="I1044" s="66"/>
      <c r="J1044" s="66"/>
      <c r="K1044" s="66"/>
      <c r="L1044" s="66"/>
      <c r="M1044" s="66"/>
      <c r="N1044" s="66"/>
      <c r="O1044" s="19"/>
      <c r="P1044" s="22"/>
      <c r="Q1044" s="22"/>
      <c r="R1044" s="22"/>
    </row>
    <row r="1045" hidden="1">
      <c r="A1045" s="93"/>
      <c r="B1045" s="66"/>
      <c r="C1045" s="66"/>
      <c r="D1045" s="66"/>
      <c r="E1045" s="66"/>
      <c r="F1045" s="66"/>
      <c r="G1045" s="66"/>
      <c r="H1045" s="66"/>
      <c r="I1045" s="66"/>
      <c r="J1045" s="66"/>
      <c r="K1045" s="66"/>
      <c r="L1045" s="66"/>
      <c r="M1045" s="66"/>
      <c r="N1045" s="66"/>
      <c r="O1045" s="19"/>
      <c r="P1045" s="22"/>
      <c r="Q1045" s="22"/>
      <c r="R1045" s="22"/>
    </row>
    <row r="1046" hidden="1">
      <c r="A1046" s="93"/>
      <c r="B1046" s="66"/>
      <c r="C1046" s="66"/>
      <c r="D1046" s="66"/>
      <c r="E1046" s="66"/>
      <c r="F1046" s="66"/>
      <c r="G1046" s="66"/>
      <c r="H1046" s="66"/>
      <c r="I1046" s="66"/>
      <c r="J1046" s="66"/>
      <c r="K1046" s="66"/>
      <c r="L1046" s="66"/>
      <c r="M1046" s="66"/>
      <c r="N1046" s="66"/>
      <c r="O1046" s="19"/>
      <c r="P1046" s="22"/>
      <c r="Q1046" s="22"/>
      <c r="R1046" s="22"/>
    </row>
    <row r="1047" hidden="1">
      <c r="A1047" s="93"/>
      <c r="B1047" s="66"/>
      <c r="C1047" s="66"/>
      <c r="D1047" s="66"/>
      <c r="E1047" s="66"/>
      <c r="F1047" s="66"/>
      <c r="G1047" s="66"/>
      <c r="H1047" s="66"/>
      <c r="I1047" s="66"/>
      <c r="J1047" s="66"/>
      <c r="K1047" s="66"/>
      <c r="L1047" s="66"/>
      <c r="M1047" s="66"/>
      <c r="N1047" s="66"/>
      <c r="O1047" s="19"/>
      <c r="P1047" s="22"/>
      <c r="Q1047" s="22"/>
      <c r="R1047" s="22"/>
    </row>
    <row r="1048" hidden="1">
      <c r="A1048" s="93"/>
      <c r="B1048" s="66"/>
      <c r="C1048" s="66"/>
      <c r="D1048" s="66"/>
      <c r="E1048" s="66"/>
      <c r="F1048" s="66"/>
      <c r="G1048" s="66"/>
      <c r="H1048" s="66"/>
      <c r="I1048" s="66"/>
      <c r="J1048" s="66"/>
      <c r="K1048" s="66"/>
      <c r="L1048" s="66"/>
      <c r="M1048" s="66"/>
      <c r="N1048" s="66"/>
      <c r="O1048" s="19"/>
      <c r="P1048" s="22"/>
      <c r="Q1048" s="22"/>
      <c r="R1048" s="22"/>
    </row>
    <row r="1049" hidden="1">
      <c r="A1049" s="93"/>
      <c r="B1049" s="66"/>
      <c r="C1049" s="66"/>
      <c r="D1049" s="66"/>
      <c r="E1049" s="66"/>
      <c r="F1049" s="66"/>
      <c r="G1049" s="66"/>
      <c r="H1049" s="66"/>
      <c r="I1049" s="66"/>
      <c r="J1049" s="66"/>
      <c r="K1049" s="66"/>
      <c r="L1049" s="66"/>
      <c r="M1049" s="66"/>
      <c r="N1049" s="66"/>
      <c r="O1049" s="19"/>
      <c r="P1049" s="22"/>
      <c r="Q1049" s="22"/>
      <c r="R1049" s="22"/>
    </row>
    <row r="1050" hidden="1">
      <c r="A1050" s="93"/>
      <c r="B1050" s="66"/>
      <c r="C1050" s="66"/>
      <c r="D1050" s="66"/>
      <c r="E1050" s="66"/>
      <c r="F1050" s="66"/>
      <c r="G1050" s="66"/>
      <c r="H1050" s="66"/>
      <c r="I1050" s="66"/>
      <c r="J1050" s="66"/>
      <c r="K1050" s="66"/>
      <c r="L1050" s="66"/>
      <c r="M1050" s="66"/>
      <c r="N1050" s="66"/>
      <c r="O1050" s="19"/>
      <c r="P1050" s="22"/>
      <c r="Q1050" s="22"/>
      <c r="R1050" s="22"/>
    </row>
    <row r="1051" hidden="1">
      <c r="A1051" s="93"/>
      <c r="B1051" s="66"/>
      <c r="C1051" s="66"/>
      <c r="D1051" s="66"/>
      <c r="E1051" s="66"/>
      <c r="F1051" s="66"/>
      <c r="G1051" s="66"/>
      <c r="H1051" s="66"/>
      <c r="I1051" s="66"/>
      <c r="J1051" s="66"/>
      <c r="K1051" s="66"/>
      <c r="L1051" s="66"/>
      <c r="M1051" s="66"/>
      <c r="N1051" s="66"/>
      <c r="O1051" s="19"/>
      <c r="P1051" s="22"/>
      <c r="Q1051" s="22"/>
      <c r="R1051" s="22"/>
    </row>
    <row r="1052" hidden="1">
      <c r="A1052" s="93"/>
      <c r="B1052" s="66"/>
      <c r="C1052" s="66"/>
      <c r="D1052" s="66"/>
      <c r="E1052" s="66"/>
      <c r="F1052" s="66"/>
      <c r="G1052" s="66"/>
      <c r="H1052" s="66"/>
      <c r="I1052" s="66"/>
      <c r="J1052" s="66"/>
      <c r="K1052" s="66"/>
      <c r="L1052" s="66"/>
      <c r="M1052" s="66"/>
      <c r="N1052" s="66"/>
      <c r="O1052" s="19"/>
      <c r="P1052" s="22"/>
      <c r="Q1052" s="22"/>
      <c r="R1052" s="22"/>
    </row>
    <row r="1053" hidden="1">
      <c r="A1053" s="93"/>
      <c r="B1053" s="66"/>
      <c r="C1053" s="66"/>
      <c r="D1053" s="66"/>
      <c r="E1053" s="66"/>
      <c r="F1053" s="66"/>
      <c r="G1053" s="66"/>
      <c r="H1053" s="66"/>
      <c r="I1053" s="66"/>
      <c r="J1053" s="66"/>
      <c r="K1053" s="66"/>
      <c r="L1053" s="66"/>
      <c r="M1053" s="66"/>
      <c r="N1053" s="66"/>
      <c r="O1053" s="19"/>
      <c r="P1053" s="22"/>
      <c r="Q1053" s="22"/>
      <c r="R1053" s="22"/>
    </row>
    <row r="1054" hidden="1">
      <c r="A1054" s="93"/>
      <c r="B1054" s="66"/>
      <c r="C1054" s="66"/>
      <c r="D1054" s="66"/>
      <c r="E1054" s="66"/>
      <c r="F1054" s="66"/>
      <c r="G1054" s="66"/>
      <c r="H1054" s="66"/>
      <c r="I1054" s="66"/>
      <c r="J1054" s="66"/>
      <c r="K1054" s="66"/>
      <c r="L1054" s="66"/>
      <c r="M1054" s="66"/>
      <c r="N1054" s="66"/>
      <c r="O1054" s="19"/>
      <c r="P1054" s="22"/>
      <c r="Q1054" s="22"/>
      <c r="R1054" s="22"/>
    </row>
    <row r="1055" hidden="1">
      <c r="A1055" s="93"/>
      <c r="B1055" s="66"/>
      <c r="C1055" s="66"/>
      <c r="D1055" s="66"/>
      <c r="E1055" s="66"/>
      <c r="F1055" s="66"/>
      <c r="G1055" s="66"/>
      <c r="H1055" s="66"/>
      <c r="I1055" s="66"/>
      <c r="J1055" s="66"/>
      <c r="K1055" s="66"/>
      <c r="L1055" s="66"/>
      <c r="M1055" s="66"/>
      <c r="N1055" s="66"/>
      <c r="O1055" s="19"/>
      <c r="P1055" s="22"/>
      <c r="Q1055" s="22"/>
      <c r="R1055" s="22"/>
    </row>
    <row r="1056" hidden="1">
      <c r="A1056" s="93"/>
      <c r="B1056" s="66"/>
      <c r="C1056" s="66"/>
      <c r="D1056" s="66"/>
      <c r="E1056" s="66"/>
      <c r="F1056" s="66"/>
      <c r="G1056" s="66"/>
      <c r="H1056" s="66"/>
      <c r="I1056" s="66"/>
      <c r="J1056" s="66"/>
      <c r="K1056" s="66"/>
      <c r="L1056" s="66"/>
      <c r="M1056" s="66"/>
      <c r="N1056" s="66"/>
      <c r="O1056" s="19"/>
      <c r="P1056" s="22"/>
      <c r="Q1056" s="22"/>
      <c r="R1056" s="22"/>
    </row>
    <row r="1057" hidden="1">
      <c r="A1057" s="93"/>
      <c r="B1057" s="66"/>
      <c r="C1057" s="66"/>
      <c r="D1057" s="66"/>
      <c r="E1057" s="66"/>
      <c r="F1057" s="66"/>
      <c r="G1057" s="66"/>
      <c r="H1057" s="66"/>
      <c r="I1057" s="66"/>
      <c r="J1057" s="66"/>
      <c r="K1057" s="66"/>
      <c r="L1057" s="66"/>
      <c r="M1057" s="66"/>
      <c r="N1057" s="66"/>
      <c r="O1057" s="19"/>
      <c r="P1057" s="22"/>
      <c r="Q1057" s="22"/>
      <c r="R1057" s="22"/>
    </row>
    <row r="1058" hidden="1">
      <c r="A1058" s="93"/>
      <c r="B1058" s="66"/>
      <c r="C1058" s="66"/>
      <c r="D1058" s="66"/>
      <c r="E1058" s="66"/>
      <c r="F1058" s="66"/>
      <c r="G1058" s="66"/>
      <c r="H1058" s="66"/>
      <c r="I1058" s="66"/>
      <c r="J1058" s="66"/>
      <c r="K1058" s="66"/>
      <c r="L1058" s="66"/>
      <c r="M1058" s="66"/>
      <c r="N1058" s="66"/>
      <c r="O1058" s="19"/>
      <c r="P1058" s="22"/>
      <c r="Q1058" s="22"/>
      <c r="R1058" s="22"/>
    </row>
    <row r="1059" hidden="1">
      <c r="A1059" s="93"/>
      <c r="B1059" s="66"/>
      <c r="C1059" s="66"/>
      <c r="D1059" s="66"/>
      <c r="E1059" s="66"/>
      <c r="F1059" s="66"/>
      <c r="G1059" s="66"/>
      <c r="H1059" s="66"/>
      <c r="I1059" s="66"/>
      <c r="J1059" s="66"/>
      <c r="K1059" s="66"/>
      <c r="L1059" s="66"/>
      <c r="M1059" s="66"/>
      <c r="N1059" s="66"/>
      <c r="O1059" s="19"/>
      <c r="P1059" s="22"/>
      <c r="Q1059" s="22"/>
      <c r="R1059" s="22"/>
    </row>
    <row r="1060" hidden="1">
      <c r="A1060" s="93"/>
      <c r="B1060" s="66"/>
      <c r="C1060" s="66"/>
      <c r="D1060" s="66"/>
      <c r="E1060" s="66"/>
      <c r="F1060" s="66"/>
      <c r="G1060" s="66"/>
      <c r="H1060" s="66"/>
      <c r="I1060" s="66"/>
      <c r="J1060" s="66"/>
      <c r="K1060" s="66"/>
      <c r="L1060" s="66"/>
      <c r="M1060" s="66"/>
      <c r="N1060" s="66"/>
      <c r="O1060" s="19"/>
      <c r="P1060" s="22"/>
      <c r="Q1060" s="22"/>
      <c r="R1060" s="22"/>
    </row>
    <row r="1061" hidden="1">
      <c r="A1061" s="93"/>
      <c r="B1061" s="66"/>
      <c r="C1061" s="66"/>
      <c r="D1061" s="66"/>
      <c r="E1061" s="66"/>
      <c r="F1061" s="66"/>
      <c r="G1061" s="66"/>
      <c r="H1061" s="66"/>
      <c r="I1061" s="66"/>
      <c r="J1061" s="66"/>
      <c r="K1061" s="66"/>
      <c r="L1061" s="66"/>
      <c r="M1061" s="66"/>
      <c r="N1061" s="66"/>
      <c r="O1061" s="19"/>
      <c r="P1061" s="22"/>
      <c r="Q1061" s="22"/>
      <c r="R1061" s="22"/>
    </row>
    <row r="1062" hidden="1">
      <c r="A1062" s="93"/>
      <c r="B1062" s="66"/>
      <c r="C1062" s="66"/>
      <c r="D1062" s="66"/>
      <c r="E1062" s="66"/>
      <c r="F1062" s="66"/>
      <c r="G1062" s="66"/>
      <c r="H1062" s="66"/>
      <c r="I1062" s="66"/>
      <c r="J1062" s="66"/>
      <c r="K1062" s="66"/>
      <c r="L1062" s="66"/>
      <c r="M1062" s="66"/>
      <c r="N1062" s="66"/>
      <c r="O1062" s="19"/>
      <c r="P1062" s="22"/>
      <c r="Q1062" s="22"/>
      <c r="R1062" s="22"/>
    </row>
    <row r="1063" hidden="1">
      <c r="A1063" s="93"/>
      <c r="B1063" s="66"/>
      <c r="C1063" s="66"/>
      <c r="D1063" s="66"/>
      <c r="E1063" s="66"/>
      <c r="F1063" s="66"/>
      <c r="G1063" s="66"/>
      <c r="H1063" s="66"/>
      <c r="I1063" s="66"/>
      <c r="J1063" s="66"/>
      <c r="K1063" s="66"/>
      <c r="L1063" s="66"/>
      <c r="M1063" s="66"/>
      <c r="N1063" s="66"/>
      <c r="O1063" s="19"/>
      <c r="P1063" s="22"/>
      <c r="Q1063" s="22"/>
      <c r="R1063" s="22"/>
    </row>
    <row r="1064" hidden="1">
      <c r="A1064" s="93"/>
      <c r="B1064" s="66"/>
      <c r="C1064" s="66"/>
      <c r="D1064" s="66"/>
      <c r="E1064" s="66"/>
      <c r="F1064" s="66"/>
      <c r="G1064" s="66"/>
      <c r="H1064" s="66"/>
      <c r="I1064" s="66"/>
      <c r="J1064" s="66"/>
      <c r="K1064" s="66"/>
      <c r="L1064" s="66"/>
      <c r="M1064" s="66"/>
      <c r="N1064" s="66"/>
      <c r="O1064" s="19"/>
      <c r="P1064" s="22"/>
      <c r="Q1064" s="22"/>
      <c r="R1064" s="22"/>
    </row>
    <row r="1065" hidden="1">
      <c r="A1065" s="93"/>
      <c r="B1065" s="66"/>
      <c r="C1065" s="66"/>
      <c r="D1065" s="66"/>
      <c r="E1065" s="66"/>
      <c r="F1065" s="66"/>
      <c r="G1065" s="66"/>
      <c r="H1065" s="66"/>
      <c r="I1065" s="66"/>
      <c r="J1065" s="66"/>
      <c r="K1065" s="66"/>
      <c r="L1065" s="66"/>
      <c r="M1065" s="66"/>
      <c r="N1065" s="66"/>
      <c r="O1065" s="19"/>
      <c r="P1065" s="22"/>
      <c r="Q1065" s="22"/>
      <c r="R1065" s="22"/>
    </row>
    <row r="1066" hidden="1">
      <c r="A1066" s="93"/>
      <c r="B1066" s="66"/>
      <c r="C1066" s="66"/>
      <c r="D1066" s="66"/>
      <c r="E1066" s="66"/>
      <c r="F1066" s="66"/>
      <c r="G1066" s="66"/>
      <c r="H1066" s="66"/>
      <c r="I1066" s="66"/>
      <c r="J1066" s="66"/>
      <c r="K1066" s="66"/>
      <c r="L1066" s="66"/>
      <c r="M1066" s="66"/>
      <c r="N1066" s="66"/>
      <c r="O1066" s="19"/>
      <c r="P1066" s="22"/>
      <c r="Q1066" s="22"/>
      <c r="R1066" s="22"/>
    </row>
    <row r="1067" hidden="1">
      <c r="A1067" s="93"/>
      <c r="B1067" s="66"/>
      <c r="C1067" s="66"/>
      <c r="D1067" s="66"/>
      <c r="E1067" s="66"/>
      <c r="F1067" s="66"/>
      <c r="G1067" s="66"/>
      <c r="H1067" s="66"/>
      <c r="I1067" s="66"/>
      <c r="J1067" s="66"/>
      <c r="K1067" s="66"/>
      <c r="L1067" s="66"/>
      <c r="M1067" s="66"/>
      <c r="N1067" s="66"/>
      <c r="O1067" s="19"/>
      <c r="P1067" s="22"/>
      <c r="Q1067" s="22"/>
      <c r="R1067" s="22"/>
    </row>
    <row r="1068" hidden="1">
      <c r="A1068" s="93"/>
      <c r="B1068" s="66"/>
      <c r="C1068" s="66"/>
      <c r="D1068" s="66"/>
      <c r="E1068" s="66"/>
      <c r="F1068" s="66"/>
      <c r="G1068" s="66"/>
      <c r="H1068" s="66"/>
      <c r="I1068" s="66"/>
      <c r="J1068" s="66"/>
      <c r="K1068" s="66"/>
      <c r="L1068" s="66"/>
      <c r="M1068" s="66"/>
      <c r="N1068" s="66"/>
      <c r="O1068" s="19"/>
      <c r="P1068" s="22"/>
      <c r="Q1068" s="22"/>
      <c r="R1068" s="22"/>
    </row>
    <row r="1069" hidden="1">
      <c r="A1069" s="93"/>
      <c r="B1069" s="66"/>
      <c r="C1069" s="66"/>
      <c r="D1069" s="66"/>
      <c r="E1069" s="66"/>
      <c r="F1069" s="66"/>
      <c r="G1069" s="66"/>
      <c r="H1069" s="66"/>
      <c r="I1069" s="66"/>
      <c r="J1069" s="66"/>
      <c r="K1069" s="66"/>
      <c r="L1069" s="66"/>
      <c r="M1069" s="66"/>
      <c r="N1069" s="66"/>
      <c r="O1069" s="19"/>
      <c r="P1069" s="22"/>
      <c r="Q1069" s="22"/>
      <c r="R1069" s="22"/>
    </row>
    <row r="1070" hidden="1">
      <c r="A1070" s="93"/>
      <c r="B1070" s="66"/>
      <c r="C1070" s="66"/>
      <c r="D1070" s="66"/>
      <c r="E1070" s="66"/>
      <c r="F1070" s="66"/>
      <c r="G1070" s="66"/>
      <c r="H1070" s="66"/>
      <c r="I1070" s="66"/>
      <c r="J1070" s="66"/>
      <c r="K1070" s="66"/>
      <c r="L1070" s="66"/>
      <c r="M1070" s="66"/>
      <c r="N1070" s="66"/>
      <c r="O1070" s="19"/>
      <c r="P1070" s="22"/>
      <c r="Q1070" s="22"/>
      <c r="R1070" s="22"/>
    </row>
    <row r="1071" hidden="1">
      <c r="A1071" s="93"/>
      <c r="B1071" s="66"/>
      <c r="C1071" s="66"/>
      <c r="D1071" s="66"/>
      <c r="E1071" s="66"/>
      <c r="F1071" s="66"/>
      <c r="G1071" s="66"/>
      <c r="H1071" s="66"/>
      <c r="I1071" s="66"/>
      <c r="J1071" s="66"/>
      <c r="K1071" s="66"/>
      <c r="L1071" s="66"/>
      <c r="M1071" s="66"/>
      <c r="N1071" s="66"/>
      <c r="O1071" s="19"/>
      <c r="P1071" s="22"/>
      <c r="Q1071" s="22"/>
      <c r="R1071" s="22"/>
    </row>
    <row r="1072" hidden="1">
      <c r="A1072" s="93"/>
      <c r="B1072" s="66"/>
      <c r="C1072" s="66"/>
      <c r="D1072" s="66"/>
      <c r="E1072" s="66"/>
      <c r="F1072" s="66"/>
      <c r="G1072" s="66"/>
      <c r="H1072" s="66"/>
      <c r="I1072" s="66"/>
      <c r="J1072" s="66"/>
      <c r="K1072" s="66"/>
      <c r="L1072" s="66"/>
      <c r="M1072" s="66"/>
      <c r="N1072" s="66"/>
      <c r="O1072" s="19"/>
      <c r="P1072" s="22"/>
      <c r="Q1072" s="22"/>
      <c r="R1072" s="22"/>
    </row>
    <row r="1073" hidden="1">
      <c r="A1073" s="93"/>
      <c r="B1073" s="66"/>
      <c r="C1073" s="66"/>
      <c r="D1073" s="66"/>
      <c r="E1073" s="66"/>
      <c r="F1073" s="66"/>
      <c r="G1073" s="66"/>
      <c r="H1073" s="66"/>
      <c r="I1073" s="66"/>
      <c r="J1073" s="66"/>
      <c r="K1073" s="66"/>
      <c r="L1073" s="66"/>
      <c r="M1073" s="66"/>
      <c r="N1073" s="66"/>
      <c r="O1073" s="19"/>
      <c r="P1073" s="22"/>
      <c r="Q1073" s="22"/>
      <c r="R1073" s="22"/>
    </row>
    <row r="1074" hidden="1">
      <c r="A1074" s="93"/>
      <c r="B1074" s="66"/>
      <c r="C1074" s="66"/>
      <c r="D1074" s="66"/>
      <c r="E1074" s="66"/>
      <c r="F1074" s="66"/>
      <c r="G1074" s="66"/>
      <c r="H1074" s="66"/>
      <c r="I1074" s="66"/>
      <c r="J1074" s="66"/>
      <c r="K1074" s="66"/>
      <c r="L1074" s="66"/>
      <c r="M1074" s="66"/>
      <c r="N1074" s="66"/>
      <c r="O1074" s="19"/>
      <c r="P1074" s="22"/>
      <c r="Q1074" s="22"/>
      <c r="R1074" s="22"/>
    </row>
    <row r="1075" hidden="1">
      <c r="A1075" s="93"/>
      <c r="B1075" s="66"/>
      <c r="C1075" s="66"/>
      <c r="D1075" s="66"/>
      <c r="E1075" s="66"/>
      <c r="F1075" s="66"/>
      <c r="G1075" s="66"/>
      <c r="H1075" s="66"/>
      <c r="I1075" s="66"/>
      <c r="J1075" s="66"/>
      <c r="K1075" s="66"/>
      <c r="L1075" s="66"/>
      <c r="M1075" s="66"/>
      <c r="N1075" s="66"/>
      <c r="O1075" s="19"/>
      <c r="P1075" s="22"/>
      <c r="Q1075" s="22"/>
      <c r="R1075" s="22"/>
    </row>
    <row r="1076" hidden="1">
      <c r="A1076" s="93"/>
      <c r="B1076" s="66"/>
      <c r="C1076" s="66"/>
      <c r="D1076" s="66"/>
      <c r="E1076" s="66"/>
      <c r="F1076" s="66"/>
      <c r="G1076" s="66"/>
      <c r="H1076" s="66"/>
      <c r="I1076" s="66"/>
      <c r="J1076" s="66"/>
      <c r="K1076" s="66"/>
      <c r="L1076" s="66"/>
      <c r="M1076" s="66"/>
      <c r="N1076" s="66"/>
      <c r="O1076" s="19"/>
      <c r="P1076" s="22"/>
      <c r="Q1076" s="22"/>
      <c r="R1076" s="22"/>
    </row>
    <row r="1077" hidden="1">
      <c r="A1077" s="93"/>
      <c r="B1077" s="66"/>
      <c r="C1077" s="66"/>
      <c r="D1077" s="66"/>
      <c r="E1077" s="66"/>
      <c r="F1077" s="66"/>
      <c r="G1077" s="66"/>
      <c r="H1077" s="66"/>
      <c r="I1077" s="66"/>
      <c r="J1077" s="66"/>
      <c r="K1077" s="66"/>
      <c r="L1077" s="66"/>
      <c r="M1077" s="66"/>
      <c r="N1077" s="66"/>
      <c r="O1077" s="19"/>
      <c r="P1077" s="22"/>
      <c r="Q1077" s="22"/>
      <c r="R1077" s="22"/>
    </row>
    <row r="1078" hidden="1">
      <c r="A1078" s="93"/>
      <c r="B1078" s="66"/>
      <c r="C1078" s="66"/>
      <c r="D1078" s="66"/>
      <c r="E1078" s="66"/>
      <c r="F1078" s="66"/>
      <c r="G1078" s="66"/>
      <c r="H1078" s="66"/>
      <c r="I1078" s="66"/>
      <c r="J1078" s="66"/>
      <c r="K1078" s="66"/>
      <c r="L1078" s="66"/>
      <c r="M1078" s="66"/>
      <c r="N1078" s="66"/>
      <c r="O1078" s="19"/>
      <c r="P1078" s="22"/>
      <c r="Q1078" s="22"/>
      <c r="R1078" s="22"/>
    </row>
    <row r="1079" hidden="1">
      <c r="A1079" s="93"/>
      <c r="B1079" s="66"/>
      <c r="C1079" s="66"/>
      <c r="D1079" s="66"/>
      <c r="E1079" s="66"/>
      <c r="F1079" s="66"/>
      <c r="G1079" s="66"/>
      <c r="H1079" s="66"/>
      <c r="I1079" s="66"/>
      <c r="J1079" s="66"/>
      <c r="K1079" s="66"/>
      <c r="L1079" s="66"/>
      <c r="M1079" s="66"/>
      <c r="N1079" s="66"/>
      <c r="O1079" s="19"/>
      <c r="P1079" s="22"/>
      <c r="Q1079" s="22"/>
      <c r="R1079" s="22"/>
    </row>
    <row r="1080" hidden="1">
      <c r="A1080" s="93"/>
      <c r="B1080" s="66"/>
      <c r="C1080" s="66"/>
      <c r="D1080" s="66"/>
      <c r="E1080" s="66"/>
      <c r="F1080" s="66"/>
      <c r="G1080" s="66"/>
      <c r="H1080" s="66"/>
      <c r="I1080" s="66"/>
      <c r="J1080" s="66"/>
      <c r="K1080" s="66"/>
      <c r="L1080" s="66"/>
      <c r="M1080" s="66"/>
      <c r="N1080" s="66"/>
      <c r="O1080" s="19"/>
      <c r="P1080" s="22"/>
      <c r="Q1080" s="22"/>
      <c r="R1080" s="22"/>
    </row>
    <row r="1081" hidden="1">
      <c r="A1081" s="93"/>
      <c r="B1081" s="48"/>
      <c r="C1081" s="48"/>
      <c r="D1081" s="48"/>
      <c r="E1081" s="48"/>
      <c r="F1081" s="48"/>
      <c r="G1081" s="48"/>
      <c r="H1081" s="48"/>
      <c r="I1081" s="48"/>
      <c r="J1081" s="48"/>
      <c r="K1081" s="66"/>
      <c r="L1081" s="66"/>
      <c r="M1081" s="66"/>
      <c r="N1081" s="66"/>
      <c r="O1081" s="19"/>
      <c r="P1081" s="22"/>
      <c r="Q1081" s="22"/>
      <c r="R1081" s="22"/>
    </row>
    <row r="1082" hidden="1">
      <c r="A1082" s="93"/>
      <c r="B1082" s="48"/>
      <c r="C1082" s="48"/>
      <c r="D1082" s="48"/>
      <c r="E1082" s="48"/>
      <c r="F1082" s="48"/>
      <c r="G1082" s="48"/>
      <c r="H1082" s="48"/>
      <c r="I1082" s="48"/>
      <c r="J1082" s="48"/>
      <c r="K1082" s="66"/>
      <c r="L1082" s="66"/>
      <c r="M1082" s="66"/>
      <c r="N1082" s="66"/>
      <c r="O1082" s="19"/>
      <c r="P1082" s="22"/>
      <c r="Q1082" s="22"/>
      <c r="R1082" s="22"/>
    </row>
    <row r="1083" hidden="1">
      <c r="A1083" s="93"/>
      <c r="B1083" s="48"/>
      <c r="C1083" s="48"/>
      <c r="D1083" s="48"/>
      <c r="E1083" s="48"/>
      <c r="F1083" s="48"/>
      <c r="G1083" s="48"/>
      <c r="H1083" s="48"/>
      <c r="I1083" s="48"/>
      <c r="J1083" s="48"/>
      <c r="K1083" s="66"/>
      <c r="L1083" s="66"/>
      <c r="M1083" s="66"/>
      <c r="N1083" s="66"/>
      <c r="O1083" s="19"/>
      <c r="P1083" s="22"/>
      <c r="Q1083" s="22"/>
      <c r="R1083" s="22"/>
    </row>
  </sheetData>
  <mergeCells count="231">
    <mergeCell ref="M20:M22"/>
    <mergeCell ref="N20:N22"/>
    <mergeCell ref="F23:F25"/>
    <mergeCell ref="G23:G25"/>
    <mergeCell ref="J23:J25"/>
    <mergeCell ref="K23:K25"/>
    <mergeCell ref="L23:L25"/>
    <mergeCell ref="M23:M25"/>
    <mergeCell ref="N23:N25"/>
    <mergeCell ref="D20:D22"/>
    <mergeCell ref="E20:E22"/>
    <mergeCell ref="G20:G22"/>
    <mergeCell ref="I20:I22"/>
    <mergeCell ref="J20:J22"/>
    <mergeCell ref="K20:K22"/>
    <mergeCell ref="L20:L22"/>
    <mergeCell ref="D5:D7"/>
    <mergeCell ref="D8:D10"/>
    <mergeCell ref="B11:B13"/>
    <mergeCell ref="D11:D13"/>
    <mergeCell ref="B14:B16"/>
    <mergeCell ref="D14:D16"/>
    <mergeCell ref="D17:D19"/>
    <mergeCell ref="J26:J28"/>
    <mergeCell ref="K26:K28"/>
    <mergeCell ref="L26:L28"/>
    <mergeCell ref="M26:M28"/>
    <mergeCell ref="N26:N28"/>
    <mergeCell ref="L29:L31"/>
    <mergeCell ref="M29:M31"/>
    <mergeCell ref="N29:N31"/>
    <mergeCell ref="K35:K37"/>
    <mergeCell ref="L35:L37"/>
    <mergeCell ref="M38:M40"/>
    <mergeCell ref="N38:N40"/>
    <mergeCell ref="B17:B19"/>
    <mergeCell ref="B20:B22"/>
    <mergeCell ref="B23:B25"/>
    <mergeCell ref="B26:B28"/>
    <mergeCell ref="B29:B31"/>
    <mergeCell ref="B32:B34"/>
    <mergeCell ref="D35:D37"/>
    <mergeCell ref="D38:D40"/>
    <mergeCell ref="K38:K40"/>
    <mergeCell ref="L38:L40"/>
    <mergeCell ref="B35:B37"/>
    <mergeCell ref="B38:B40"/>
    <mergeCell ref="E38:E40"/>
    <mergeCell ref="G38:G40"/>
    <mergeCell ref="H38:H40"/>
    <mergeCell ref="I38:I40"/>
    <mergeCell ref="J38:J40"/>
    <mergeCell ref="K41:K43"/>
    <mergeCell ref="L41:L43"/>
    <mergeCell ref="M41:M43"/>
    <mergeCell ref="N41:N43"/>
    <mergeCell ref="B41:B43"/>
    <mergeCell ref="E41:E43"/>
    <mergeCell ref="F41:F43"/>
    <mergeCell ref="H41:H43"/>
    <mergeCell ref="I41:I43"/>
    <mergeCell ref="J41:J43"/>
    <mergeCell ref="B44:B46"/>
    <mergeCell ref="M47:M49"/>
    <mergeCell ref="N47:N49"/>
    <mergeCell ref="K53:K55"/>
    <mergeCell ref="L53:L55"/>
    <mergeCell ref="K56:K58"/>
    <mergeCell ref="L56:L58"/>
    <mergeCell ref="M56:M58"/>
    <mergeCell ref="N56:N58"/>
    <mergeCell ref="B53:B55"/>
    <mergeCell ref="B56:B58"/>
    <mergeCell ref="G56:G58"/>
    <mergeCell ref="H56:H58"/>
    <mergeCell ref="J5:J7"/>
    <mergeCell ref="K5:K7"/>
    <mergeCell ref="L5:L7"/>
    <mergeCell ref="M5:M7"/>
    <mergeCell ref="N5:N7"/>
    <mergeCell ref="H8:H10"/>
    <mergeCell ref="I8:I10"/>
    <mergeCell ref="J8:J10"/>
    <mergeCell ref="K8:K10"/>
    <mergeCell ref="L8:L10"/>
    <mergeCell ref="M8:M10"/>
    <mergeCell ref="N8:N10"/>
    <mergeCell ref="B5:B7"/>
    <mergeCell ref="E5:E7"/>
    <mergeCell ref="F5:F7"/>
    <mergeCell ref="G5:G7"/>
    <mergeCell ref="H5:H7"/>
    <mergeCell ref="I5:I7"/>
    <mergeCell ref="B8:B10"/>
    <mergeCell ref="M11:M13"/>
    <mergeCell ref="N11:N13"/>
    <mergeCell ref="P11:Q11"/>
    <mergeCell ref="F8:F10"/>
    <mergeCell ref="G8:G10"/>
    <mergeCell ref="F11:F13"/>
    <mergeCell ref="H11:H13"/>
    <mergeCell ref="I11:I13"/>
    <mergeCell ref="K11:K13"/>
    <mergeCell ref="L11:L13"/>
    <mergeCell ref="G17:G19"/>
    <mergeCell ref="H17:H19"/>
    <mergeCell ref="J17:J19"/>
    <mergeCell ref="K17:K19"/>
    <mergeCell ref="L17:L19"/>
    <mergeCell ref="M17:M19"/>
    <mergeCell ref="N17:N19"/>
    <mergeCell ref="F14:F16"/>
    <mergeCell ref="G14:G16"/>
    <mergeCell ref="J14:J16"/>
    <mergeCell ref="K14:K16"/>
    <mergeCell ref="L14:L16"/>
    <mergeCell ref="M14:M16"/>
    <mergeCell ref="N14:N16"/>
    <mergeCell ref="D23:D25"/>
    <mergeCell ref="D26:D28"/>
    <mergeCell ref="E26:E28"/>
    <mergeCell ref="F26:F28"/>
    <mergeCell ref="G26:G28"/>
    <mergeCell ref="H26:H28"/>
    <mergeCell ref="I26:I28"/>
    <mergeCell ref="D29:D31"/>
    <mergeCell ref="D32:D34"/>
    <mergeCell ref="E32:E34"/>
    <mergeCell ref="F32:F34"/>
    <mergeCell ref="G32:G34"/>
    <mergeCell ref="H32:H34"/>
    <mergeCell ref="I32:I34"/>
    <mergeCell ref="M35:M37"/>
    <mergeCell ref="N35:N37"/>
    <mergeCell ref="J32:J34"/>
    <mergeCell ref="K32:K34"/>
    <mergeCell ref="L32:L34"/>
    <mergeCell ref="M32:M34"/>
    <mergeCell ref="N32:N34"/>
    <mergeCell ref="G35:G37"/>
    <mergeCell ref="I35:I37"/>
    <mergeCell ref="J44:J46"/>
    <mergeCell ref="K44:K46"/>
    <mergeCell ref="L44:L46"/>
    <mergeCell ref="M44:M46"/>
    <mergeCell ref="N44:N46"/>
    <mergeCell ref="G44:G46"/>
    <mergeCell ref="H44:H46"/>
    <mergeCell ref="H47:H49"/>
    <mergeCell ref="I47:I49"/>
    <mergeCell ref="J47:J49"/>
    <mergeCell ref="K47:K49"/>
    <mergeCell ref="L47:L49"/>
    <mergeCell ref="E44:E46"/>
    <mergeCell ref="F44:F46"/>
    <mergeCell ref="E47:E49"/>
    <mergeCell ref="F47:F49"/>
    <mergeCell ref="E50:E52"/>
    <mergeCell ref="G50:G52"/>
    <mergeCell ref="H50:H52"/>
    <mergeCell ref="G65:G67"/>
    <mergeCell ref="G68:G70"/>
    <mergeCell ref="H68:H70"/>
    <mergeCell ref="G71:G73"/>
    <mergeCell ref="F53:F55"/>
    <mergeCell ref="G53:G55"/>
    <mergeCell ref="G59:G61"/>
    <mergeCell ref="H59:H61"/>
    <mergeCell ref="G62:G64"/>
    <mergeCell ref="H62:H64"/>
    <mergeCell ref="H65:H67"/>
    <mergeCell ref="M53:M55"/>
    <mergeCell ref="N53:N55"/>
    <mergeCell ref="J50:J52"/>
    <mergeCell ref="K50:K52"/>
    <mergeCell ref="L50:L52"/>
    <mergeCell ref="M50:M52"/>
    <mergeCell ref="N50:N52"/>
    <mergeCell ref="I53:I55"/>
    <mergeCell ref="J53:J55"/>
    <mergeCell ref="M62:M64"/>
    <mergeCell ref="N62:N64"/>
    <mergeCell ref="M65:M67"/>
    <mergeCell ref="N65:N67"/>
    <mergeCell ref="J59:J61"/>
    <mergeCell ref="K59:K61"/>
    <mergeCell ref="L59:L61"/>
    <mergeCell ref="M59:M61"/>
    <mergeCell ref="N59:N61"/>
    <mergeCell ref="I62:I64"/>
    <mergeCell ref="J62:J64"/>
    <mergeCell ref="K68:K70"/>
    <mergeCell ref="L68:L70"/>
    <mergeCell ref="M68:M70"/>
    <mergeCell ref="N68:N70"/>
    <mergeCell ref="I71:I73"/>
    <mergeCell ref="J71:J73"/>
    <mergeCell ref="K71:K73"/>
    <mergeCell ref="L71:L73"/>
    <mergeCell ref="M71:M73"/>
    <mergeCell ref="N71:N73"/>
    <mergeCell ref="K62:K64"/>
    <mergeCell ref="L62:L64"/>
    <mergeCell ref="J65:J67"/>
    <mergeCell ref="K65:K67"/>
    <mergeCell ref="L65:L67"/>
    <mergeCell ref="I68:I70"/>
    <mergeCell ref="J68:J70"/>
    <mergeCell ref="B50:B52"/>
    <mergeCell ref="B59:B61"/>
    <mergeCell ref="B62:B64"/>
    <mergeCell ref="B65:B67"/>
    <mergeCell ref="B68:B70"/>
    <mergeCell ref="B71:B73"/>
    <mergeCell ref="D41:D43"/>
    <mergeCell ref="D44:D46"/>
    <mergeCell ref="B47:B49"/>
    <mergeCell ref="D47:D49"/>
    <mergeCell ref="D50:D52"/>
    <mergeCell ref="D53:D55"/>
    <mergeCell ref="D56:D58"/>
    <mergeCell ref="D68:D70"/>
    <mergeCell ref="D71:D73"/>
    <mergeCell ref="D59:D61"/>
    <mergeCell ref="E59:E61"/>
    <mergeCell ref="D62:D64"/>
    <mergeCell ref="E62:E64"/>
    <mergeCell ref="D65:D67"/>
    <mergeCell ref="E65:E67"/>
    <mergeCell ref="E68:E70"/>
    <mergeCell ref="E71:E73"/>
  </mergeCells>
  <conditionalFormatting sqref="A3:R1083">
    <cfRule type="expression" dxfId="0" priority="1">
      <formula>($B3&lt;&gt;"")*($D3="")</formula>
    </cfRule>
  </conditionalFormatting>
  <conditionalFormatting sqref="N1:N73 E5:K73 O17:O22 N75:N80 L78:L80 I81:J81 N83:N1083 J85:J1083">
    <cfRule type="cellIs" dxfId="1" priority="2" operator="lessThan">
      <formula>0</formula>
    </cfRule>
  </conditionalFormatting>
  <conditionalFormatting sqref="N5:N73">
    <cfRule type="cellIs" dxfId="2" priority="3" operator="greaterThanOrEqual">
      <formula>0</formula>
    </cfRule>
  </conditionalFormatting>
  <hyperlinks>
    <hyperlink r:id="rId1" location="gid=1619821413" ref="B1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.13"/>
    <col customWidth="1" min="2" max="2" width="28.0"/>
    <col customWidth="1" min="3" max="3" width="5.75"/>
    <col customWidth="1" min="5" max="5" width="24.5"/>
    <col customWidth="1" min="6" max="6" width="25.0"/>
    <col customWidth="1" min="7" max="7" width="29.38"/>
    <col customWidth="1" min="8" max="8" width="27.63"/>
    <col customWidth="1" min="9" max="9" width="28.0"/>
    <col customWidth="1" min="10" max="10" width="28.75"/>
    <col customWidth="1" min="11" max="11" width="24.5"/>
    <col customWidth="1" min="12" max="12" width="20.25"/>
    <col customWidth="1" min="13" max="13" width="10.5"/>
    <col customWidth="1" min="14" max="14" width="15.88"/>
    <col customWidth="1" min="15" max="18" width="28.25"/>
  </cols>
  <sheetData>
    <row r="1">
      <c r="A1" s="1"/>
      <c r="B1" s="2" t="s">
        <v>0</v>
      </c>
      <c r="C1" s="3"/>
      <c r="D1" s="4"/>
      <c r="E1" s="4"/>
      <c r="F1" s="4"/>
      <c r="G1" s="4"/>
      <c r="H1" s="4"/>
      <c r="I1" s="4"/>
      <c r="J1" s="4"/>
      <c r="K1" s="4"/>
      <c r="L1" s="4"/>
      <c r="M1" s="5"/>
      <c r="N1" s="6"/>
      <c r="O1" s="4"/>
      <c r="P1" s="4"/>
      <c r="Q1" s="4"/>
      <c r="R1" s="4"/>
    </row>
    <row r="2">
      <c r="A2" s="4"/>
      <c r="B2" s="7" t="s">
        <v>1</v>
      </c>
      <c r="C2" s="7"/>
      <c r="D2" s="7" t="s">
        <v>2</v>
      </c>
      <c r="E2" s="8">
        <v>46153.0</v>
      </c>
      <c r="F2" s="8">
        <f t="shared" ref="F2:K2" si="1">E2+1</f>
        <v>46154</v>
      </c>
      <c r="G2" s="8">
        <f t="shared" si="1"/>
        <v>46155</v>
      </c>
      <c r="H2" s="8">
        <f t="shared" si="1"/>
        <v>46156</v>
      </c>
      <c r="I2" s="8">
        <f t="shared" si="1"/>
        <v>46157</v>
      </c>
      <c r="J2" s="8">
        <f t="shared" si="1"/>
        <v>46158</v>
      </c>
      <c r="K2" s="8">
        <f t="shared" si="1"/>
        <v>46159</v>
      </c>
      <c r="L2" s="7"/>
      <c r="M2" s="9" t="s">
        <v>3</v>
      </c>
      <c r="N2" s="10" t="s">
        <v>4</v>
      </c>
      <c r="O2" s="11" t="s">
        <v>5</v>
      </c>
      <c r="P2" s="11"/>
      <c r="Q2" s="11"/>
      <c r="R2" s="11"/>
    </row>
    <row r="3" ht="15.0" customHeight="1">
      <c r="A3" s="12"/>
      <c r="B3" s="13" t="s">
        <v>6</v>
      </c>
      <c r="C3" s="13"/>
      <c r="D3" s="14"/>
      <c r="E3" s="15" t="s">
        <v>7</v>
      </c>
      <c r="F3" s="15" t="s">
        <v>8</v>
      </c>
      <c r="G3" s="15" t="s">
        <v>9</v>
      </c>
      <c r="H3" s="15" t="s">
        <v>10</v>
      </c>
      <c r="I3" s="15" t="s">
        <v>11</v>
      </c>
      <c r="J3" s="15" t="s">
        <v>12</v>
      </c>
      <c r="K3" s="15" t="s">
        <v>13</v>
      </c>
      <c r="L3" s="14"/>
      <c r="M3" s="16"/>
      <c r="N3" s="16"/>
      <c r="O3" s="12"/>
      <c r="P3" s="12"/>
      <c r="Q3" s="12"/>
      <c r="R3" s="12"/>
    </row>
    <row r="4">
      <c r="A4" s="12"/>
      <c r="B4" s="17"/>
      <c r="C4" s="17"/>
      <c r="D4" s="18"/>
      <c r="E4" s="19"/>
      <c r="F4" s="19"/>
      <c r="G4" s="19"/>
      <c r="H4" s="19"/>
      <c r="I4" s="108" t="s">
        <v>14</v>
      </c>
      <c r="J4" s="108"/>
      <c r="K4" s="108"/>
      <c r="L4" s="21"/>
      <c r="M4" s="19"/>
      <c r="N4" s="19"/>
      <c r="O4" s="21"/>
      <c r="P4" s="22"/>
      <c r="Q4" s="22"/>
      <c r="R4" s="22"/>
    </row>
    <row r="5">
      <c r="A5" s="12"/>
      <c r="B5" s="23" t="s">
        <v>15</v>
      </c>
      <c r="C5" s="24" t="s">
        <v>16</v>
      </c>
      <c r="D5" s="25" t="s">
        <v>17</v>
      </c>
      <c r="E5" s="133" t="s">
        <v>27</v>
      </c>
      <c r="F5" s="133" t="s">
        <v>27</v>
      </c>
      <c r="G5" s="133" t="s">
        <v>27</v>
      </c>
      <c r="H5" s="133" t="s">
        <v>27</v>
      </c>
      <c r="I5" s="133" t="s">
        <v>27</v>
      </c>
      <c r="J5" s="109">
        <v>6000.0</v>
      </c>
      <c r="K5" s="135" t="s">
        <v>18</v>
      </c>
      <c r="L5" s="29" t="b">
        <v>0</v>
      </c>
      <c r="M5" s="30">
        <f>SUM(E5:L5)</f>
        <v>6000</v>
      </c>
      <c r="N5" s="31">
        <f>M5-8000</f>
        <v>-2000</v>
      </c>
      <c r="O5" s="32"/>
      <c r="P5" s="33"/>
      <c r="Q5" s="34"/>
      <c r="R5" s="34"/>
    </row>
    <row r="6">
      <c r="A6" s="12"/>
      <c r="B6" s="35"/>
      <c r="C6" s="24" t="s">
        <v>5</v>
      </c>
      <c r="D6" s="36"/>
      <c r="J6" s="110">
        <v>1692.0</v>
      </c>
      <c r="N6" s="36"/>
      <c r="O6" s="38">
        <f>SUM(E6:K6)</f>
        <v>1692</v>
      </c>
      <c r="P6" s="33"/>
      <c r="Q6" s="34"/>
      <c r="R6" s="34"/>
    </row>
    <row r="7">
      <c r="A7" s="12"/>
      <c r="B7" s="39"/>
      <c r="C7" s="24" t="s">
        <v>20</v>
      </c>
      <c r="D7" s="40"/>
      <c r="E7" s="41"/>
      <c r="F7" s="41"/>
      <c r="G7" s="41"/>
      <c r="H7" s="41"/>
      <c r="I7" s="41"/>
      <c r="J7" s="116" t="s">
        <v>508</v>
      </c>
      <c r="K7" s="41"/>
      <c r="L7" s="41"/>
      <c r="M7" s="41"/>
      <c r="N7" s="40"/>
      <c r="O7" s="43">
        <f>M5/O6</f>
        <v>3.546099291</v>
      </c>
      <c r="P7" s="33"/>
      <c r="Q7" s="34"/>
      <c r="R7" s="34"/>
    </row>
    <row r="8">
      <c r="A8" s="12"/>
      <c r="B8" s="23" t="s">
        <v>25</v>
      </c>
      <c r="C8" s="24" t="s">
        <v>16</v>
      </c>
      <c r="D8" s="25" t="s">
        <v>26</v>
      </c>
      <c r="E8" s="112">
        <v>1500.0</v>
      </c>
      <c r="F8" s="109">
        <v>2100.0</v>
      </c>
      <c r="G8" s="109">
        <v>1500.0</v>
      </c>
      <c r="H8" s="109">
        <v>6500.0</v>
      </c>
      <c r="I8" s="135" t="s">
        <v>18</v>
      </c>
      <c r="J8" s="135" t="s">
        <v>18</v>
      </c>
      <c r="K8" s="135" t="s">
        <v>18</v>
      </c>
      <c r="L8" s="29" t="b">
        <v>0</v>
      </c>
      <c r="M8" s="30">
        <f>SUM(E8:L8)</f>
        <v>11600</v>
      </c>
      <c r="N8" s="31">
        <f>M8-7000</f>
        <v>4600</v>
      </c>
      <c r="O8" s="32"/>
      <c r="P8" s="33"/>
      <c r="Q8" s="34"/>
      <c r="R8" s="34"/>
    </row>
    <row r="9">
      <c r="A9" s="12"/>
      <c r="B9" s="35"/>
      <c r="C9" s="24" t="s">
        <v>5</v>
      </c>
      <c r="D9" s="36"/>
      <c r="E9" s="122">
        <f>70+30+403</f>
        <v>503</v>
      </c>
      <c r="F9" s="110">
        <f>70+442</f>
        <v>512</v>
      </c>
      <c r="G9" s="110">
        <f>107+291</f>
        <v>398</v>
      </c>
      <c r="H9" s="110">
        <v>3031.0</v>
      </c>
      <c r="N9" s="36"/>
      <c r="O9" s="38">
        <f>SUM(E9:K9)</f>
        <v>4444</v>
      </c>
      <c r="P9" s="33"/>
      <c r="Q9" s="34"/>
      <c r="R9" s="34"/>
    </row>
    <row r="10">
      <c r="A10" s="12"/>
      <c r="B10" s="39"/>
      <c r="C10" s="24" t="s">
        <v>20</v>
      </c>
      <c r="D10" s="40"/>
      <c r="E10" s="115" t="s">
        <v>509</v>
      </c>
      <c r="F10" s="116" t="s">
        <v>510</v>
      </c>
      <c r="G10" s="116" t="s">
        <v>511</v>
      </c>
      <c r="H10" s="116" t="s">
        <v>512</v>
      </c>
      <c r="I10" s="41"/>
      <c r="J10" s="41"/>
      <c r="K10" s="41"/>
      <c r="L10" s="41"/>
      <c r="M10" s="41"/>
      <c r="N10" s="40"/>
      <c r="O10" s="43">
        <f>M8/O9</f>
        <v>2.610261026</v>
      </c>
      <c r="P10" s="33"/>
      <c r="Q10" s="34"/>
      <c r="R10" s="34"/>
    </row>
    <row r="11">
      <c r="A11" s="12"/>
      <c r="B11" s="23" t="s">
        <v>29</v>
      </c>
      <c r="C11" s="24" t="s">
        <v>16</v>
      </c>
      <c r="D11" s="25" t="s">
        <v>30</v>
      </c>
      <c r="E11" s="135" t="s">
        <v>18</v>
      </c>
      <c r="F11" s="109">
        <v>2275.0</v>
      </c>
      <c r="G11" s="109">
        <v>6000.0</v>
      </c>
      <c r="H11" s="135" t="s">
        <v>18</v>
      </c>
      <c r="I11" s="135" t="s">
        <v>18</v>
      </c>
      <c r="J11" s="135" t="s">
        <v>18</v>
      </c>
      <c r="K11" s="133" t="s">
        <v>62</v>
      </c>
      <c r="L11" s="29" t="b">
        <v>0</v>
      </c>
      <c r="M11" s="30">
        <f>SUM(E11:L11)</f>
        <v>8275</v>
      </c>
      <c r="N11" s="31">
        <f>M11-7000</f>
        <v>1275</v>
      </c>
      <c r="O11" s="32"/>
      <c r="P11" s="45"/>
      <c r="R11" s="46"/>
    </row>
    <row r="12">
      <c r="A12" s="12"/>
      <c r="B12" s="35"/>
      <c r="C12" s="24" t="s">
        <v>5</v>
      </c>
      <c r="D12" s="36"/>
      <c r="F12" s="111">
        <f>844+62</f>
        <v>906</v>
      </c>
      <c r="G12" s="110">
        <v>1967.0</v>
      </c>
      <c r="N12" s="36"/>
      <c r="O12" s="38">
        <f>SUM(E12:K12)</f>
        <v>2873</v>
      </c>
      <c r="P12" s="47"/>
      <c r="Q12" s="46"/>
      <c r="R12" s="46"/>
    </row>
    <row r="13">
      <c r="A13" s="12"/>
      <c r="B13" s="39"/>
      <c r="C13" s="24" t="s">
        <v>20</v>
      </c>
      <c r="D13" s="40"/>
      <c r="E13" s="41"/>
      <c r="F13" s="111" t="s">
        <v>513</v>
      </c>
      <c r="G13" s="116" t="s">
        <v>514</v>
      </c>
      <c r="H13" s="41"/>
      <c r="I13" s="41"/>
      <c r="J13" s="41"/>
      <c r="K13" s="41"/>
      <c r="L13" s="41"/>
      <c r="M13" s="41"/>
      <c r="N13" s="40"/>
      <c r="O13" s="43">
        <f>M11/O12</f>
        <v>2.880264532</v>
      </c>
      <c r="P13" s="47"/>
      <c r="Q13" s="34"/>
      <c r="R13" s="34"/>
    </row>
    <row r="14">
      <c r="A14" s="12"/>
      <c r="B14" s="23" t="s">
        <v>34</v>
      </c>
      <c r="C14" s="24" t="s">
        <v>16</v>
      </c>
      <c r="D14" s="96" t="s">
        <v>35</v>
      </c>
      <c r="E14" s="136" t="s">
        <v>88</v>
      </c>
      <c r="F14" s="98" t="s">
        <v>88</v>
      </c>
      <c r="G14" s="109">
        <v>2300.0</v>
      </c>
      <c r="H14" s="137" t="s">
        <v>459</v>
      </c>
      <c r="I14" s="109">
        <v>3491.0</v>
      </c>
      <c r="J14" s="135" t="s">
        <v>18</v>
      </c>
      <c r="K14" s="135" t="s">
        <v>18</v>
      </c>
      <c r="L14" s="29" t="b">
        <v>0</v>
      </c>
      <c r="M14" s="30">
        <f>SUM(E14:L14)</f>
        <v>5791</v>
      </c>
      <c r="N14" s="31">
        <f>M14-7000</f>
        <v>-1209</v>
      </c>
      <c r="O14" s="32"/>
      <c r="P14" s="33"/>
      <c r="Q14" s="34"/>
      <c r="R14" s="34"/>
    </row>
    <row r="15">
      <c r="A15" s="12"/>
      <c r="B15" s="35"/>
      <c r="C15" s="24" t="s">
        <v>5</v>
      </c>
      <c r="E15" s="99"/>
      <c r="G15" s="110">
        <f>110+464</f>
        <v>574</v>
      </c>
      <c r="I15" s="110">
        <f>61+1532</f>
        <v>1593</v>
      </c>
      <c r="N15" s="36"/>
      <c r="O15" s="38">
        <f>SUM(E15:K15)</f>
        <v>2167</v>
      </c>
      <c r="P15" s="33"/>
      <c r="Q15" s="34"/>
      <c r="R15" s="34"/>
    </row>
    <row r="16">
      <c r="A16" s="12"/>
      <c r="B16" s="39"/>
      <c r="C16" s="24" t="s">
        <v>20</v>
      </c>
      <c r="D16" s="41"/>
      <c r="E16" s="100"/>
      <c r="F16" s="41"/>
      <c r="G16" s="116" t="s">
        <v>515</v>
      </c>
      <c r="H16" s="41"/>
      <c r="I16" s="116" t="s">
        <v>516</v>
      </c>
      <c r="J16" s="41"/>
      <c r="K16" s="41"/>
      <c r="L16" s="41"/>
      <c r="M16" s="41"/>
      <c r="N16" s="40"/>
      <c r="O16" s="43">
        <f>M14/O15</f>
        <v>2.672358099</v>
      </c>
      <c r="P16" s="33"/>
      <c r="Q16" s="34"/>
      <c r="R16" s="34"/>
    </row>
    <row r="17">
      <c r="A17" s="12"/>
      <c r="B17" s="23" t="s">
        <v>39</v>
      </c>
      <c r="C17" s="24" t="s">
        <v>16</v>
      </c>
      <c r="D17" s="25" t="s">
        <v>40</v>
      </c>
      <c r="E17" s="138" t="s">
        <v>18</v>
      </c>
      <c r="F17" s="138" t="s">
        <v>18</v>
      </c>
      <c r="G17" s="109">
        <v>2000.0</v>
      </c>
      <c r="H17" s="135" t="s">
        <v>18</v>
      </c>
      <c r="I17" s="109">
        <v>6000.0</v>
      </c>
      <c r="J17" s="135" t="s">
        <v>18</v>
      </c>
      <c r="K17" s="135" t="s">
        <v>18</v>
      </c>
      <c r="L17" s="29" t="b">
        <v>0</v>
      </c>
      <c r="M17" s="30">
        <f>SUM(E17:L17)</f>
        <v>8000</v>
      </c>
      <c r="N17" s="31">
        <f>M17-7000</f>
        <v>1000</v>
      </c>
      <c r="O17" s="32"/>
      <c r="P17" s="33"/>
      <c r="Q17" s="33"/>
      <c r="R17" s="34"/>
    </row>
    <row r="18">
      <c r="A18" s="12"/>
      <c r="B18" s="35"/>
      <c r="C18" s="24" t="s">
        <v>5</v>
      </c>
      <c r="D18" s="36"/>
      <c r="G18" s="110">
        <f>38+497</f>
        <v>535</v>
      </c>
      <c r="I18" s="110">
        <v>1934.0</v>
      </c>
      <c r="N18" s="36"/>
      <c r="O18" s="38">
        <f>SUM(E18:K18)</f>
        <v>2469</v>
      </c>
      <c r="P18" s="33"/>
      <c r="Q18" s="33"/>
      <c r="R18" s="34"/>
    </row>
    <row r="19">
      <c r="A19" s="12"/>
      <c r="B19" s="39"/>
      <c r="C19" s="24" t="s">
        <v>20</v>
      </c>
      <c r="D19" s="40"/>
      <c r="E19" s="41"/>
      <c r="F19" s="41"/>
      <c r="G19" s="116" t="s">
        <v>517</v>
      </c>
      <c r="H19" s="41"/>
      <c r="I19" s="116" t="s">
        <v>518</v>
      </c>
      <c r="J19" s="41"/>
      <c r="K19" s="41"/>
      <c r="L19" s="41"/>
      <c r="M19" s="41"/>
      <c r="N19" s="40"/>
      <c r="O19" s="43">
        <f>M17/O18</f>
        <v>3.24017821</v>
      </c>
      <c r="P19" s="48"/>
      <c r="Q19" s="33"/>
      <c r="R19" s="34"/>
    </row>
    <row r="20">
      <c r="A20" s="12"/>
      <c r="B20" s="23" t="s">
        <v>45</v>
      </c>
      <c r="C20" s="24" t="s">
        <v>16</v>
      </c>
      <c r="D20" s="25" t="s">
        <v>46</v>
      </c>
      <c r="E20" s="112">
        <v>2150.0</v>
      </c>
      <c r="F20" s="135" t="s">
        <v>18</v>
      </c>
      <c r="G20" s="137" t="s">
        <v>459</v>
      </c>
      <c r="H20" s="137" t="s">
        <v>459</v>
      </c>
      <c r="I20" s="109">
        <v>3400.0</v>
      </c>
      <c r="J20" s="135" t="s">
        <v>18</v>
      </c>
      <c r="K20" s="109">
        <v>1700.0</v>
      </c>
      <c r="L20" s="29" t="b">
        <v>0</v>
      </c>
      <c r="M20" s="30">
        <f>SUM(E20:L20)</f>
        <v>7250</v>
      </c>
      <c r="N20" s="31">
        <f>M20-7000</f>
        <v>250</v>
      </c>
      <c r="O20" s="32"/>
      <c r="P20" s="33"/>
      <c r="Q20" s="33"/>
      <c r="R20" s="34"/>
    </row>
    <row r="21">
      <c r="A21" s="12"/>
      <c r="B21" s="35"/>
      <c r="C21" s="24" t="s">
        <v>5</v>
      </c>
      <c r="D21" s="36"/>
      <c r="E21" s="122">
        <f>21+1099</f>
        <v>1120</v>
      </c>
      <c r="I21" s="110">
        <f>806+87+110</f>
        <v>1003</v>
      </c>
      <c r="K21" s="110">
        <f>610+33</f>
        <v>643</v>
      </c>
      <c r="N21" s="36"/>
      <c r="O21" s="38">
        <f>SUM(E21:K21)</f>
        <v>2766</v>
      </c>
      <c r="P21" s="33"/>
      <c r="Q21" s="33"/>
      <c r="R21" s="34"/>
    </row>
    <row r="22">
      <c r="A22" s="12"/>
      <c r="B22" s="39"/>
      <c r="C22" s="24" t="s">
        <v>20</v>
      </c>
      <c r="D22" s="40"/>
      <c r="E22" s="115" t="s">
        <v>519</v>
      </c>
      <c r="F22" s="41"/>
      <c r="G22" s="41"/>
      <c r="H22" s="41"/>
      <c r="I22" s="116" t="s">
        <v>520</v>
      </c>
      <c r="J22" s="41"/>
      <c r="K22" s="42" t="s">
        <v>521</v>
      </c>
      <c r="L22" s="41"/>
      <c r="M22" s="41"/>
      <c r="N22" s="40"/>
      <c r="O22" s="43">
        <f>M20/O21</f>
        <v>2.621113521</v>
      </c>
      <c r="P22" s="48"/>
      <c r="Q22" s="33"/>
      <c r="R22" s="34"/>
    </row>
    <row r="23">
      <c r="A23" s="12"/>
      <c r="B23" s="23" t="s">
        <v>50</v>
      </c>
      <c r="C23" s="24" t="s">
        <v>16</v>
      </c>
      <c r="D23" s="25" t="s">
        <v>51</v>
      </c>
      <c r="E23" s="135" t="s">
        <v>18</v>
      </c>
      <c r="F23" s="135" t="s">
        <v>18</v>
      </c>
      <c r="G23" s="137" t="s">
        <v>459</v>
      </c>
      <c r="H23" s="137" t="s">
        <v>459</v>
      </c>
      <c r="I23" s="109">
        <v>7300.0</v>
      </c>
      <c r="J23" s="135" t="s">
        <v>18</v>
      </c>
      <c r="K23" s="135" t="s">
        <v>18</v>
      </c>
      <c r="L23" s="29" t="b">
        <v>0</v>
      </c>
      <c r="M23" s="30">
        <f>SUM(E23:L23)</f>
        <v>7300</v>
      </c>
      <c r="N23" s="31">
        <f>M23-7000</f>
        <v>300</v>
      </c>
      <c r="O23" s="32"/>
      <c r="P23" s="33"/>
      <c r="Q23" s="34"/>
      <c r="R23" s="34"/>
    </row>
    <row r="24">
      <c r="A24" s="12"/>
      <c r="B24" s="35"/>
      <c r="C24" s="24" t="s">
        <v>5</v>
      </c>
      <c r="D24" s="36"/>
      <c r="I24" s="110">
        <v>2950.0</v>
      </c>
      <c r="N24" s="36"/>
      <c r="O24" s="38">
        <f>SUM(E24:K24)</f>
        <v>2950</v>
      </c>
      <c r="P24" s="48"/>
      <c r="Q24" s="34"/>
      <c r="R24" s="34"/>
    </row>
    <row r="25" ht="15.0" customHeight="1">
      <c r="A25" s="12"/>
      <c r="B25" s="39"/>
      <c r="C25" s="24" t="s">
        <v>20</v>
      </c>
      <c r="D25" s="40"/>
      <c r="E25" s="41"/>
      <c r="F25" s="41"/>
      <c r="G25" s="41"/>
      <c r="H25" s="41"/>
      <c r="I25" s="116" t="s">
        <v>522</v>
      </c>
      <c r="J25" s="41"/>
      <c r="K25" s="41"/>
      <c r="L25" s="41"/>
      <c r="M25" s="41"/>
      <c r="N25" s="40"/>
      <c r="O25" s="43">
        <f>M23/O24</f>
        <v>2.474576271</v>
      </c>
      <c r="P25" s="22"/>
      <c r="Q25" s="34"/>
      <c r="R25" s="34"/>
    </row>
    <row r="26">
      <c r="A26" s="12"/>
      <c r="B26" s="23" t="s">
        <v>56</v>
      </c>
      <c r="C26" s="24" t="s">
        <v>16</v>
      </c>
      <c r="D26" s="25" t="s">
        <v>57</v>
      </c>
      <c r="E26" s="133" t="s">
        <v>27</v>
      </c>
      <c r="F26" s="133" t="s">
        <v>27</v>
      </c>
      <c r="G26" s="109">
        <v>5500.0</v>
      </c>
      <c r="H26" s="135" t="s">
        <v>18</v>
      </c>
      <c r="I26" s="135" t="s">
        <v>18</v>
      </c>
      <c r="J26" s="139" t="s">
        <v>88</v>
      </c>
      <c r="K26" s="139" t="s">
        <v>88</v>
      </c>
      <c r="L26" s="29" t="b">
        <v>0</v>
      </c>
      <c r="M26" s="30">
        <f>SUM(E26:L26)</f>
        <v>5500</v>
      </c>
      <c r="N26" s="31">
        <f>M26-7000</f>
        <v>-1500</v>
      </c>
      <c r="O26" s="32"/>
      <c r="P26" s="33"/>
      <c r="Q26" s="34"/>
      <c r="R26" s="34"/>
    </row>
    <row r="27">
      <c r="A27" s="12"/>
      <c r="B27" s="35"/>
      <c r="C27" s="24" t="s">
        <v>5</v>
      </c>
      <c r="D27" s="36"/>
      <c r="G27" s="110">
        <v>2068.0</v>
      </c>
      <c r="N27" s="36"/>
      <c r="O27" s="38">
        <f>SUM(E27:K27)</f>
        <v>2068</v>
      </c>
      <c r="P27" s="33"/>
      <c r="Q27" s="34"/>
      <c r="R27" s="34"/>
    </row>
    <row r="28">
      <c r="A28" s="12"/>
      <c r="B28" s="39"/>
      <c r="C28" s="24" t="s">
        <v>20</v>
      </c>
      <c r="D28" s="40"/>
      <c r="E28" s="41"/>
      <c r="F28" s="41"/>
      <c r="G28" s="116" t="s">
        <v>523</v>
      </c>
      <c r="H28" s="41"/>
      <c r="I28" s="41"/>
      <c r="J28" s="41"/>
      <c r="K28" s="41"/>
      <c r="L28" s="41"/>
      <c r="M28" s="41"/>
      <c r="N28" s="40"/>
      <c r="O28" s="43">
        <f>M26/O27</f>
        <v>2.659574468</v>
      </c>
      <c r="P28" s="33"/>
      <c r="Q28" s="34"/>
      <c r="R28" s="34"/>
    </row>
    <row r="29">
      <c r="A29" s="12"/>
      <c r="B29" s="23" t="s">
        <v>60</v>
      </c>
      <c r="C29" s="24" t="s">
        <v>16</v>
      </c>
      <c r="D29" s="25" t="s">
        <v>61</v>
      </c>
      <c r="E29" s="133" t="s">
        <v>62</v>
      </c>
      <c r="F29" s="112">
        <v>1100.0</v>
      </c>
      <c r="G29" s="109">
        <v>800.0</v>
      </c>
      <c r="H29" s="109">
        <v>1550.0</v>
      </c>
      <c r="I29" s="133" t="s">
        <v>62</v>
      </c>
      <c r="J29" s="117">
        <f>525+525</f>
        <v>1050</v>
      </c>
      <c r="K29" s="117">
        <f>525+550+550</f>
        <v>1625</v>
      </c>
      <c r="L29" s="29" t="b">
        <v>0</v>
      </c>
      <c r="M29" s="30">
        <f>SUM(E29:L29)</f>
        <v>6125</v>
      </c>
      <c r="N29" s="31">
        <f>M29-7000</f>
        <v>-875</v>
      </c>
      <c r="O29" s="32"/>
      <c r="P29" s="33"/>
      <c r="Q29" s="34"/>
      <c r="R29" s="34"/>
    </row>
    <row r="30">
      <c r="A30" s="12"/>
      <c r="B30" s="35"/>
      <c r="C30" s="24" t="s">
        <v>5</v>
      </c>
      <c r="D30" s="36"/>
      <c r="F30" s="122">
        <v>110.0</v>
      </c>
      <c r="G30" s="110">
        <v>52.0</v>
      </c>
      <c r="H30" s="110">
        <v>182.0</v>
      </c>
      <c r="J30" s="110">
        <f>27+27</f>
        <v>54</v>
      </c>
      <c r="K30" s="110">
        <f>27+27+27</f>
        <v>81</v>
      </c>
      <c r="N30" s="36"/>
      <c r="O30" s="38">
        <f>SUM(E30:K30)</f>
        <v>479</v>
      </c>
      <c r="P30" s="33"/>
      <c r="Q30" s="34"/>
      <c r="R30" s="34"/>
    </row>
    <row r="31">
      <c r="A31" s="12"/>
      <c r="B31" s="39"/>
      <c r="C31" s="24" t="s">
        <v>20</v>
      </c>
      <c r="D31" s="40"/>
      <c r="E31" s="41"/>
      <c r="F31" s="115" t="s">
        <v>524</v>
      </c>
      <c r="G31" s="116" t="s">
        <v>525</v>
      </c>
      <c r="H31" s="116" t="s">
        <v>526</v>
      </c>
      <c r="I31" s="41"/>
      <c r="J31" s="116" t="s">
        <v>527</v>
      </c>
      <c r="K31" s="116" t="s">
        <v>528</v>
      </c>
      <c r="L31" s="41"/>
      <c r="M31" s="41"/>
      <c r="N31" s="40"/>
      <c r="O31" s="43">
        <f>M29/O30</f>
        <v>12.78705637</v>
      </c>
      <c r="P31" s="33"/>
      <c r="Q31" s="34"/>
      <c r="R31" s="34"/>
    </row>
    <row r="32">
      <c r="A32" s="12"/>
      <c r="B32" s="23" t="s">
        <v>219</v>
      </c>
      <c r="C32" s="24" t="s">
        <v>16</v>
      </c>
      <c r="D32" s="25" t="s">
        <v>220</v>
      </c>
      <c r="E32" s="133" t="s">
        <v>27</v>
      </c>
      <c r="F32" s="109">
        <v>2300.0</v>
      </c>
      <c r="G32" s="135" t="s">
        <v>18</v>
      </c>
      <c r="H32" s="109">
        <v>1700.0</v>
      </c>
      <c r="I32" s="109">
        <v>5000.0</v>
      </c>
      <c r="J32" s="135" t="s">
        <v>18</v>
      </c>
      <c r="K32" s="135" t="s">
        <v>18</v>
      </c>
      <c r="L32" s="29" t="b">
        <v>0</v>
      </c>
      <c r="M32" s="30">
        <f>SUM(E32:L32)</f>
        <v>9000</v>
      </c>
      <c r="N32" s="31">
        <f>M32-7000</f>
        <v>2000</v>
      </c>
      <c r="O32" s="32"/>
      <c r="P32" s="33"/>
      <c r="Q32" s="34"/>
      <c r="R32" s="34"/>
    </row>
    <row r="33">
      <c r="A33" s="12"/>
      <c r="B33" s="35"/>
      <c r="C33" s="24" t="s">
        <v>5</v>
      </c>
      <c r="D33" s="36"/>
      <c r="F33" s="110">
        <v>821.0</v>
      </c>
      <c r="H33" s="110">
        <v>517.0</v>
      </c>
      <c r="I33" s="110">
        <v>1826.0</v>
      </c>
      <c r="N33" s="36"/>
      <c r="O33" s="38">
        <f>SUM(E33:K33)</f>
        <v>3164</v>
      </c>
      <c r="P33" s="33"/>
      <c r="Q33" s="34"/>
      <c r="R33" s="34"/>
    </row>
    <row r="34">
      <c r="A34" s="12"/>
      <c r="B34" s="39"/>
      <c r="C34" s="24" t="s">
        <v>20</v>
      </c>
      <c r="D34" s="40"/>
      <c r="E34" s="41"/>
      <c r="F34" s="116" t="s">
        <v>529</v>
      </c>
      <c r="G34" s="41"/>
      <c r="H34" s="116" t="s">
        <v>530</v>
      </c>
      <c r="I34" s="116" t="s">
        <v>531</v>
      </c>
      <c r="J34" s="41"/>
      <c r="K34" s="41"/>
      <c r="L34" s="41"/>
      <c r="M34" s="41"/>
      <c r="N34" s="40"/>
      <c r="O34" s="43">
        <f>M32/O33</f>
        <v>2.844500632</v>
      </c>
      <c r="P34" s="33"/>
      <c r="Q34" s="34"/>
      <c r="R34" s="34"/>
    </row>
    <row r="35">
      <c r="A35" s="12"/>
      <c r="B35" s="23" t="s">
        <v>73</v>
      </c>
      <c r="C35" s="24" t="s">
        <v>16</v>
      </c>
      <c r="D35" s="96" t="s">
        <v>74</v>
      </c>
      <c r="E35" s="98" t="s">
        <v>459</v>
      </c>
      <c r="F35" s="121" t="s">
        <v>532</v>
      </c>
      <c r="G35" s="109">
        <v>2000.0</v>
      </c>
      <c r="H35" s="109">
        <v>1800.0</v>
      </c>
      <c r="I35" s="109">
        <v>3200.0</v>
      </c>
      <c r="J35" s="135" t="s">
        <v>18</v>
      </c>
      <c r="K35" s="133" t="s">
        <v>62</v>
      </c>
      <c r="L35" s="29" t="b">
        <v>0</v>
      </c>
      <c r="M35" s="30">
        <f>SUM(E35:L35)</f>
        <v>7000</v>
      </c>
      <c r="N35" s="31">
        <f>M35-7000</f>
        <v>0</v>
      </c>
      <c r="O35" s="32"/>
      <c r="P35" s="33"/>
      <c r="Q35" s="34"/>
      <c r="R35" s="34"/>
    </row>
    <row r="36">
      <c r="A36" s="12"/>
      <c r="B36" s="35"/>
      <c r="C36" s="24" t="s">
        <v>5</v>
      </c>
      <c r="G36" s="110">
        <v>270.0</v>
      </c>
      <c r="H36" s="110">
        <v>390.0</v>
      </c>
      <c r="I36" s="110">
        <v>548.0</v>
      </c>
      <c r="N36" s="36"/>
      <c r="O36" s="38">
        <f>SUM(E36:K36)</f>
        <v>1208</v>
      </c>
      <c r="P36" s="33"/>
      <c r="Q36" s="34"/>
      <c r="R36" s="34"/>
    </row>
    <row r="37">
      <c r="A37" s="12"/>
      <c r="B37" s="39"/>
      <c r="C37" s="24" t="s">
        <v>20</v>
      </c>
      <c r="D37" s="41"/>
      <c r="E37" s="41"/>
      <c r="F37" s="41"/>
      <c r="G37" s="116" t="s">
        <v>533</v>
      </c>
      <c r="H37" s="116" t="s">
        <v>534</v>
      </c>
      <c r="I37" s="116" t="s">
        <v>535</v>
      </c>
      <c r="J37" s="41"/>
      <c r="K37" s="41"/>
      <c r="L37" s="41"/>
      <c r="M37" s="41"/>
      <c r="N37" s="40"/>
      <c r="O37" s="43">
        <f>M35/O36</f>
        <v>5.794701987</v>
      </c>
      <c r="P37" s="33"/>
      <c r="Q37" s="34"/>
      <c r="R37" s="34"/>
    </row>
    <row r="38">
      <c r="A38" s="12"/>
      <c r="B38" s="23" t="s">
        <v>76</v>
      </c>
      <c r="C38" s="24" t="s">
        <v>16</v>
      </c>
      <c r="D38" s="96" t="s">
        <v>77</v>
      </c>
      <c r="E38" s="121" t="s">
        <v>181</v>
      </c>
      <c r="F38" s="121" t="s">
        <v>181</v>
      </c>
      <c r="G38" s="109">
        <v>4000.0</v>
      </c>
      <c r="H38" s="135" t="s">
        <v>18</v>
      </c>
      <c r="I38" s="135" t="s">
        <v>18</v>
      </c>
      <c r="J38" s="135" t="s">
        <v>18</v>
      </c>
      <c r="K38" s="133" t="s">
        <v>62</v>
      </c>
      <c r="L38" s="29" t="b">
        <v>0</v>
      </c>
      <c r="M38" s="30">
        <f>SUM(E38:L38)</f>
        <v>4000</v>
      </c>
      <c r="N38" s="31">
        <f>M38-7000</f>
        <v>-3000</v>
      </c>
      <c r="O38" s="32"/>
      <c r="P38" s="33"/>
      <c r="Q38" s="34"/>
      <c r="R38" s="34"/>
    </row>
    <row r="39">
      <c r="A39" s="12"/>
      <c r="B39" s="35"/>
      <c r="C39" s="24" t="s">
        <v>5</v>
      </c>
      <c r="G39" s="110">
        <v>1743.0</v>
      </c>
      <c r="N39" s="36"/>
      <c r="O39" s="38">
        <f>SUM(E39:K39)</f>
        <v>1743</v>
      </c>
      <c r="P39" s="33"/>
      <c r="Q39" s="34"/>
      <c r="R39" s="34"/>
    </row>
    <row r="40">
      <c r="A40" s="12"/>
      <c r="B40" s="39"/>
      <c r="C40" s="24" t="s">
        <v>20</v>
      </c>
      <c r="D40" s="41"/>
      <c r="E40" s="41"/>
      <c r="F40" s="41"/>
      <c r="G40" s="116" t="s">
        <v>536</v>
      </c>
      <c r="H40" s="41"/>
      <c r="I40" s="41"/>
      <c r="J40" s="41"/>
      <c r="K40" s="41"/>
      <c r="L40" s="41"/>
      <c r="M40" s="41"/>
      <c r="N40" s="40"/>
      <c r="O40" s="43">
        <f>M38/O39</f>
        <v>2.294893861</v>
      </c>
      <c r="P40" s="33"/>
      <c r="Q40" s="34"/>
      <c r="R40" s="34"/>
    </row>
    <row r="41">
      <c r="A41" s="12"/>
      <c r="B41" s="23" t="s">
        <v>82</v>
      </c>
      <c r="C41" s="24" t="s">
        <v>16</v>
      </c>
      <c r="D41" s="25" t="s">
        <v>83</v>
      </c>
      <c r="E41" s="133" t="s">
        <v>27</v>
      </c>
      <c r="F41" s="133" t="s">
        <v>27</v>
      </c>
      <c r="G41" s="133" t="s">
        <v>27</v>
      </c>
      <c r="H41" s="133" t="s">
        <v>27</v>
      </c>
      <c r="I41" s="133" t="s">
        <v>27</v>
      </c>
      <c r="J41" s="140">
        <v>2900.0</v>
      </c>
      <c r="K41" s="135" t="s">
        <v>18</v>
      </c>
      <c r="L41" s="29" t="b">
        <v>0</v>
      </c>
      <c r="M41" s="30">
        <f>SUM(E41:L41)</f>
        <v>2900</v>
      </c>
      <c r="N41" s="31">
        <f>M41-7000</f>
        <v>-4100</v>
      </c>
      <c r="O41" s="32"/>
      <c r="P41" s="33"/>
      <c r="Q41" s="34"/>
      <c r="R41" s="34"/>
    </row>
    <row r="42">
      <c r="A42" s="12"/>
      <c r="B42" s="35"/>
      <c r="C42" s="24" t="s">
        <v>5</v>
      </c>
      <c r="D42" s="36"/>
      <c r="J42" s="109">
        <f>200+1109</f>
        <v>1309</v>
      </c>
      <c r="N42" s="36"/>
      <c r="O42" s="38">
        <f>SUM(E42:K42)</f>
        <v>1309</v>
      </c>
      <c r="P42" s="33"/>
      <c r="Q42" s="34"/>
      <c r="R42" s="34"/>
    </row>
    <row r="43">
      <c r="A43" s="12"/>
      <c r="B43" s="39"/>
      <c r="C43" s="24" t="s">
        <v>20</v>
      </c>
      <c r="D43" s="40"/>
      <c r="E43" s="41"/>
      <c r="F43" s="41"/>
      <c r="G43" s="41"/>
      <c r="H43" s="41"/>
      <c r="I43" s="41"/>
      <c r="J43" s="110">
        <v>793189.0</v>
      </c>
      <c r="K43" s="41"/>
      <c r="L43" s="41"/>
      <c r="M43" s="41"/>
      <c r="N43" s="40"/>
      <c r="O43" s="43">
        <f>M41/O42</f>
        <v>2.215431627</v>
      </c>
      <c r="P43" s="33"/>
      <c r="Q43" s="34"/>
      <c r="R43" s="34"/>
    </row>
    <row r="44">
      <c r="A44" s="12"/>
      <c r="B44" s="23" t="s">
        <v>86</v>
      </c>
      <c r="C44" s="24" t="s">
        <v>16</v>
      </c>
      <c r="D44" s="96" t="s">
        <v>87</v>
      </c>
      <c r="E44" s="112">
        <v>3000.0</v>
      </c>
      <c r="F44" s="135" t="s">
        <v>18</v>
      </c>
      <c r="G44" s="109">
        <v>2400.0</v>
      </c>
      <c r="H44" s="135" t="s">
        <v>18</v>
      </c>
      <c r="I44" s="98" t="s">
        <v>459</v>
      </c>
      <c r="J44" s="109">
        <v>2400.0</v>
      </c>
      <c r="K44" s="135" t="s">
        <v>18</v>
      </c>
      <c r="L44" s="29" t="b">
        <v>0</v>
      </c>
      <c r="M44" s="30">
        <f>SUM(E44:L44)</f>
        <v>7800</v>
      </c>
      <c r="N44" s="31">
        <f>M44-7000</f>
        <v>800</v>
      </c>
      <c r="O44" s="32"/>
      <c r="P44" s="33"/>
      <c r="Q44" s="34"/>
      <c r="R44" s="34"/>
    </row>
    <row r="45">
      <c r="A45" s="12"/>
      <c r="B45" s="35"/>
      <c r="C45" s="24" t="s">
        <v>5</v>
      </c>
      <c r="E45" s="122">
        <v>1000.0</v>
      </c>
      <c r="G45" s="110">
        <v>715.0</v>
      </c>
      <c r="J45" s="110">
        <v>929.0</v>
      </c>
      <c r="N45" s="36"/>
      <c r="O45" s="38">
        <f>SUM(E45:K45)</f>
        <v>2644</v>
      </c>
      <c r="P45" s="33"/>
      <c r="Q45" s="34"/>
      <c r="R45" s="34"/>
    </row>
    <row r="46">
      <c r="A46" s="12"/>
      <c r="B46" s="39"/>
      <c r="C46" s="24" t="s">
        <v>20</v>
      </c>
      <c r="D46" s="41"/>
      <c r="E46" s="115" t="s">
        <v>537</v>
      </c>
      <c r="F46" s="41"/>
      <c r="G46" s="116" t="s">
        <v>538</v>
      </c>
      <c r="H46" s="41"/>
      <c r="I46" s="41"/>
      <c r="J46" s="116" t="s">
        <v>539</v>
      </c>
      <c r="K46" s="41"/>
      <c r="L46" s="41"/>
      <c r="M46" s="41"/>
      <c r="N46" s="40"/>
      <c r="O46" s="43">
        <f>M44/O45</f>
        <v>2.950075643</v>
      </c>
      <c r="P46" s="33"/>
      <c r="Q46" s="34"/>
      <c r="R46" s="34"/>
    </row>
    <row r="47">
      <c r="A47" s="12"/>
      <c r="B47" s="23" t="s">
        <v>94</v>
      </c>
      <c r="C47" s="24" t="s">
        <v>16</v>
      </c>
      <c r="D47" s="96" t="s">
        <v>95</v>
      </c>
      <c r="E47" s="112">
        <v>1800.0</v>
      </c>
      <c r="F47" s="135" t="s">
        <v>18</v>
      </c>
      <c r="G47" s="133" t="s">
        <v>27</v>
      </c>
      <c r="H47" s="133" t="s">
        <v>27</v>
      </c>
      <c r="I47" s="133" t="s">
        <v>27</v>
      </c>
      <c r="J47" s="133" t="s">
        <v>27</v>
      </c>
      <c r="K47" s="133" t="s">
        <v>27</v>
      </c>
      <c r="L47" s="29" t="b">
        <v>0</v>
      </c>
      <c r="M47" s="30">
        <f>SUM(E47:L47)</f>
        <v>1800</v>
      </c>
      <c r="N47" s="31">
        <f>M47-7000</f>
        <v>-5200</v>
      </c>
      <c r="O47" s="32"/>
      <c r="P47" s="33"/>
      <c r="Q47" s="34"/>
      <c r="R47" s="34"/>
    </row>
    <row r="48">
      <c r="A48" s="12"/>
      <c r="B48" s="35"/>
      <c r="C48" s="24" t="s">
        <v>5</v>
      </c>
      <c r="E48" s="122">
        <v>542.0</v>
      </c>
      <c r="N48" s="36"/>
      <c r="O48" s="38">
        <f>SUM(E48:K48)</f>
        <v>542</v>
      </c>
      <c r="P48" s="33"/>
      <c r="Q48" s="34"/>
      <c r="R48" s="34"/>
    </row>
    <row r="49">
      <c r="A49" s="12"/>
      <c r="B49" s="39"/>
      <c r="C49" s="24" t="s">
        <v>20</v>
      </c>
      <c r="D49" s="41"/>
      <c r="E49" s="115" t="s">
        <v>540</v>
      </c>
      <c r="F49" s="41"/>
      <c r="G49" s="41"/>
      <c r="H49" s="41"/>
      <c r="I49" s="41"/>
      <c r="J49" s="41"/>
      <c r="K49" s="41"/>
      <c r="L49" s="41"/>
      <c r="M49" s="41"/>
      <c r="N49" s="40"/>
      <c r="O49" s="43">
        <f>M47/O48</f>
        <v>3.32103321</v>
      </c>
      <c r="P49" s="33"/>
      <c r="Q49" s="34"/>
      <c r="R49" s="34"/>
    </row>
    <row r="50">
      <c r="A50" s="12"/>
      <c r="B50" s="23" t="s">
        <v>98</v>
      </c>
      <c r="C50" s="24" t="s">
        <v>16</v>
      </c>
      <c r="D50" s="25" t="s">
        <v>99</v>
      </c>
      <c r="E50" s="135" t="s">
        <v>18</v>
      </c>
      <c r="F50" s="109">
        <v>2050.0</v>
      </c>
      <c r="G50" s="135" t="s">
        <v>18</v>
      </c>
      <c r="H50" s="109">
        <v>3100.0</v>
      </c>
      <c r="I50" s="135" t="s">
        <v>18</v>
      </c>
      <c r="J50" s="135" t="s">
        <v>18</v>
      </c>
      <c r="K50" s="121" t="s">
        <v>27</v>
      </c>
      <c r="L50" s="29" t="b">
        <v>0</v>
      </c>
      <c r="M50" s="30">
        <f>SUM(E50:L50)</f>
        <v>5150</v>
      </c>
      <c r="N50" s="31">
        <f>M50-7000</f>
        <v>-1850</v>
      </c>
      <c r="O50" s="32"/>
      <c r="P50" s="33"/>
      <c r="Q50" s="34"/>
      <c r="R50" s="34"/>
    </row>
    <row r="51">
      <c r="A51" s="12"/>
      <c r="B51" s="35"/>
      <c r="C51" s="24" t="s">
        <v>5</v>
      </c>
      <c r="D51" s="36"/>
      <c r="F51" s="110">
        <v>1029.0</v>
      </c>
      <c r="H51" s="110">
        <v>1226.0</v>
      </c>
      <c r="N51" s="36"/>
      <c r="O51" s="38">
        <f>SUM(E51:K51)</f>
        <v>2255</v>
      </c>
      <c r="P51" s="33"/>
      <c r="Q51" s="34"/>
      <c r="R51" s="34"/>
    </row>
    <row r="52">
      <c r="A52" s="12"/>
      <c r="B52" s="39"/>
      <c r="C52" s="24" t="s">
        <v>20</v>
      </c>
      <c r="D52" s="40"/>
      <c r="E52" s="41"/>
      <c r="F52" s="116" t="s">
        <v>541</v>
      </c>
      <c r="G52" s="41"/>
      <c r="H52" s="116" t="s">
        <v>542</v>
      </c>
      <c r="I52" s="41"/>
      <c r="J52" s="41"/>
      <c r="K52" s="41"/>
      <c r="L52" s="41"/>
      <c r="M52" s="41"/>
      <c r="N52" s="40"/>
      <c r="O52" s="43">
        <f>M50/O51</f>
        <v>2.283813747</v>
      </c>
      <c r="P52" s="33"/>
      <c r="Q52" s="34"/>
      <c r="R52" s="34"/>
    </row>
    <row r="53">
      <c r="A53" s="12"/>
      <c r="B53" s="23" t="s">
        <v>104</v>
      </c>
      <c r="C53" s="24" t="s">
        <v>16</v>
      </c>
      <c r="D53" s="25" t="s">
        <v>105</v>
      </c>
      <c r="E53" s="112">
        <v>6600.0</v>
      </c>
      <c r="F53" s="135" t="s">
        <v>18</v>
      </c>
      <c r="G53" s="135" t="s">
        <v>18</v>
      </c>
      <c r="H53" s="135" t="s">
        <v>18</v>
      </c>
      <c r="I53" s="133" t="s">
        <v>27</v>
      </c>
      <c r="J53" s="133" t="s">
        <v>27</v>
      </c>
      <c r="K53" s="133" t="s">
        <v>27</v>
      </c>
      <c r="L53" s="29" t="b">
        <v>0</v>
      </c>
      <c r="M53" s="30">
        <f>SUM(E53:L53)</f>
        <v>6600</v>
      </c>
      <c r="N53" s="31">
        <f>M53-7000</f>
        <v>-400</v>
      </c>
      <c r="O53" s="32"/>
      <c r="P53" s="33"/>
      <c r="Q53" s="34"/>
      <c r="R53" s="34"/>
    </row>
    <row r="54">
      <c r="A54" s="12"/>
      <c r="B54" s="35"/>
      <c r="C54" s="24" t="s">
        <v>5</v>
      </c>
      <c r="D54" s="36"/>
      <c r="E54" s="122">
        <v>2348.0</v>
      </c>
      <c r="N54" s="36"/>
      <c r="O54" s="38">
        <f>SUM(E54:K54)</f>
        <v>2348</v>
      </c>
      <c r="P54" s="33"/>
      <c r="Q54" s="34"/>
      <c r="R54" s="34"/>
    </row>
    <row r="55">
      <c r="A55" s="12"/>
      <c r="B55" s="39"/>
      <c r="C55" s="24" t="s">
        <v>20</v>
      </c>
      <c r="D55" s="40"/>
      <c r="E55" s="115" t="s">
        <v>543</v>
      </c>
      <c r="F55" s="41"/>
      <c r="G55" s="41"/>
      <c r="H55" s="41"/>
      <c r="I55" s="41"/>
      <c r="J55" s="41"/>
      <c r="K55" s="41"/>
      <c r="L55" s="41"/>
      <c r="M55" s="41"/>
      <c r="N55" s="40"/>
      <c r="O55" s="43">
        <f>M53/O54</f>
        <v>2.810902896</v>
      </c>
      <c r="P55" s="33"/>
      <c r="Q55" s="34"/>
      <c r="R55" s="34"/>
    </row>
    <row r="56">
      <c r="A56" s="12"/>
      <c r="B56" s="23" t="s">
        <v>108</v>
      </c>
      <c r="C56" s="24" t="s">
        <v>16</v>
      </c>
      <c r="D56" s="25" t="s">
        <v>109</v>
      </c>
      <c r="E56" s="135" t="s">
        <v>18</v>
      </c>
      <c r="F56" s="98" t="s">
        <v>459</v>
      </c>
      <c r="G56" s="98" t="s">
        <v>459</v>
      </c>
      <c r="H56" s="109">
        <v>3074.0</v>
      </c>
      <c r="I56" s="109">
        <v>5300.0</v>
      </c>
      <c r="J56" s="135" t="s">
        <v>18</v>
      </c>
      <c r="K56" s="135" t="s">
        <v>18</v>
      </c>
      <c r="L56" s="29" t="b">
        <v>0</v>
      </c>
      <c r="M56" s="30">
        <f>SUM(E56:L56)</f>
        <v>8374</v>
      </c>
      <c r="N56" s="31">
        <f>M56-7000</f>
        <v>1374</v>
      </c>
      <c r="O56" s="32"/>
      <c r="P56" s="33"/>
      <c r="Q56" s="34"/>
      <c r="R56" s="34"/>
    </row>
    <row r="57">
      <c r="A57" s="12"/>
      <c r="B57" s="35"/>
      <c r="C57" s="24" t="s">
        <v>5</v>
      </c>
      <c r="D57" s="36"/>
      <c r="H57" s="110">
        <f>831+1.5</f>
        <v>832.5</v>
      </c>
      <c r="I57" s="110">
        <f>1509+87</f>
        <v>1596</v>
      </c>
      <c r="N57" s="36"/>
      <c r="O57" s="38">
        <f>SUM(E57:K57)</f>
        <v>2428.5</v>
      </c>
      <c r="P57" s="33"/>
      <c r="Q57" s="34"/>
      <c r="R57" s="34"/>
    </row>
    <row r="58">
      <c r="A58" s="12"/>
      <c r="B58" s="39"/>
      <c r="C58" s="24" t="s">
        <v>20</v>
      </c>
      <c r="D58" s="40"/>
      <c r="E58" s="41"/>
      <c r="F58" s="41"/>
      <c r="G58" s="41"/>
      <c r="H58" s="116" t="s">
        <v>544</v>
      </c>
      <c r="I58" s="116" t="s">
        <v>545</v>
      </c>
      <c r="J58" s="41"/>
      <c r="K58" s="41"/>
      <c r="L58" s="41"/>
      <c r="M58" s="41"/>
      <c r="N58" s="40"/>
      <c r="O58" s="43">
        <f>M56/O57</f>
        <v>3.448219065</v>
      </c>
      <c r="P58" s="33"/>
      <c r="Q58" s="34"/>
      <c r="R58" s="34"/>
    </row>
    <row r="59">
      <c r="A59" s="12"/>
      <c r="B59" s="23" t="s">
        <v>249</v>
      </c>
      <c r="C59" s="24" t="s">
        <v>16</v>
      </c>
      <c r="D59" s="25" t="s">
        <v>250</v>
      </c>
      <c r="E59" s="133" t="s">
        <v>27</v>
      </c>
      <c r="F59" s="133" t="s">
        <v>27</v>
      </c>
      <c r="G59" s="133" t="s">
        <v>27</v>
      </c>
      <c r="H59" s="133" t="s">
        <v>27</v>
      </c>
      <c r="I59" s="133" t="s">
        <v>27</v>
      </c>
      <c r="J59" s="133" t="s">
        <v>27</v>
      </c>
      <c r="K59" s="133" t="s">
        <v>27</v>
      </c>
      <c r="L59" s="29" t="b">
        <v>0</v>
      </c>
      <c r="M59" s="30">
        <f>SUM(E59:L59)</f>
        <v>0</v>
      </c>
      <c r="N59" s="31">
        <f>M59-7000</f>
        <v>-7000</v>
      </c>
      <c r="O59" s="32"/>
      <c r="P59" s="33"/>
      <c r="Q59" s="34"/>
      <c r="R59" s="34"/>
    </row>
    <row r="60">
      <c r="A60" s="12"/>
      <c r="B60" s="35"/>
      <c r="C60" s="24" t="s">
        <v>5</v>
      </c>
      <c r="D60" s="36"/>
      <c r="N60" s="36"/>
      <c r="O60" s="38">
        <f>SUM(E60:K60)</f>
        <v>0</v>
      </c>
      <c r="P60" s="33"/>
      <c r="Q60" s="34"/>
      <c r="R60" s="34"/>
    </row>
    <row r="61">
      <c r="A61" s="12"/>
      <c r="B61" s="39"/>
      <c r="C61" s="24" t="s">
        <v>20</v>
      </c>
      <c r="D61" s="40"/>
      <c r="E61" s="41"/>
      <c r="F61" s="41"/>
      <c r="G61" s="41"/>
      <c r="H61" s="41"/>
      <c r="I61" s="41"/>
      <c r="J61" s="41"/>
      <c r="K61" s="41"/>
      <c r="L61" s="41"/>
      <c r="M61" s="41"/>
      <c r="N61" s="40"/>
      <c r="O61" s="43" t="str">
        <f>M59/O60</f>
        <v>#DIV/0!</v>
      </c>
      <c r="P61" s="33"/>
      <c r="Q61" s="34"/>
      <c r="R61" s="34"/>
    </row>
    <row r="62" ht="16.5" customHeight="1">
      <c r="A62" s="12"/>
      <c r="B62" s="23" t="s">
        <v>308</v>
      </c>
      <c r="C62" s="24" t="s">
        <v>16</v>
      </c>
      <c r="D62" s="25" t="s">
        <v>309</v>
      </c>
      <c r="E62" s="133" t="s">
        <v>27</v>
      </c>
      <c r="F62" s="133" t="s">
        <v>27</v>
      </c>
      <c r="G62" s="133" t="s">
        <v>27</v>
      </c>
      <c r="H62" s="133" t="s">
        <v>27</v>
      </c>
      <c r="I62" s="133" t="s">
        <v>27</v>
      </c>
      <c r="J62" s="133" t="s">
        <v>27</v>
      </c>
      <c r="K62" s="133" t="s">
        <v>27</v>
      </c>
      <c r="L62" s="29" t="b">
        <v>0</v>
      </c>
      <c r="M62" s="30">
        <f>SUM(E62:L62)</f>
        <v>0</v>
      </c>
      <c r="N62" s="31">
        <f>M62-7000</f>
        <v>-7000</v>
      </c>
      <c r="O62" s="32"/>
      <c r="P62" s="33"/>
      <c r="Q62" s="34"/>
      <c r="R62" s="34"/>
    </row>
    <row r="63" ht="16.5" customHeight="1">
      <c r="A63" s="12"/>
      <c r="B63" s="35"/>
      <c r="C63" s="24" t="s">
        <v>5</v>
      </c>
      <c r="D63" s="36"/>
      <c r="N63" s="36"/>
      <c r="O63" s="38">
        <f>SUM(E63:K63)</f>
        <v>0</v>
      </c>
      <c r="P63" s="33"/>
      <c r="Q63" s="34"/>
      <c r="R63" s="34"/>
    </row>
    <row r="64" ht="16.5" customHeight="1">
      <c r="A64" s="12"/>
      <c r="B64" s="39"/>
      <c r="C64" s="24" t="s">
        <v>20</v>
      </c>
      <c r="D64" s="40"/>
      <c r="E64" s="41"/>
      <c r="F64" s="41"/>
      <c r="G64" s="41"/>
      <c r="H64" s="41"/>
      <c r="I64" s="41"/>
      <c r="J64" s="41"/>
      <c r="K64" s="41"/>
      <c r="L64" s="41"/>
      <c r="M64" s="41"/>
      <c r="N64" s="40"/>
      <c r="O64" s="43" t="str">
        <f>M62/O63</f>
        <v>#DIV/0!</v>
      </c>
      <c r="P64" s="33"/>
      <c r="Q64" s="34"/>
      <c r="R64" s="34"/>
    </row>
    <row r="65" ht="16.5" customHeight="1">
      <c r="A65" s="12"/>
      <c r="B65" s="23" t="s">
        <v>448</v>
      </c>
      <c r="C65" s="24" t="s">
        <v>16</v>
      </c>
      <c r="D65" s="25" t="s">
        <v>449</v>
      </c>
      <c r="E65" s="98" t="s">
        <v>459</v>
      </c>
      <c r="F65" s="109">
        <v>1150.0</v>
      </c>
      <c r="G65" s="109">
        <v>2500.0</v>
      </c>
      <c r="H65" s="135" t="s">
        <v>18</v>
      </c>
      <c r="I65" s="109">
        <v>4500.0</v>
      </c>
      <c r="J65" s="135" t="s">
        <v>18</v>
      </c>
      <c r="K65" s="135" t="s">
        <v>18</v>
      </c>
      <c r="L65" s="29" t="b">
        <v>0</v>
      </c>
      <c r="M65" s="30">
        <f>SUM(F65:L65)</f>
        <v>8150</v>
      </c>
      <c r="N65" s="31">
        <f>M65-7000</f>
        <v>1150</v>
      </c>
      <c r="O65" s="32"/>
      <c r="P65" s="33"/>
      <c r="Q65" s="34"/>
      <c r="R65" s="34"/>
    </row>
    <row r="66" ht="16.5" customHeight="1">
      <c r="A66" s="12"/>
      <c r="B66" s="35"/>
      <c r="C66" s="24" t="s">
        <v>5</v>
      </c>
      <c r="D66" s="36"/>
      <c r="F66" s="110">
        <f>33+230</f>
        <v>263</v>
      </c>
      <c r="G66" s="110">
        <f>104+811</f>
        <v>915</v>
      </c>
      <c r="I66" s="110">
        <v>1629.0</v>
      </c>
      <c r="N66" s="36"/>
      <c r="O66" s="38">
        <f>SUM(F66:K66)</f>
        <v>2807</v>
      </c>
      <c r="P66" s="33"/>
      <c r="Q66" s="34"/>
      <c r="R66" s="34"/>
    </row>
    <row r="67" ht="16.5" customHeight="1">
      <c r="A67" s="12"/>
      <c r="B67" s="39"/>
      <c r="C67" s="24" t="s">
        <v>20</v>
      </c>
      <c r="D67" s="40"/>
      <c r="E67" s="41"/>
      <c r="F67" s="116" t="s">
        <v>546</v>
      </c>
      <c r="G67" s="116" t="s">
        <v>547</v>
      </c>
      <c r="H67" s="41"/>
      <c r="I67" s="116" t="s">
        <v>548</v>
      </c>
      <c r="J67" s="41"/>
      <c r="K67" s="41"/>
      <c r="L67" s="41"/>
      <c r="M67" s="41"/>
      <c r="N67" s="40"/>
      <c r="O67" s="43">
        <f>M65/O66</f>
        <v>2.903455647</v>
      </c>
      <c r="P67" s="33"/>
      <c r="Q67" s="34"/>
      <c r="R67" s="34"/>
    </row>
    <row r="68" ht="16.5" customHeight="1">
      <c r="A68" s="12"/>
      <c r="B68" s="23" t="s">
        <v>452</v>
      </c>
      <c r="C68" s="24" t="s">
        <v>16</v>
      </c>
      <c r="D68" s="25" t="s">
        <v>504</v>
      </c>
      <c r="E68" s="121" t="s">
        <v>71</v>
      </c>
      <c r="F68" s="121" t="s">
        <v>71</v>
      </c>
      <c r="G68" s="121" t="s">
        <v>71</v>
      </c>
      <c r="H68" s="121" t="s">
        <v>71</v>
      </c>
      <c r="I68" s="121" t="s">
        <v>71</v>
      </c>
      <c r="J68" s="121" t="s">
        <v>71</v>
      </c>
      <c r="K68" s="121" t="s">
        <v>71</v>
      </c>
      <c r="L68" s="29" t="b">
        <v>0</v>
      </c>
      <c r="M68" s="30">
        <f>SUM(F68:L68)</f>
        <v>0</v>
      </c>
      <c r="N68" s="31">
        <f>M68-7000</f>
        <v>-7000</v>
      </c>
      <c r="O68" s="32"/>
      <c r="P68" s="33"/>
      <c r="Q68" s="34"/>
      <c r="R68" s="34"/>
    </row>
    <row r="69" ht="16.5" customHeight="1">
      <c r="A69" s="12"/>
      <c r="B69" s="35"/>
      <c r="C69" s="24" t="s">
        <v>5</v>
      </c>
      <c r="D69" s="36"/>
      <c r="N69" s="36"/>
      <c r="O69" s="38">
        <f>SUM(F69:K69)</f>
        <v>0</v>
      </c>
      <c r="P69" s="33"/>
      <c r="Q69" s="34"/>
      <c r="R69" s="34"/>
    </row>
    <row r="70" ht="16.5" customHeight="1">
      <c r="A70" s="12"/>
      <c r="B70" s="39"/>
      <c r="C70" s="24" t="s">
        <v>20</v>
      </c>
      <c r="D70" s="40"/>
      <c r="E70" s="41"/>
      <c r="F70" s="41"/>
      <c r="G70" s="41"/>
      <c r="H70" s="41"/>
      <c r="I70" s="41"/>
      <c r="J70" s="41"/>
      <c r="K70" s="41"/>
      <c r="L70" s="41"/>
      <c r="M70" s="41"/>
      <c r="N70" s="40"/>
      <c r="O70" s="43" t="str">
        <f>M68/O69</f>
        <v>#DIV/0!</v>
      </c>
      <c r="P70" s="33"/>
      <c r="Q70" s="34"/>
      <c r="R70" s="34"/>
    </row>
    <row r="71" ht="16.5" customHeight="1">
      <c r="A71" s="12"/>
      <c r="B71" s="23" t="s">
        <v>549</v>
      </c>
      <c r="C71" s="24" t="s">
        <v>16</v>
      </c>
      <c r="D71" s="25" t="s">
        <v>550</v>
      </c>
      <c r="E71" s="135" t="s">
        <v>18</v>
      </c>
      <c r="F71" s="109">
        <v>4600.0</v>
      </c>
      <c r="G71" s="135" t="s">
        <v>18</v>
      </c>
      <c r="H71" s="135" t="s">
        <v>18</v>
      </c>
      <c r="I71" s="98" t="s">
        <v>459</v>
      </c>
      <c r="J71" s="98" t="s">
        <v>459</v>
      </c>
      <c r="K71" s="109">
        <v>6000.0</v>
      </c>
      <c r="L71" s="29" t="b">
        <v>0</v>
      </c>
      <c r="M71" s="30">
        <f>SUM(F71:L71)</f>
        <v>10600</v>
      </c>
      <c r="N71" s="31">
        <f>M71-7000</f>
        <v>3600</v>
      </c>
      <c r="O71" s="32"/>
      <c r="P71" s="33"/>
      <c r="Q71" s="34"/>
      <c r="R71" s="34"/>
    </row>
    <row r="72" ht="16.5" customHeight="1">
      <c r="A72" s="12"/>
      <c r="B72" s="35"/>
      <c r="C72" s="24" t="s">
        <v>5</v>
      </c>
      <c r="D72" s="36"/>
      <c r="F72" s="110">
        <v>1099.0</v>
      </c>
      <c r="K72" s="110">
        <v>2315.0</v>
      </c>
      <c r="N72" s="36"/>
      <c r="O72" s="38">
        <f>SUM(F72:K72)</f>
        <v>3414</v>
      </c>
      <c r="P72" s="33"/>
      <c r="Q72" s="34"/>
      <c r="R72" s="34"/>
    </row>
    <row r="73" ht="16.5" customHeight="1">
      <c r="A73" s="12"/>
      <c r="B73" s="39"/>
      <c r="C73" s="24" t="s">
        <v>20</v>
      </c>
      <c r="D73" s="40"/>
      <c r="E73" s="41"/>
      <c r="F73" s="116" t="s">
        <v>551</v>
      </c>
      <c r="G73" s="41"/>
      <c r="H73" s="41"/>
      <c r="I73" s="41"/>
      <c r="J73" s="41"/>
      <c r="K73" s="42" t="s">
        <v>552</v>
      </c>
      <c r="L73" s="41"/>
      <c r="M73" s="41"/>
      <c r="N73" s="40"/>
      <c r="O73" s="43">
        <f>M71/O72</f>
        <v>3.104862332</v>
      </c>
      <c r="P73" s="33"/>
      <c r="Q73" s="34"/>
      <c r="R73" s="34"/>
    </row>
    <row r="74" ht="16.5" customHeight="1">
      <c r="A74" s="12"/>
      <c r="B74" s="23" t="s">
        <v>114</v>
      </c>
      <c r="C74" s="24" t="s">
        <v>16</v>
      </c>
      <c r="D74" s="25" t="s">
        <v>115</v>
      </c>
      <c r="E74" s="112">
        <v>6700.0</v>
      </c>
      <c r="F74" s="135" t="s">
        <v>18</v>
      </c>
      <c r="G74" s="135" t="s">
        <v>18</v>
      </c>
      <c r="H74" s="82" t="s">
        <v>88</v>
      </c>
      <c r="I74" s="135" t="s">
        <v>18</v>
      </c>
      <c r="J74" s="107" t="s">
        <v>553</v>
      </c>
      <c r="K74" s="107" t="s">
        <v>553</v>
      </c>
      <c r="L74" s="29" t="b">
        <v>0</v>
      </c>
      <c r="M74" s="30">
        <f>SUM(E74:L74)</f>
        <v>6700</v>
      </c>
      <c r="N74" s="31">
        <f>M74-7000</f>
        <v>-300</v>
      </c>
      <c r="O74" s="32"/>
      <c r="P74" s="33"/>
      <c r="Q74" s="34"/>
      <c r="R74" s="34"/>
    </row>
    <row r="75">
      <c r="A75" s="12"/>
      <c r="B75" s="35"/>
      <c r="C75" s="24" t="s">
        <v>5</v>
      </c>
      <c r="D75" s="36"/>
      <c r="E75" s="122">
        <f>3052</f>
        <v>3052</v>
      </c>
      <c r="H75" s="35"/>
      <c r="J75" s="35"/>
      <c r="K75" s="35"/>
      <c r="N75" s="36"/>
      <c r="O75" s="38">
        <f>SUM(E75:K75)</f>
        <v>3052</v>
      </c>
      <c r="P75" s="33"/>
      <c r="Q75" s="34"/>
      <c r="R75" s="34"/>
    </row>
    <row r="76">
      <c r="A76" s="12"/>
      <c r="B76" s="39"/>
      <c r="C76" s="24" t="s">
        <v>20</v>
      </c>
      <c r="D76" s="40"/>
      <c r="E76" s="115" t="s">
        <v>554</v>
      </c>
      <c r="F76" s="41"/>
      <c r="G76" s="41"/>
      <c r="H76" s="39"/>
      <c r="I76" s="41"/>
      <c r="J76" s="39"/>
      <c r="K76" s="39"/>
      <c r="L76" s="41"/>
      <c r="M76" s="41"/>
      <c r="N76" s="40"/>
      <c r="O76" s="43">
        <f>M74/O75</f>
        <v>2.195281782</v>
      </c>
      <c r="P76" s="33"/>
      <c r="Q76" s="34"/>
      <c r="R76" s="34"/>
    </row>
    <row r="77" ht="14.25" customHeight="1">
      <c r="A77" s="51"/>
      <c r="B77" s="52"/>
      <c r="C77" s="53"/>
      <c r="D77" s="54">
        <f>counta(D5:D76)</f>
        <v>24</v>
      </c>
      <c r="E77" s="37">
        <f t="shared" ref="E77:K77" si="2">$D$77-(COUNTIF(E5:E76, "TRUCK ISSUE") + COUNTIF(E5:E76, "NEW DRIVER") + COUNTIF(E5:E76, "LEFT") + COUNTIF(E5:E76, "YARD"))</f>
        <v>22</v>
      </c>
      <c r="F77" s="37">
        <f t="shared" si="2"/>
        <v>22</v>
      </c>
      <c r="G77" s="37">
        <f t="shared" si="2"/>
        <v>23</v>
      </c>
      <c r="H77" s="37">
        <f t="shared" si="2"/>
        <v>22</v>
      </c>
      <c r="I77" s="37">
        <f t="shared" si="2"/>
        <v>23</v>
      </c>
      <c r="J77" s="37">
        <f t="shared" si="2"/>
        <v>22</v>
      </c>
      <c r="K77" s="37">
        <f t="shared" si="2"/>
        <v>22</v>
      </c>
      <c r="L77" s="55"/>
      <c r="M77" s="55"/>
      <c r="N77" s="55"/>
      <c r="O77" s="55"/>
      <c r="P77" s="55"/>
      <c r="Q77" s="56"/>
      <c r="R77" s="56"/>
    </row>
    <row r="78" ht="14.25" customHeight="1">
      <c r="A78" s="51"/>
      <c r="B78" s="55"/>
      <c r="C78" s="55"/>
      <c r="D78" s="48"/>
      <c r="E78" s="48"/>
      <c r="F78" s="48"/>
      <c r="G78" s="48"/>
      <c r="H78" s="48"/>
      <c r="I78" s="48"/>
      <c r="J78" s="48"/>
      <c r="K78" s="48"/>
      <c r="L78" s="55"/>
      <c r="M78" s="55"/>
      <c r="N78" s="55"/>
      <c r="O78" s="55"/>
      <c r="P78" s="55"/>
      <c r="Q78" s="56"/>
      <c r="R78" s="56"/>
    </row>
    <row r="79">
      <c r="A79" s="12"/>
      <c r="B79" s="57" t="s">
        <v>120</v>
      </c>
      <c r="C79" s="58"/>
      <c r="D79" s="59" t="s">
        <v>121</v>
      </c>
      <c r="E79" s="60">
        <f t="shared" ref="E79:J79" si="3">SUM(E74,E56,E53,E50,E47,E44,E41,E38,E35,E32,E29,E26,E23,E20,E17,E14,E11,E8,E5,E59,E65,E62,E68,E71)</f>
        <v>21750</v>
      </c>
      <c r="F79" s="60">
        <f t="shared" si="3"/>
        <v>15575</v>
      </c>
      <c r="G79" s="60">
        <f t="shared" si="3"/>
        <v>29000</v>
      </c>
      <c r="H79" s="60">
        <f t="shared" si="3"/>
        <v>17724</v>
      </c>
      <c r="I79" s="60">
        <f t="shared" si="3"/>
        <v>38191</v>
      </c>
      <c r="J79" s="60">
        <f t="shared" si="3"/>
        <v>12350</v>
      </c>
      <c r="K79" s="60">
        <f>SUM(K74,K56,K53,K50,K47,K44,K41,K39,K35,K32,K29,K26,K23,K20,K17,K14,K11,K8,K5,K59,K65,K62,K68,K71)</f>
        <v>9325</v>
      </c>
      <c r="L79" s="61" t="s">
        <v>122</v>
      </c>
      <c r="M79" s="62">
        <f>SUM(E79:L79)</f>
        <v>143915</v>
      </c>
      <c r="N79" s="63"/>
      <c r="O79" s="64" t="s">
        <v>123</v>
      </c>
      <c r="P79" s="65">
        <f>COUNTIF(E5:K76, "No loads")</f>
        <v>0</v>
      </c>
      <c r="Q79" s="66"/>
      <c r="R79" s="66"/>
    </row>
    <row r="80">
      <c r="A80" s="12"/>
      <c r="B80" s="67">
        <f>D77</f>
        <v>24</v>
      </c>
      <c r="C80" s="68"/>
      <c r="D80" s="69" t="s">
        <v>124</v>
      </c>
      <c r="E80" s="70">
        <f t="shared" ref="E80:K80" si="4">E77</f>
        <v>22</v>
      </c>
      <c r="F80" s="70">
        <f t="shared" si="4"/>
        <v>22</v>
      </c>
      <c r="G80" s="70">
        <f t="shared" si="4"/>
        <v>23</v>
      </c>
      <c r="H80" s="70">
        <f t="shared" si="4"/>
        <v>22</v>
      </c>
      <c r="I80" s="70">
        <f t="shared" si="4"/>
        <v>23</v>
      </c>
      <c r="J80" s="70">
        <f t="shared" si="4"/>
        <v>22</v>
      </c>
      <c r="K80" s="70">
        <f t="shared" si="4"/>
        <v>22</v>
      </c>
      <c r="L80" s="71" t="s">
        <v>125</v>
      </c>
      <c r="M80" s="72">
        <f t="shared" ref="M80:M81" si="6">AVERAGE(E80:L80)</f>
        <v>22.28571429</v>
      </c>
      <c r="N80" s="63"/>
      <c r="O80" s="73" t="s">
        <v>27</v>
      </c>
      <c r="P80" s="74">
        <f>COUNTIF(E5:K76, "Home")</f>
        <v>36</v>
      </c>
      <c r="Q80" s="66"/>
      <c r="R80" s="66"/>
    </row>
    <row r="81">
      <c r="A81" s="12"/>
      <c r="B81" s="75"/>
      <c r="C81" s="75"/>
      <c r="D81" s="69" t="s">
        <v>124</v>
      </c>
      <c r="E81" s="76">
        <f t="shared" ref="E81:J81" si="5">$D$77-(COUNTIF(E5:E76, "TRUCK ISSUE") + COUNTIF(E5:E76, "NEW DRIVER") + COUNTIF(E5:E76, "LEFT") + COUNTIF(E5:E76, "YARD")+ COUNTIF(E5:E76, "HOME"))</f>
        <v>16</v>
      </c>
      <c r="F81" s="76">
        <f t="shared" si="5"/>
        <v>17</v>
      </c>
      <c r="G81" s="76">
        <f t="shared" si="5"/>
        <v>18</v>
      </c>
      <c r="H81" s="76">
        <f t="shared" si="5"/>
        <v>17</v>
      </c>
      <c r="I81" s="76">
        <f t="shared" si="5"/>
        <v>17</v>
      </c>
      <c r="J81" s="76">
        <f t="shared" si="5"/>
        <v>18</v>
      </c>
      <c r="K81" s="76">
        <f>$D$77-(COUNTIF(K5:K76, "TRUCK ISSUE") + COUNTIF(K5:K76, "NEW DRIVER") + COUNTIF(K5:K76, "LEFT") + COUNTIF(K5:K76, "YARD")+ COUNTIF(K5:K76, "HOME")+COUNTIF(K5:K76, "REST"))</f>
        <v>14</v>
      </c>
      <c r="L81" s="71" t="s">
        <v>126</v>
      </c>
      <c r="M81" s="72">
        <f t="shared" si="6"/>
        <v>16.71428571</v>
      </c>
      <c r="N81" s="66"/>
      <c r="O81" s="77" t="s">
        <v>62</v>
      </c>
      <c r="P81" s="74">
        <f>COUNTIF(E6:K77, "Rest")</f>
        <v>5</v>
      </c>
      <c r="Q81" s="66"/>
      <c r="R81" s="66"/>
    </row>
    <row r="82" ht="24.75" customHeight="1">
      <c r="A82" s="12"/>
      <c r="B82" s="75"/>
      <c r="C82" s="75"/>
      <c r="D82" s="78" t="s">
        <v>127</v>
      </c>
      <c r="E82" s="79">
        <f t="shared" ref="E82:H82" si="7">SUM(E75,E57,E54,E51,E48,E45,E42,E39,E36,E33,E30,E27,E24,E21,E18,E15,E12,E9, E63, E66, E6,E60,E69,E72)</f>
        <v>8565</v>
      </c>
      <c r="F82" s="79">
        <f t="shared" si="7"/>
        <v>4740</v>
      </c>
      <c r="G82" s="79">
        <f t="shared" si="7"/>
        <v>9237</v>
      </c>
      <c r="H82" s="79">
        <f t="shared" si="7"/>
        <v>6178.5</v>
      </c>
      <c r="I82" s="79">
        <f>SUM(I75,I57,I54,I51,I48,I45,I42,I39,I36,I34,I30,I27,I24,I21,I18,I15,I12,I9, I63, I66, I6,I60,I69,I72)</f>
        <v>11253</v>
      </c>
      <c r="J82" s="79">
        <f>SUM(J75,J57,J54,J51,J48,J45,J42,J39,J36,J33,J30,J27,J24,J21,J18,J15,J12,J9, J63, J66, J6,J60,J69,J72)</f>
        <v>3984</v>
      </c>
      <c r="K82" s="79">
        <f>SUM(K75,K57,K54,K51,K48,K45,K42,K40,K36,K33,K30,K27,K24,K21,K18,K15,K12,K9, K63, K66, K6,K60,K69,K72)</f>
        <v>3039</v>
      </c>
      <c r="L82" s="80" t="s">
        <v>128</v>
      </c>
      <c r="M82" s="81">
        <f>SUM(E82:K82)</f>
        <v>46996.5</v>
      </c>
      <c r="N82" s="66"/>
      <c r="O82" s="82" t="s">
        <v>88</v>
      </c>
      <c r="P82" s="74">
        <f>COUNTIF(E5:K76, "TRUCK ISSUE")</f>
        <v>5</v>
      </c>
      <c r="Q82" s="75"/>
      <c r="R82" s="75"/>
    </row>
    <row r="83">
      <c r="A83" s="12"/>
      <c r="B83" s="75"/>
      <c r="C83" s="75"/>
      <c r="D83" s="78" t="s">
        <v>129</v>
      </c>
      <c r="E83" s="83">
        <f t="shared" ref="E83:K83" si="8">E79/E82</f>
        <v>2.539404553</v>
      </c>
      <c r="F83" s="83">
        <f t="shared" si="8"/>
        <v>3.285864979</v>
      </c>
      <c r="G83" s="83">
        <f t="shared" si="8"/>
        <v>3.139547472</v>
      </c>
      <c r="H83" s="83">
        <f t="shared" si="8"/>
        <v>2.868657441</v>
      </c>
      <c r="I83" s="83">
        <f t="shared" si="8"/>
        <v>3.393850529</v>
      </c>
      <c r="J83" s="83">
        <f t="shared" si="8"/>
        <v>3.099899598</v>
      </c>
      <c r="K83" s="83">
        <f t="shared" si="8"/>
        <v>3.068443567</v>
      </c>
      <c r="L83" s="80" t="s">
        <v>130</v>
      </c>
      <c r="M83" s="84">
        <f>M79/M82</f>
        <v>3.062249316</v>
      </c>
      <c r="N83" s="63"/>
      <c r="O83" s="82" t="s">
        <v>71</v>
      </c>
      <c r="P83" s="74">
        <f>COUNTIF(E5:K76, "YARD")</f>
        <v>7</v>
      </c>
      <c r="Q83" s="66"/>
      <c r="R83" s="66"/>
    </row>
    <row r="84">
      <c r="A84" s="12"/>
      <c r="B84" s="75"/>
      <c r="C84" s="75"/>
      <c r="D84" s="85" t="s">
        <v>131</v>
      </c>
      <c r="E84" s="86">
        <f t="shared" ref="E84:K84" si="9">E79/E80</f>
        <v>988.6363636</v>
      </c>
      <c r="F84" s="86">
        <f t="shared" si="9"/>
        <v>707.9545455</v>
      </c>
      <c r="G84" s="86">
        <f t="shared" si="9"/>
        <v>1260.869565</v>
      </c>
      <c r="H84" s="86">
        <f t="shared" si="9"/>
        <v>805.6363636</v>
      </c>
      <c r="I84" s="86">
        <f t="shared" si="9"/>
        <v>1660.478261</v>
      </c>
      <c r="J84" s="86">
        <f t="shared" si="9"/>
        <v>561.3636364</v>
      </c>
      <c r="K84" s="86">
        <f t="shared" si="9"/>
        <v>423.8636364</v>
      </c>
      <c r="L84" s="80" t="s">
        <v>132</v>
      </c>
      <c r="M84" s="84">
        <f>M79/M80</f>
        <v>6457.724359</v>
      </c>
      <c r="N84" s="63"/>
      <c r="O84" s="87" t="s">
        <v>133</v>
      </c>
      <c r="P84" s="88">
        <f>COUNTIF(E5:K76, "MISSED APPT")+COUNTIF(E5:K76, "CANCELLED")</f>
        <v>2</v>
      </c>
      <c r="Q84" s="48"/>
      <c r="R84" s="48"/>
    </row>
    <row r="85">
      <c r="A85" s="12"/>
      <c r="B85" s="66"/>
      <c r="C85" s="66"/>
      <c r="D85" s="66"/>
      <c r="E85" s="66"/>
      <c r="F85" s="66"/>
      <c r="G85" s="66"/>
      <c r="H85" s="66"/>
      <c r="I85" s="66"/>
      <c r="J85" s="54" t="s">
        <v>555</v>
      </c>
      <c r="K85" s="89"/>
      <c r="L85" s="90" t="s">
        <v>134</v>
      </c>
      <c r="M85" s="91">
        <f>M79/M81</f>
        <v>8610.299145</v>
      </c>
      <c r="N85" s="92"/>
      <c r="O85" s="92"/>
      <c r="P85" s="92"/>
      <c r="Q85" s="48"/>
      <c r="R85" s="48"/>
    </row>
    <row r="86">
      <c r="A86" s="93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>
        <f>SUM(M5:M76)</f>
        <v>143915</v>
      </c>
      <c r="N86" s="66"/>
      <c r="O86" s="63"/>
      <c r="P86" s="92"/>
      <c r="Q86" s="22"/>
      <c r="R86" s="22"/>
    </row>
    <row r="87">
      <c r="A87" s="93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19"/>
      <c r="P87" s="22"/>
      <c r="Q87" s="22"/>
      <c r="R87" s="22"/>
    </row>
    <row r="88">
      <c r="A88" s="93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19"/>
      <c r="P88" s="22"/>
      <c r="Q88" s="22"/>
      <c r="R88" s="22"/>
    </row>
    <row r="89" hidden="1">
      <c r="A89" s="93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19"/>
      <c r="P89" s="22"/>
      <c r="Q89" s="22"/>
      <c r="R89" s="22"/>
    </row>
    <row r="90" hidden="1">
      <c r="A90" s="93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19"/>
      <c r="P90" s="22"/>
      <c r="Q90" s="22"/>
      <c r="R90" s="22"/>
    </row>
    <row r="91" hidden="1">
      <c r="A91" s="93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19"/>
      <c r="P91" s="22"/>
      <c r="Q91" s="22"/>
      <c r="R91" s="22"/>
    </row>
    <row r="92" hidden="1">
      <c r="A92" s="93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19"/>
      <c r="P92" s="22"/>
      <c r="Q92" s="22"/>
      <c r="R92" s="22"/>
    </row>
    <row r="93" hidden="1">
      <c r="A93" s="93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19"/>
      <c r="P93" s="22"/>
      <c r="Q93" s="22"/>
      <c r="R93" s="22"/>
    </row>
    <row r="94" hidden="1">
      <c r="A94" s="93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19"/>
      <c r="P94" s="22"/>
      <c r="Q94" s="22"/>
      <c r="R94" s="22"/>
    </row>
    <row r="95" hidden="1">
      <c r="A95" s="93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19"/>
      <c r="P95" s="22"/>
      <c r="Q95" s="22"/>
      <c r="R95" s="22"/>
    </row>
    <row r="96" hidden="1">
      <c r="A96" s="93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19"/>
      <c r="P96" s="22"/>
      <c r="Q96" s="22"/>
      <c r="R96" s="22"/>
    </row>
    <row r="97" hidden="1">
      <c r="A97" s="93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19"/>
      <c r="P97" s="22"/>
      <c r="Q97" s="22"/>
      <c r="R97" s="22"/>
    </row>
    <row r="98" hidden="1">
      <c r="A98" s="93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19"/>
      <c r="P98" s="22"/>
      <c r="Q98" s="22"/>
      <c r="R98" s="22"/>
    </row>
    <row r="99" hidden="1">
      <c r="A99" s="93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19"/>
      <c r="P99" s="22"/>
      <c r="Q99" s="22"/>
      <c r="R99" s="22"/>
    </row>
    <row r="100" hidden="1">
      <c r="A100" s="93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19"/>
      <c r="P100" s="22"/>
      <c r="Q100" s="22"/>
      <c r="R100" s="22"/>
    </row>
    <row r="101" hidden="1">
      <c r="A101" s="93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19"/>
      <c r="P101" s="22"/>
      <c r="Q101" s="22"/>
      <c r="R101" s="22"/>
    </row>
    <row r="102" hidden="1">
      <c r="A102" s="93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19"/>
      <c r="P102" s="22"/>
      <c r="Q102" s="22"/>
      <c r="R102" s="22"/>
    </row>
    <row r="103" hidden="1">
      <c r="A103" s="93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19"/>
      <c r="P103" s="22"/>
      <c r="Q103" s="22"/>
      <c r="R103" s="22"/>
    </row>
    <row r="104" hidden="1">
      <c r="A104" s="93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19"/>
      <c r="P104" s="22"/>
      <c r="Q104" s="22"/>
      <c r="R104" s="22"/>
    </row>
    <row r="105" hidden="1">
      <c r="A105" s="93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19"/>
      <c r="P105" s="22"/>
      <c r="Q105" s="22"/>
      <c r="R105" s="22"/>
    </row>
    <row r="106" hidden="1">
      <c r="A106" s="93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19"/>
      <c r="P106" s="22"/>
      <c r="Q106" s="22"/>
      <c r="R106" s="22"/>
    </row>
    <row r="107" hidden="1">
      <c r="A107" s="93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19"/>
      <c r="P107" s="22"/>
      <c r="Q107" s="22"/>
      <c r="R107" s="22"/>
    </row>
    <row r="108" hidden="1">
      <c r="A108" s="93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19"/>
      <c r="P108" s="22"/>
      <c r="Q108" s="22"/>
      <c r="R108" s="22"/>
    </row>
    <row r="109" hidden="1">
      <c r="A109" s="93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19"/>
      <c r="P109" s="22"/>
      <c r="Q109" s="22"/>
      <c r="R109" s="22"/>
    </row>
    <row r="110" hidden="1">
      <c r="A110" s="93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19"/>
      <c r="P110" s="22"/>
      <c r="Q110" s="22"/>
      <c r="R110" s="22"/>
    </row>
    <row r="111" hidden="1">
      <c r="A111" s="93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19"/>
      <c r="P111" s="22"/>
      <c r="Q111" s="22"/>
      <c r="R111" s="22"/>
    </row>
    <row r="112" hidden="1">
      <c r="A112" s="93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19"/>
      <c r="P112" s="22"/>
      <c r="Q112" s="22"/>
      <c r="R112" s="22"/>
    </row>
    <row r="113" hidden="1">
      <c r="A113" s="93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19"/>
      <c r="P113" s="22"/>
      <c r="Q113" s="22"/>
      <c r="R113" s="22"/>
    </row>
    <row r="114" hidden="1">
      <c r="A114" s="93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19"/>
      <c r="P114" s="22"/>
      <c r="Q114" s="22"/>
      <c r="R114" s="22"/>
    </row>
    <row r="115" hidden="1">
      <c r="A115" s="93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19"/>
      <c r="P115" s="22"/>
      <c r="Q115" s="22"/>
      <c r="R115" s="22"/>
    </row>
    <row r="116" hidden="1">
      <c r="A116" s="93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19"/>
      <c r="P116" s="22"/>
      <c r="Q116" s="22"/>
      <c r="R116" s="22"/>
    </row>
    <row r="117" hidden="1">
      <c r="A117" s="93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19"/>
      <c r="P117" s="22"/>
      <c r="Q117" s="22"/>
      <c r="R117" s="22"/>
    </row>
    <row r="118" hidden="1">
      <c r="A118" s="93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19"/>
      <c r="P118" s="22"/>
      <c r="Q118" s="22"/>
      <c r="R118" s="22"/>
    </row>
    <row r="119" hidden="1">
      <c r="A119" s="93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19"/>
      <c r="P119" s="22"/>
      <c r="Q119" s="22"/>
      <c r="R119" s="22"/>
    </row>
    <row r="120" hidden="1">
      <c r="A120" s="93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19"/>
      <c r="P120" s="22"/>
      <c r="Q120" s="22"/>
      <c r="R120" s="22"/>
    </row>
    <row r="121" hidden="1">
      <c r="A121" s="93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19"/>
      <c r="P121" s="22"/>
      <c r="Q121" s="22"/>
      <c r="R121" s="22"/>
    </row>
    <row r="122" hidden="1">
      <c r="A122" s="93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19"/>
      <c r="P122" s="22"/>
      <c r="Q122" s="22"/>
      <c r="R122" s="22"/>
    </row>
    <row r="123" hidden="1">
      <c r="A123" s="93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19"/>
      <c r="P123" s="22"/>
      <c r="Q123" s="22"/>
      <c r="R123" s="22"/>
    </row>
    <row r="124" hidden="1">
      <c r="A124" s="93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19"/>
      <c r="P124" s="22"/>
      <c r="Q124" s="22"/>
      <c r="R124" s="22"/>
    </row>
    <row r="125" hidden="1">
      <c r="A125" s="93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19"/>
      <c r="P125" s="22"/>
      <c r="Q125" s="22"/>
      <c r="R125" s="22"/>
    </row>
    <row r="126" hidden="1">
      <c r="A126" s="93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19"/>
      <c r="P126" s="22"/>
      <c r="Q126" s="22"/>
      <c r="R126" s="22"/>
    </row>
    <row r="127" hidden="1">
      <c r="A127" s="93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19"/>
      <c r="P127" s="22"/>
      <c r="Q127" s="22"/>
      <c r="R127" s="22"/>
    </row>
    <row r="128" hidden="1">
      <c r="A128" s="93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19"/>
      <c r="P128" s="22"/>
      <c r="Q128" s="22"/>
      <c r="R128" s="22"/>
    </row>
    <row r="129" hidden="1">
      <c r="A129" s="93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19"/>
      <c r="P129" s="22"/>
      <c r="Q129" s="22"/>
      <c r="R129" s="22"/>
    </row>
    <row r="130" hidden="1">
      <c r="A130" s="93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19"/>
      <c r="P130" s="22"/>
      <c r="Q130" s="22"/>
      <c r="R130" s="22"/>
    </row>
    <row r="131" hidden="1">
      <c r="A131" s="93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19"/>
      <c r="P131" s="22"/>
      <c r="Q131" s="22"/>
      <c r="R131" s="22"/>
    </row>
    <row r="132" hidden="1">
      <c r="A132" s="93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19"/>
      <c r="P132" s="22"/>
      <c r="Q132" s="22"/>
      <c r="R132" s="22"/>
    </row>
    <row r="133" hidden="1">
      <c r="A133" s="93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19"/>
      <c r="P133" s="22"/>
      <c r="Q133" s="22"/>
      <c r="R133" s="22"/>
    </row>
    <row r="134" hidden="1">
      <c r="A134" s="93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19"/>
      <c r="P134" s="22"/>
      <c r="Q134" s="22"/>
      <c r="R134" s="22"/>
    </row>
    <row r="135" hidden="1">
      <c r="A135" s="93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19"/>
      <c r="P135" s="22"/>
      <c r="Q135" s="22"/>
      <c r="R135" s="22"/>
    </row>
    <row r="136" hidden="1">
      <c r="A136" s="93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19"/>
      <c r="P136" s="22"/>
      <c r="Q136" s="22"/>
      <c r="R136" s="22"/>
    </row>
    <row r="137" hidden="1">
      <c r="A137" s="93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19"/>
      <c r="P137" s="22"/>
      <c r="Q137" s="22"/>
      <c r="R137" s="22"/>
    </row>
    <row r="138" hidden="1">
      <c r="A138" s="93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19"/>
      <c r="P138" s="22"/>
      <c r="Q138" s="22"/>
      <c r="R138" s="22"/>
    </row>
    <row r="139" hidden="1">
      <c r="A139" s="93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19"/>
      <c r="P139" s="22"/>
      <c r="Q139" s="22"/>
      <c r="R139" s="22"/>
    </row>
    <row r="140" hidden="1">
      <c r="A140" s="93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19"/>
      <c r="P140" s="22"/>
      <c r="Q140" s="22"/>
      <c r="R140" s="22"/>
    </row>
    <row r="141" hidden="1">
      <c r="A141" s="93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19"/>
      <c r="P141" s="22"/>
      <c r="Q141" s="22"/>
      <c r="R141" s="22"/>
    </row>
    <row r="142" hidden="1">
      <c r="A142" s="93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19"/>
      <c r="P142" s="22"/>
      <c r="Q142" s="22"/>
      <c r="R142" s="22"/>
    </row>
    <row r="143" hidden="1">
      <c r="A143" s="93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19"/>
      <c r="P143" s="22"/>
      <c r="Q143" s="22"/>
      <c r="R143" s="22"/>
    </row>
    <row r="144" hidden="1">
      <c r="A144" s="93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19"/>
      <c r="P144" s="22"/>
      <c r="Q144" s="22"/>
      <c r="R144" s="22"/>
    </row>
    <row r="145" hidden="1">
      <c r="A145" s="93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19"/>
      <c r="P145" s="22"/>
      <c r="Q145" s="22"/>
      <c r="R145" s="22"/>
    </row>
    <row r="146" hidden="1">
      <c r="A146" s="93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19"/>
      <c r="P146" s="22"/>
      <c r="Q146" s="22"/>
      <c r="R146" s="22"/>
    </row>
    <row r="147" hidden="1">
      <c r="A147" s="93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19"/>
      <c r="P147" s="22"/>
      <c r="Q147" s="22"/>
      <c r="R147" s="22"/>
    </row>
    <row r="148" hidden="1">
      <c r="A148" s="93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19"/>
      <c r="P148" s="22"/>
      <c r="Q148" s="22"/>
      <c r="R148" s="22"/>
    </row>
    <row r="149" hidden="1">
      <c r="A149" s="93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19"/>
      <c r="P149" s="22"/>
      <c r="Q149" s="22"/>
      <c r="R149" s="22"/>
    </row>
    <row r="150" hidden="1">
      <c r="A150" s="93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19"/>
      <c r="P150" s="22"/>
      <c r="Q150" s="22"/>
      <c r="R150" s="22"/>
    </row>
    <row r="151" hidden="1">
      <c r="A151" s="93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19"/>
      <c r="P151" s="22"/>
      <c r="Q151" s="22"/>
      <c r="R151" s="22"/>
    </row>
    <row r="152" hidden="1">
      <c r="A152" s="93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19"/>
      <c r="P152" s="22"/>
      <c r="Q152" s="22"/>
      <c r="R152" s="22"/>
    </row>
    <row r="153" hidden="1">
      <c r="A153" s="93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19"/>
      <c r="P153" s="22"/>
      <c r="Q153" s="22"/>
      <c r="R153" s="22"/>
    </row>
    <row r="154" hidden="1">
      <c r="A154" s="93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19"/>
      <c r="P154" s="22"/>
      <c r="Q154" s="22"/>
      <c r="R154" s="22"/>
    </row>
    <row r="155" hidden="1">
      <c r="A155" s="93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19"/>
      <c r="P155" s="22"/>
      <c r="Q155" s="22"/>
      <c r="R155" s="22"/>
    </row>
    <row r="156" hidden="1">
      <c r="A156" s="93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19"/>
      <c r="P156" s="22"/>
      <c r="Q156" s="22"/>
      <c r="R156" s="22"/>
    </row>
    <row r="157" hidden="1">
      <c r="A157" s="93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19"/>
      <c r="P157" s="22"/>
      <c r="Q157" s="22"/>
      <c r="R157" s="22"/>
    </row>
    <row r="158" hidden="1">
      <c r="A158" s="93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19"/>
      <c r="P158" s="22"/>
      <c r="Q158" s="22"/>
      <c r="R158" s="22"/>
    </row>
    <row r="159" hidden="1">
      <c r="A159" s="93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19"/>
      <c r="P159" s="22"/>
      <c r="Q159" s="22"/>
      <c r="R159" s="22"/>
    </row>
    <row r="160" hidden="1">
      <c r="A160" s="93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19"/>
      <c r="P160" s="22"/>
      <c r="Q160" s="22"/>
      <c r="R160" s="22"/>
    </row>
    <row r="161" hidden="1">
      <c r="A161" s="93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19"/>
      <c r="P161" s="22"/>
      <c r="Q161" s="22"/>
      <c r="R161" s="22"/>
    </row>
    <row r="162" hidden="1">
      <c r="A162" s="93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19"/>
      <c r="P162" s="22"/>
      <c r="Q162" s="22"/>
      <c r="R162" s="22"/>
    </row>
    <row r="163" hidden="1">
      <c r="A163" s="93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19"/>
      <c r="P163" s="22"/>
      <c r="Q163" s="22"/>
      <c r="R163" s="22"/>
    </row>
    <row r="164" hidden="1">
      <c r="A164" s="93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19"/>
      <c r="P164" s="22"/>
      <c r="Q164" s="22"/>
      <c r="R164" s="22"/>
    </row>
    <row r="165" hidden="1">
      <c r="A165" s="93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19"/>
      <c r="P165" s="22"/>
      <c r="Q165" s="22"/>
      <c r="R165" s="22"/>
    </row>
    <row r="166" hidden="1">
      <c r="A166" s="93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19"/>
      <c r="P166" s="22"/>
      <c r="Q166" s="22"/>
      <c r="R166" s="22"/>
    </row>
    <row r="167" hidden="1">
      <c r="A167" s="93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19"/>
      <c r="P167" s="22"/>
      <c r="Q167" s="22"/>
      <c r="R167" s="22"/>
    </row>
    <row r="168" hidden="1">
      <c r="A168" s="93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19"/>
      <c r="P168" s="22"/>
      <c r="Q168" s="22"/>
      <c r="R168" s="22"/>
    </row>
    <row r="169" hidden="1">
      <c r="A169" s="93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19"/>
      <c r="P169" s="22"/>
      <c r="Q169" s="22"/>
      <c r="R169" s="22"/>
    </row>
    <row r="170" hidden="1">
      <c r="A170" s="93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19"/>
      <c r="P170" s="22"/>
      <c r="Q170" s="22"/>
      <c r="R170" s="22"/>
    </row>
    <row r="171" hidden="1">
      <c r="A171" s="93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19"/>
      <c r="P171" s="22"/>
      <c r="Q171" s="22"/>
      <c r="R171" s="22"/>
    </row>
    <row r="172" hidden="1">
      <c r="A172" s="93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19"/>
      <c r="P172" s="22"/>
      <c r="Q172" s="22"/>
      <c r="R172" s="22"/>
    </row>
    <row r="173" hidden="1">
      <c r="A173" s="93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19"/>
      <c r="P173" s="22"/>
      <c r="Q173" s="22"/>
      <c r="R173" s="22"/>
    </row>
    <row r="174" hidden="1">
      <c r="A174" s="93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19"/>
      <c r="P174" s="22"/>
      <c r="Q174" s="22"/>
      <c r="R174" s="22"/>
    </row>
    <row r="175" hidden="1">
      <c r="A175" s="93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19"/>
      <c r="P175" s="22"/>
      <c r="Q175" s="22"/>
      <c r="R175" s="22"/>
    </row>
    <row r="176" hidden="1">
      <c r="A176" s="93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19"/>
      <c r="P176" s="22"/>
      <c r="Q176" s="22"/>
      <c r="R176" s="22"/>
    </row>
    <row r="177" hidden="1">
      <c r="A177" s="93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19"/>
      <c r="P177" s="22"/>
      <c r="Q177" s="22"/>
      <c r="R177" s="22"/>
    </row>
    <row r="178" hidden="1">
      <c r="A178" s="93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19"/>
      <c r="P178" s="22"/>
      <c r="Q178" s="22"/>
      <c r="R178" s="22"/>
    </row>
    <row r="179" hidden="1">
      <c r="A179" s="93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19"/>
      <c r="P179" s="22"/>
      <c r="Q179" s="22"/>
      <c r="R179" s="22"/>
    </row>
    <row r="180" hidden="1">
      <c r="A180" s="93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19"/>
      <c r="P180" s="22"/>
      <c r="Q180" s="22"/>
      <c r="R180" s="22"/>
    </row>
    <row r="181" hidden="1">
      <c r="A181" s="93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19"/>
      <c r="P181" s="22"/>
      <c r="Q181" s="22"/>
      <c r="R181" s="22"/>
    </row>
    <row r="182" hidden="1">
      <c r="A182" s="93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19"/>
      <c r="P182" s="22"/>
      <c r="Q182" s="22"/>
      <c r="R182" s="22"/>
    </row>
    <row r="183" hidden="1">
      <c r="A183" s="93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19"/>
      <c r="P183" s="22"/>
      <c r="Q183" s="22"/>
      <c r="R183" s="22"/>
    </row>
    <row r="184" hidden="1">
      <c r="A184" s="93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19"/>
      <c r="P184" s="22"/>
      <c r="Q184" s="22"/>
      <c r="R184" s="22"/>
    </row>
    <row r="185" hidden="1">
      <c r="A185" s="93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19"/>
      <c r="P185" s="22"/>
      <c r="Q185" s="22"/>
      <c r="R185" s="22"/>
    </row>
    <row r="186" hidden="1">
      <c r="A186" s="93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19"/>
      <c r="P186" s="22"/>
      <c r="Q186" s="22"/>
      <c r="R186" s="22"/>
    </row>
    <row r="187" hidden="1">
      <c r="A187" s="93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19"/>
      <c r="P187" s="22"/>
      <c r="Q187" s="22"/>
      <c r="R187" s="22"/>
    </row>
    <row r="188" hidden="1">
      <c r="A188" s="93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19"/>
      <c r="P188" s="22"/>
      <c r="Q188" s="22"/>
      <c r="R188" s="22"/>
    </row>
    <row r="189" hidden="1">
      <c r="A189" s="93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19"/>
      <c r="P189" s="22"/>
      <c r="Q189" s="22"/>
      <c r="R189" s="22"/>
    </row>
    <row r="190" hidden="1">
      <c r="A190" s="93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19"/>
      <c r="P190" s="22"/>
      <c r="Q190" s="22"/>
      <c r="R190" s="22"/>
    </row>
    <row r="191" hidden="1">
      <c r="A191" s="93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19"/>
      <c r="P191" s="22"/>
      <c r="Q191" s="22"/>
      <c r="R191" s="22"/>
    </row>
    <row r="192" hidden="1">
      <c r="A192" s="93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19"/>
      <c r="P192" s="22"/>
      <c r="Q192" s="22"/>
      <c r="R192" s="22"/>
    </row>
    <row r="193" hidden="1">
      <c r="A193" s="93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19"/>
      <c r="P193" s="22"/>
      <c r="Q193" s="22"/>
      <c r="R193" s="22"/>
    </row>
    <row r="194" hidden="1">
      <c r="A194" s="93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19"/>
      <c r="P194" s="22"/>
      <c r="Q194" s="22"/>
      <c r="R194" s="22"/>
    </row>
    <row r="195" hidden="1">
      <c r="A195" s="93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19"/>
      <c r="P195" s="22"/>
      <c r="Q195" s="22"/>
      <c r="R195" s="22"/>
    </row>
    <row r="196" hidden="1">
      <c r="A196" s="93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19"/>
      <c r="P196" s="22"/>
      <c r="Q196" s="22"/>
      <c r="R196" s="22"/>
    </row>
    <row r="197" hidden="1">
      <c r="A197" s="93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19"/>
      <c r="P197" s="22"/>
      <c r="Q197" s="22"/>
      <c r="R197" s="22"/>
    </row>
    <row r="198" hidden="1">
      <c r="A198" s="93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19"/>
      <c r="P198" s="22"/>
      <c r="Q198" s="22"/>
      <c r="R198" s="22"/>
    </row>
    <row r="199" hidden="1">
      <c r="A199" s="93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19"/>
      <c r="P199" s="22"/>
      <c r="Q199" s="22"/>
      <c r="R199" s="22"/>
    </row>
    <row r="200" hidden="1">
      <c r="A200" s="93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19"/>
      <c r="P200" s="22"/>
      <c r="Q200" s="22"/>
      <c r="R200" s="22"/>
    </row>
    <row r="201" hidden="1">
      <c r="A201" s="93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19"/>
      <c r="P201" s="22"/>
      <c r="Q201" s="22"/>
      <c r="R201" s="22"/>
    </row>
    <row r="202" hidden="1">
      <c r="A202" s="93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19"/>
      <c r="P202" s="22"/>
      <c r="Q202" s="22"/>
      <c r="R202" s="22"/>
    </row>
    <row r="203" hidden="1">
      <c r="A203" s="93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19"/>
      <c r="P203" s="22"/>
      <c r="Q203" s="22"/>
      <c r="R203" s="22"/>
    </row>
    <row r="204" hidden="1">
      <c r="A204" s="93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19"/>
      <c r="P204" s="22"/>
      <c r="Q204" s="22"/>
      <c r="R204" s="22"/>
    </row>
    <row r="205" hidden="1">
      <c r="A205" s="93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19"/>
      <c r="P205" s="22"/>
      <c r="Q205" s="22"/>
      <c r="R205" s="22"/>
    </row>
    <row r="206" hidden="1">
      <c r="A206" s="93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19"/>
      <c r="P206" s="22"/>
      <c r="Q206" s="22"/>
      <c r="R206" s="22"/>
    </row>
    <row r="207" hidden="1">
      <c r="A207" s="93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19"/>
      <c r="P207" s="22"/>
      <c r="Q207" s="22"/>
      <c r="R207" s="22"/>
    </row>
    <row r="208" hidden="1">
      <c r="A208" s="93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19"/>
      <c r="P208" s="22"/>
      <c r="Q208" s="22"/>
      <c r="R208" s="22"/>
    </row>
    <row r="209" hidden="1">
      <c r="A209" s="93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19"/>
      <c r="P209" s="22"/>
      <c r="Q209" s="22"/>
      <c r="R209" s="22"/>
    </row>
    <row r="210" hidden="1">
      <c r="A210" s="93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19"/>
      <c r="P210" s="22"/>
      <c r="Q210" s="22"/>
      <c r="R210" s="22"/>
    </row>
    <row r="211" hidden="1">
      <c r="A211" s="93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19"/>
      <c r="P211" s="22"/>
      <c r="Q211" s="22"/>
      <c r="R211" s="22"/>
    </row>
    <row r="212" hidden="1">
      <c r="A212" s="93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19"/>
      <c r="P212" s="22"/>
      <c r="Q212" s="22"/>
      <c r="R212" s="22"/>
    </row>
    <row r="213" hidden="1">
      <c r="A213" s="93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19"/>
      <c r="P213" s="22"/>
      <c r="Q213" s="22"/>
      <c r="R213" s="22"/>
    </row>
    <row r="214" hidden="1">
      <c r="A214" s="93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19"/>
      <c r="P214" s="22"/>
      <c r="Q214" s="22"/>
      <c r="R214" s="22"/>
    </row>
    <row r="215" hidden="1">
      <c r="A215" s="93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19"/>
      <c r="P215" s="22"/>
      <c r="Q215" s="22"/>
      <c r="R215" s="22"/>
    </row>
    <row r="216" hidden="1">
      <c r="A216" s="93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19"/>
      <c r="P216" s="22"/>
      <c r="Q216" s="22"/>
      <c r="R216" s="22"/>
    </row>
    <row r="217" hidden="1">
      <c r="A217" s="93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19"/>
      <c r="P217" s="22"/>
      <c r="Q217" s="22"/>
      <c r="R217" s="22"/>
    </row>
    <row r="218" hidden="1">
      <c r="A218" s="93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19"/>
      <c r="P218" s="22"/>
      <c r="Q218" s="22"/>
      <c r="R218" s="22"/>
    </row>
    <row r="219" hidden="1">
      <c r="A219" s="93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19"/>
      <c r="P219" s="22"/>
      <c r="Q219" s="22"/>
      <c r="R219" s="22"/>
    </row>
    <row r="220" hidden="1">
      <c r="A220" s="93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19"/>
      <c r="P220" s="22"/>
      <c r="Q220" s="22"/>
      <c r="R220" s="22"/>
    </row>
    <row r="221" hidden="1">
      <c r="A221" s="93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19"/>
      <c r="P221" s="22"/>
      <c r="Q221" s="22"/>
      <c r="R221" s="22"/>
    </row>
    <row r="222" hidden="1">
      <c r="A222" s="93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19"/>
      <c r="P222" s="22"/>
      <c r="Q222" s="22"/>
      <c r="R222" s="22"/>
    </row>
    <row r="223" hidden="1">
      <c r="A223" s="93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19"/>
      <c r="P223" s="22"/>
      <c r="Q223" s="22"/>
      <c r="R223" s="22"/>
    </row>
    <row r="224" hidden="1">
      <c r="A224" s="93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19"/>
      <c r="P224" s="22"/>
      <c r="Q224" s="22"/>
      <c r="R224" s="22"/>
    </row>
    <row r="225" hidden="1">
      <c r="A225" s="93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19"/>
      <c r="P225" s="22"/>
      <c r="Q225" s="22"/>
      <c r="R225" s="22"/>
    </row>
    <row r="226" hidden="1">
      <c r="A226" s="93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19"/>
      <c r="P226" s="22"/>
      <c r="Q226" s="22"/>
      <c r="R226" s="22"/>
    </row>
    <row r="227" hidden="1">
      <c r="A227" s="93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19"/>
      <c r="P227" s="22"/>
      <c r="Q227" s="22"/>
      <c r="R227" s="22"/>
    </row>
    <row r="228" hidden="1">
      <c r="A228" s="93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19"/>
      <c r="P228" s="22"/>
      <c r="Q228" s="22"/>
      <c r="R228" s="22"/>
    </row>
    <row r="229" hidden="1">
      <c r="A229" s="93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19"/>
      <c r="P229" s="22"/>
      <c r="Q229" s="22"/>
      <c r="R229" s="22"/>
    </row>
    <row r="230" hidden="1">
      <c r="A230" s="93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19"/>
      <c r="P230" s="22"/>
      <c r="Q230" s="22"/>
      <c r="R230" s="22"/>
    </row>
    <row r="231" hidden="1">
      <c r="A231" s="93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19"/>
      <c r="P231" s="22"/>
      <c r="Q231" s="22"/>
      <c r="R231" s="22"/>
    </row>
    <row r="232" hidden="1">
      <c r="A232" s="93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19"/>
      <c r="P232" s="22"/>
      <c r="Q232" s="22"/>
      <c r="R232" s="22"/>
    </row>
    <row r="233" hidden="1">
      <c r="A233" s="93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19"/>
      <c r="P233" s="22"/>
      <c r="Q233" s="22"/>
      <c r="R233" s="22"/>
    </row>
    <row r="234" hidden="1">
      <c r="A234" s="93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19"/>
      <c r="P234" s="22"/>
      <c r="Q234" s="22"/>
      <c r="R234" s="22"/>
    </row>
    <row r="235" hidden="1">
      <c r="A235" s="93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19"/>
      <c r="P235" s="22"/>
      <c r="Q235" s="22"/>
      <c r="R235" s="22"/>
    </row>
    <row r="236" hidden="1">
      <c r="A236" s="93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19"/>
      <c r="P236" s="22"/>
      <c r="Q236" s="22"/>
      <c r="R236" s="22"/>
    </row>
    <row r="237" hidden="1">
      <c r="A237" s="93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19"/>
      <c r="P237" s="22"/>
      <c r="Q237" s="22"/>
      <c r="R237" s="22"/>
    </row>
    <row r="238" hidden="1">
      <c r="A238" s="93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19"/>
      <c r="P238" s="22"/>
      <c r="Q238" s="22"/>
      <c r="R238" s="22"/>
    </row>
    <row r="239" hidden="1">
      <c r="A239" s="93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19"/>
      <c r="P239" s="22"/>
      <c r="Q239" s="22"/>
      <c r="R239" s="22"/>
    </row>
    <row r="240" hidden="1">
      <c r="A240" s="93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19"/>
      <c r="P240" s="22"/>
      <c r="Q240" s="22"/>
      <c r="R240" s="22"/>
    </row>
    <row r="241" hidden="1">
      <c r="A241" s="93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19"/>
      <c r="P241" s="22"/>
      <c r="Q241" s="22"/>
      <c r="R241" s="22"/>
    </row>
    <row r="242" hidden="1">
      <c r="A242" s="93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19"/>
      <c r="P242" s="22"/>
      <c r="Q242" s="22"/>
      <c r="R242" s="22"/>
    </row>
    <row r="243" hidden="1">
      <c r="A243" s="93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19"/>
      <c r="P243" s="22"/>
      <c r="Q243" s="22"/>
      <c r="R243" s="22"/>
    </row>
    <row r="244" hidden="1">
      <c r="A244" s="93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19"/>
      <c r="P244" s="22"/>
      <c r="Q244" s="22"/>
      <c r="R244" s="22"/>
    </row>
    <row r="245" hidden="1">
      <c r="A245" s="93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19"/>
      <c r="P245" s="22"/>
      <c r="Q245" s="22"/>
      <c r="R245" s="22"/>
    </row>
    <row r="246" hidden="1">
      <c r="A246" s="93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19"/>
      <c r="P246" s="22"/>
      <c r="Q246" s="22"/>
      <c r="R246" s="22"/>
    </row>
    <row r="247" hidden="1">
      <c r="A247" s="93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19"/>
      <c r="P247" s="22"/>
      <c r="Q247" s="22"/>
      <c r="R247" s="22"/>
    </row>
    <row r="248" hidden="1">
      <c r="A248" s="93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19"/>
      <c r="P248" s="22"/>
      <c r="Q248" s="22"/>
      <c r="R248" s="22"/>
    </row>
    <row r="249" hidden="1">
      <c r="A249" s="93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19"/>
      <c r="P249" s="22"/>
      <c r="Q249" s="22"/>
      <c r="R249" s="22"/>
    </row>
    <row r="250" hidden="1">
      <c r="A250" s="93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19"/>
      <c r="P250" s="22"/>
      <c r="Q250" s="22"/>
      <c r="R250" s="22"/>
    </row>
    <row r="251" hidden="1">
      <c r="A251" s="93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19"/>
      <c r="P251" s="22"/>
      <c r="Q251" s="22"/>
      <c r="R251" s="22"/>
    </row>
    <row r="252" hidden="1">
      <c r="A252" s="93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19"/>
      <c r="P252" s="22"/>
      <c r="Q252" s="22"/>
      <c r="R252" s="22"/>
    </row>
    <row r="253" hidden="1">
      <c r="A253" s="93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19"/>
      <c r="P253" s="22"/>
      <c r="Q253" s="22"/>
      <c r="R253" s="22"/>
    </row>
    <row r="254" hidden="1">
      <c r="A254" s="93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19"/>
      <c r="P254" s="22"/>
      <c r="Q254" s="22"/>
      <c r="R254" s="22"/>
    </row>
    <row r="255" hidden="1">
      <c r="A255" s="93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19"/>
      <c r="P255" s="22"/>
      <c r="Q255" s="22"/>
      <c r="R255" s="22"/>
    </row>
    <row r="256" hidden="1">
      <c r="A256" s="93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19"/>
      <c r="P256" s="22"/>
      <c r="Q256" s="22"/>
      <c r="R256" s="22"/>
    </row>
    <row r="257" hidden="1">
      <c r="A257" s="93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19"/>
      <c r="P257" s="22"/>
      <c r="Q257" s="22"/>
      <c r="R257" s="22"/>
    </row>
    <row r="258" hidden="1">
      <c r="A258" s="93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19"/>
      <c r="P258" s="22"/>
      <c r="Q258" s="22"/>
      <c r="R258" s="22"/>
    </row>
    <row r="259" hidden="1">
      <c r="A259" s="93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19"/>
      <c r="P259" s="22"/>
      <c r="Q259" s="22"/>
      <c r="R259" s="22"/>
    </row>
    <row r="260" hidden="1">
      <c r="A260" s="93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19"/>
      <c r="P260" s="22"/>
      <c r="Q260" s="22"/>
      <c r="R260" s="22"/>
    </row>
    <row r="261" hidden="1">
      <c r="A261" s="93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19"/>
      <c r="P261" s="22"/>
      <c r="Q261" s="22"/>
      <c r="R261" s="22"/>
    </row>
    <row r="262" hidden="1">
      <c r="A262" s="93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19"/>
      <c r="P262" s="22"/>
      <c r="Q262" s="22"/>
      <c r="R262" s="22"/>
    </row>
    <row r="263" hidden="1">
      <c r="A263" s="93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19"/>
      <c r="P263" s="22"/>
      <c r="Q263" s="22"/>
      <c r="R263" s="22"/>
    </row>
    <row r="264" hidden="1">
      <c r="A264" s="93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19"/>
      <c r="P264" s="22"/>
      <c r="Q264" s="22"/>
      <c r="R264" s="22"/>
    </row>
    <row r="265" hidden="1">
      <c r="A265" s="93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19"/>
      <c r="P265" s="22"/>
      <c r="Q265" s="22"/>
      <c r="R265" s="22"/>
    </row>
    <row r="266" hidden="1">
      <c r="A266" s="93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19"/>
      <c r="P266" s="22"/>
      <c r="Q266" s="22"/>
      <c r="R266" s="22"/>
    </row>
    <row r="267" hidden="1">
      <c r="A267" s="93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19"/>
      <c r="P267" s="22"/>
      <c r="Q267" s="22"/>
      <c r="R267" s="22"/>
    </row>
    <row r="268" hidden="1">
      <c r="A268" s="93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19"/>
      <c r="P268" s="22"/>
      <c r="Q268" s="22"/>
      <c r="R268" s="22"/>
    </row>
    <row r="269" hidden="1">
      <c r="A269" s="93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19"/>
      <c r="P269" s="22"/>
      <c r="Q269" s="22"/>
      <c r="R269" s="22"/>
    </row>
    <row r="270" hidden="1">
      <c r="A270" s="93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19"/>
      <c r="P270" s="22"/>
      <c r="Q270" s="22"/>
      <c r="R270" s="22"/>
    </row>
    <row r="271" hidden="1">
      <c r="A271" s="93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19"/>
      <c r="P271" s="22"/>
      <c r="Q271" s="22"/>
      <c r="R271" s="22"/>
    </row>
    <row r="272" hidden="1">
      <c r="A272" s="93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19"/>
      <c r="P272" s="22"/>
      <c r="Q272" s="22"/>
      <c r="R272" s="22"/>
    </row>
    <row r="273" hidden="1">
      <c r="A273" s="93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19"/>
      <c r="P273" s="22"/>
      <c r="Q273" s="22"/>
      <c r="R273" s="22"/>
    </row>
    <row r="274" hidden="1">
      <c r="A274" s="93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19"/>
      <c r="P274" s="22"/>
      <c r="Q274" s="22"/>
      <c r="R274" s="22"/>
    </row>
    <row r="275" hidden="1">
      <c r="A275" s="93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19"/>
      <c r="P275" s="22"/>
      <c r="Q275" s="22"/>
      <c r="R275" s="22"/>
    </row>
    <row r="276" hidden="1">
      <c r="A276" s="93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19"/>
      <c r="P276" s="22"/>
      <c r="Q276" s="22"/>
      <c r="R276" s="22"/>
    </row>
    <row r="277" hidden="1">
      <c r="A277" s="93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19"/>
      <c r="P277" s="22"/>
      <c r="Q277" s="22"/>
      <c r="R277" s="22"/>
    </row>
    <row r="278" hidden="1">
      <c r="A278" s="93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19"/>
      <c r="P278" s="22"/>
      <c r="Q278" s="22"/>
      <c r="R278" s="22"/>
    </row>
    <row r="279" hidden="1">
      <c r="A279" s="93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19"/>
      <c r="P279" s="22"/>
      <c r="Q279" s="22"/>
      <c r="R279" s="22"/>
    </row>
    <row r="280" hidden="1">
      <c r="A280" s="93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19"/>
      <c r="P280" s="22"/>
      <c r="Q280" s="22"/>
      <c r="R280" s="22"/>
    </row>
    <row r="281" hidden="1">
      <c r="A281" s="93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19"/>
      <c r="P281" s="22"/>
      <c r="Q281" s="22"/>
      <c r="R281" s="22"/>
    </row>
    <row r="282" hidden="1">
      <c r="A282" s="93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19"/>
      <c r="P282" s="22"/>
      <c r="Q282" s="22"/>
      <c r="R282" s="22"/>
    </row>
    <row r="283" hidden="1">
      <c r="A283" s="93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19"/>
      <c r="P283" s="22"/>
      <c r="Q283" s="22"/>
      <c r="R283" s="22"/>
    </row>
    <row r="284" hidden="1">
      <c r="A284" s="93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19"/>
      <c r="P284" s="22"/>
      <c r="Q284" s="22"/>
      <c r="R284" s="22"/>
    </row>
    <row r="285" hidden="1">
      <c r="A285" s="93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19"/>
      <c r="P285" s="22"/>
      <c r="Q285" s="22"/>
      <c r="R285" s="22"/>
    </row>
    <row r="286" hidden="1">
      <c r="A286" s="93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19"/>
      <c r="P286" s="22"/>
      <c r="Q286" s="22"/>
      <c r="R286" s="22"/>
    </row>
    <row r="287" hidden="1">
      <c r="A287" s="93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19"/>
      <c r="P287" s="22"/>
      <c r="Q287" s="22"/>
      <c r="R287" s="22"/>
    </row>
    <row r="288" hidden="1">
      <c r="A288" s="93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19"/>
      <c r="P288" s="22"/>
      <c r="Q288" s="22"/>
      <c r="R288" s="22"/>
    </row>
    <row r="289" hidden="1">
      <c r="A289" s="93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19"/>
      <c r="P289" s="22"/>
      <c r="Q289" s="22"/>
      <c r="R289" s="22"/>
    </row>
    <row r="290" hidden="1">
      <c r="A290" s="93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19"/>
      <c r="P290" s="22"/>
      <c r="Q290" s="22"/>
      <c r="R290" s="22"/>
    </row>
    <row r="291" hidden="1">
      <c r="A291" s="93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19"/>
      <c r="P291" s="22"/>
      <c r="Q291" s="22"/>
      <c r="R291" s="22"/>
    </row>
    <row r="292" hidden="1">
      <c r="A292" s="93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19"/>
      <c r="P292" s="22"/>
      <c r="Q292" s="22"/>
      <c r="R292" s="22"/>
    </row>
    <row r="293" hidden="1">
      <c r="A293" s="93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19"/>
      <c r="P293" s="22"/>
      <c r="Q293" s="22"/>
      <c r="R293" s="22"/>
    </row>
    <row r="294" hidden="1">
      <c r="A294" s="93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19"/>
      <c r="P294" s="22"/>
      <c r="Q294" s="22"/>
      <c r="R294" s="22"/>
    </row>
    <row r="295" hidden="1">
      <c r="A295" s="93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19"/>
      <c r="P295" s="22"/>
      <c r="Q295" s="22"/>
      <c r="R295" s="22"/>
    </row>
    <row r="296" hidden="1">
      <c r="A296" s="93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19"/>
      <c r="P296" s="22"/>
      <c r="Q296" s="22"/>
      <c r="R296" s="22"/>
    </row>
    <row r="297" hidden="1">
      <c r="A297" s="93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19"/>
      <c r="P297" s="22"/>
      <c r="Q297" s="22"/>
      <c r="R297" s="22"/>
    </row>
    <row r="298" hidden="1">
      <c r="A298" s="93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19"/>
      <c r="P298" s="22"/>
      <c r="Q298" s="22"/>
      <c r="R298" s="22"/>
    </row>
    <row r="299" hidden="1">
      <c r="A299" s="93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19"/>
      <c r="P299" s="22"/>
      <c r="Q299" s="22"/>
      <c r="R299" s="22"/>
    </row>
    <row r="300" hidden="1">
      <c r="A300" s="93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19"/>
      <c r="P300" s="22"/>
      <c r="Q300" s="22"/>
      <c r="R300" s="22"/>
    </row>
    <row r="301" hidden="1">
      <c r="A301" s="93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19"/>
      <c r="P301" s="22"/>
      <c r="Q301" s="22"/>
      <c r="R301" s="22"/>
    </row>
    <row r="302" hidden="1">
      <c r="A302" s="93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19"/>
      <c r="P302" s="22"/>
      <c r="Q302" s="22"/>
      <c r="R302" s="22"/>
    </row>
    <row r="303" hidden="1">
      <c r="A303" s="93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19"/>
      <c r="P303" s="22"/>
      <c r="Q303" s="22"/>
      <c r="R303" s="22"/>
    </row>
    <row r="304" hidden="1">
      <c r="A304" s="93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19"/>
      <c r="P304" s="22"/>
      <c r="Q304" s="22"/>
      <c r="R304" s="22"/>
    </row>
    <row r="305" hidden="1">
      <c r="A305" s="93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19"/>
      <c r="P305" s="22"/>
      <c r="Q305" s="22"/>
      <c r="R305" s="22"/>
    </row>
    <row r="306" hidden="1">
      <c r="A306" s="93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19"/>
      <c r="P306" s="22"/>
      <c r="Q306" s="22"/>
      <c r="R306" s="22"/>
    </row>
    <row r="307" hidden="1">
      <c r="A307" s="93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19"/>
      <c r="P307" s="22"/>
      <c r="Q307" s="22"/>
      <c r="R307" s="22"/>
    </row>
    <row r="308" hidden="1">
      <c r="A308" s="93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19"/>
      <c r="P308" s="22"/>
      <c r="Q308" s="22"/>
      <c r="R308" s="22"/>
    </row>
    <row r="309" hidden="1">
      <c r="A309" s="93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19"/>
      <c r="P309" s="22"/>
      <c r="Q309" s="22"/>
      <c r="R309" s="22"/>
    </row>
    <row r="310" hidden="1">
      <c r="A310" s="93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19"/>
      <c r="P310" s="22"/>
      <c r="Q310" s="22"/>
      <c r="R310" s="22"/>
    </row>
    <row r="311" hidden="1">
      <c r="A311" s="93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19"/>
      <c r="P311" s="22"/>
      <c r="Q311" s="22"/>
      <c r="R311" s="22"/>
    </row>
    <row r="312" hidden="1">
      <c r="A312" s="93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19"/>
      <c r="P312" s="22"/>
      <c r="Q312" s="22"/>
      <c r="R312" s="22"/>
    </row>
    <row r="313" hidden="1">
      <c r="A313" s="93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19"/>
      <c r="P313" s="22"/>
      <c r="Q313" s="22"/>
      <c r="R313" s="22"/>
    </row>
    <row r="314" hidden="1">
      <c r="A314" s="93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19"/>
      <c r="P314" s="22"/>
      <c r="Q314" s="22"/>
      <c r="R314" s="22"/>
    </row>
    <row r="315" hidden="1">
      <c r="A315" s="93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19"/>
      <c r="P315" s="22"/>
      <c r="Q315" s="22"/>
      <c r="R315" s="22"/>
    </row>
    <row r="316" hidden="1">
      <c r="A316" s="93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19"/>
      <c r="P316" s="22"/>
      <c r="Q316" s="22"/>
      <c r="R316" s="22"/>
    </row>
    <row r="317" hidden="1">
      <c r="A317" s="93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19"/>
      <c r="P317" s="22"/>
      <c r="Q317" s="22"/>
      <c r="R317" s="22"/>
    </row>
    <row r="318" hidden="1">
      <c r="A318" s="93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19"/>
      <c r="P318" s="22"/>
      <c r="Q318" s="22"/>
      <c r="R318" s="22"/>
    </row>
    <row r="319" hidden="1">
      <c r="A319" s="93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19"/>
      <c r="P319" s="22"/>
      <c r="Q319" s="22"/>
      <c r="R319" s="22"/>
    </row>
    <row r="320" hidden="1">
      <c r="A320" s="93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19"/>
      <c r="P320" s="22"/>
      <c r="Q320" s="22"/>
      <c r="R320" s="22"/>
    </row>
    <row r="321" hidden="1">
      <c r="A321" s="93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19"/>
      <c r="P321" s="22"/>
      <c r="Q321" s="22"/>
      <c r="R321" s="22"/>
    </row>
    <row r="322" hidden="1">
      <c r="A322" s="93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19"/>
      <c r="P322" s="22"/>
      <c r="Q322" s="22"/>
      <c r="R322" s="22"/>
    </row>
    <row r="323" hidden="1">
      <c r="A323" s="93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19"/>
      <c r="P323" s="22"/>
      <c r="Q323" s="22"/>
      <c r="R323" s="22"/>
    </row>
    <row r="324" hidden="1">
      <c r="A324" s="93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19"/>
      <c r="P324" s="22"/>
      <c r="Q324" s="22"/>
      <c r="R324" s="22"/>
    </row>
    <row r="325" hidden="1">
      <c r="A325" s="93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19"/>
      <c r="P325" s="22"/>
      <c r="Q325" s="22"/>
      <c r="R325" s="22"/>
    </row>
    <row r="326" hidden="1">
      <c r="A326" s="93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19"/>
      <c r="P326" s="22"/>
      <c r="Q326" s="22"/>
      <c r="R326" s="22"/>
    </row>
    <row r="327" hidden="1">
      <c r="A327" s="93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19"/>
      <c r="P327" s="22"/>
      <c r="Q327" s="22"/>
      <c r="R327" s="22"/>
    </row>
    <row r="328" hidden="1">
      <c r="A328" s="93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19"/>
      <c r="P328" s="22"/>
      <c r="Q328" s="22"/>
      <c r="R328" s="22"/>
    </row>
    <row r="329" hidden="1">
      <c r="A329" s="93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19"/>
      <c r="P329" s="22"/>
      <c r="Q329" s="22"/>
      <c r="R329" s="22"/>
    </row>
    <row r="330" hidden="1">
      <c r="A330" s="93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19"/>
      <c r="P330" s="22"/>
      <c r="Q330" s="22"/>
      <c r="R330" s="22"/>
    </row>
    <row r="331" hidden="1">
      <c r="A331" s="93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19"/>
      <c r="P331" s="22"/>
      <c r="Q331" s="22"/>
      <c r="R331" s="22"/>
    </row>
    <row r="332" hidden="1">
      <c r="A332" s="93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19"/>
      <c r="P332" s="22"/>
      <c r="Q332" s="22"/>
      <c r="R332" s="22"/>
    </row>
    <row r="333" hidden="1">
      <c r="A333" s="93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19"/>
      <c r="P333" s="22"/>
      <c r="Q333" s="22"/>
      <c r="R333" s="22"/>
    </row>
    <row r="334" hidden="1">
      <c r="A334" s="93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19"/>
      <c r="P334" s="22"/>
      <c r="Q334" s="22"/>
      <c r="R334" s="22"/>
    </row>
    <row r="335" hidden="1">
      <c r="A335" s="93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19"/>
      <c r="P335" s="22"/>
      <c r="Q335" s="22"/>
      <c r="R335" s="22"/>
    </row>
    <row r="336" hidden="1">
      <c r="A336" s="93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19"/>
      <c r="P336" s="22"/>
      <c r="Q336" s="22"/>
      <c r="R336" s="22"/>
    </row>
    <row r="337" hidden="1">
      <c r="A337" s="93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19"/>
      <c r="P337" s="22"/>
      <c r="Q337" s="22"/>
      <c r="R337" s="22"/>
    </row>
    <row r="338" hidden="1">
      <c r="A338" s="93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19"/>
      <c r="P338" s="22"/>
      <c r="Q338" s="22"/>
      <c r="R338" s="22"/>
    </row>
    <row r="339" hidden="1">
      <c r="A339" s="93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19"/>
      <c r="P339" s="22"/>
      <c r="Q339" s="22"/>
      <c r="R339" s="22"/>
    </row>
    <row r="340" hidden="1">
      <c r="A340" s="93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19"/>
      <c r="P340" s="22"/>
      <c r="Q340" s="22"/>
      <c r="R340" s="22"/>
    </row>
    <row r="341" hidden="1">
      <c r="A341" s="93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19"/>
      <c r="P341" s="22"/>
      <c r="Q341" s="22"/>
      <c r="R341" s="22"/>
    </row>
    <row r="342" hidden="1">
      <c r="A342" s="93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19"/>
      <c r="P342" s="22"/>
      <c r="Q342" s="22"/>
      <c r="R342" s="22"/>
    </row>
    <row r="343" hidden="1">
      <c r="A343" s="93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19"/>
      <c r="P343" s="22"/>
      <c r="Q343" s="22"/>
      <c r="R343" s="22"/>
    </row>
    <row r="344" hidden="1">
      <c r="A344" s="93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19"/>
      <c r="P344" s="22"/>
      <c r="Q344" s="22"/>
      <c r="R344" s="22"/>
    </row>
    <row r="345" hidden="1">
      <c r="A345" s="93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19"/>
      <c r="P345" s="22"/>
      <c r="Q345" s="22"/>
      <c r="R345" s="22"/>
    </row>
    <row r="346" hidden="1">
      <c r="A346" s="93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19"/>
      <c r="P346" s="22"/>
      <c r="Q346" s="22"/>
      <c r="R346" s="22"/>
    </row>
    <row r="347" hidden="1">
      <c r="A347" s="93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19"/>
      <c r="P347" s="22"/>
      <c r="Q347" s="22"/>
      <c r="R347" s="22"/>
    </row>
    <row r="348" hidden="1">
      <c r="A348" s="93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19"/>
      <c r="P348" s="22"/>
      <c r="Q348" s="22"/>
      <c r="R348" s="22"/>
    </row>
    <row r="349" hidden="1">
      <c r="A349" s="93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19"/>
      <c r="P349" s="22"/>
      <c r="Q349" s="22"/>
      <c r="R349" s="22"/>
    </row>
    <row r="350" hidden="1">
      <c r="A350" s="93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19"/>
      <c r="P350" s="22"/>
      <c r="Q350" s="22"/>
      <c r="R350" s="22"/>
    </row>
    <row r="351" hidden="1">
      <c r="A351" s="93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19"/>
      <c r="P351" s="22"/>
      <c r="Q351" s="22"/>
      <c r="R351" s="22"/>
    </row>
    <row r="352" hidden="1">
      <c r="A352" s="93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19"/>
      <c r="P352" s="22"/>
      <c r="Q352" s="22"/>
      <c r="R352" s="22"/>
    </row>
    <row r="353" hidden="1">
      <c r="A353" s="93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19"/>
      <c r="P353" s="22"/>
      <c r="Q353" s="22"/>
      <c r="R353" s="22"/>
    </row>
    <row r="354" hidden="1">
      <c r="A354" s="93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19"/>
      <c r="P354" s="22"/>
      <c r="Q354" s="22"/>
      <c r="R354" s="22"/>
    </row>
    <row r="355" hidden="1">
      <c r="A355" s="93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19"/>
      <c r="P355" s="22"/>
      <c r="Q355" s="22"/>
      <c r="R355" s="22"/>
    </row>
    <row r="356" hidden="1">
      <c r="A356" s="93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19"/>
      <c r="P356" s="22"/>
      <c r="Q356" s="22"/>
      <c r="R356" s="22"/>
    </row>
    <row r="357" hidden="1">
      <c r="A357" s="93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19"/>
      <c r="P357" s="22"/>
      <c r="Q357" s="22"/>
      <c r="R357" s="22"/>
    </row>
    <row r="358" hidden="1">
      <c r="A358" s="93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19"/>
      <c r="P358" s="22"/>
      <c r="Q358" s="22"/>
      <c r="R358" s="22"/>
    </row>
    <row r="359" hidden="1">
      <c r="A359" s="93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19"/>
      <c r="P359" s="22"/>
      <c r="Q359" s="22"/>
      <c r="R359" s="22"/>
    </row>
    <row r="360" hidden="1">
      <c r="A360" s="93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19"/>
      <c r="P360" s="22"/>
      <c r="Q360" s="22"/>
      <c r="R360" s="22"/>
    </row>
    <row r="361" hidden="1">
      <c r="A361" s="93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19"/>
      <c r="P361" s="22"/>
      <c r="Q361" s="22"/>
      <c r="R361" s="22"/>
    </row>
    <row r="362" hidden="1">
      <c r="A362" s="93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19"/>
      <c r="P362" s="22"/>
      <c r="Q362" s="22"/>
      <c r="R362" s="22"/>
    </row>
    <row r="363" hidden="1">
      <c r="A363" s="93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19"/>
      <c r="P363" s="22"/>
      <c r="Q363" s="22"/>
      <c r="R363" s="22"/>
    </row>
    <row r="364" hidden="1">
      <c r="A364" s="93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19"/>
      <c r="P364" s="22"/>
      <c r="Q364" s="22"/>
      <c r="R364" s="22"/>
    </row>
    <row r="365" hidden="1">
      <c r="A365" s="93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19"/>
      <c r="P365" s="22"/>
      <c r="Q365" s="22"/>
      <c r="R365" s="22"/>
    </row>
    <row r="366" hidden="1">
      <c r="A366" s="93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19"/>
      <c r="P366" s="22"/>
      <c r="Q366" s="22"/>
      <c r="R366" s="22"/>
    </row>
    <row r="367" hidden="1">
      <c r="A367" s="93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19"/>
      <c r="P367" s="22"/>
      <c r="Q367" s="22"/>
      <c r="R367" s="22"/>
    </row>
    <row r="368" hidden="1">
      <c r="A368" s="93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19"/>
      <c r="P368" s="22"/>
      <c r="Q368" s="22"/>
      <c r="R368" s="22"/>
    </row>
    <row r="369" hidden="1">
      <c r="A369" s="93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19"/>
      <c r="P369" s="22"/>
      <c r="Q369" s="22"/>
      <c r="R369" s="22"/>
    </row>
    <row r="370" hidden="1">
      <c r="A370" s="93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19"/>
      <c r="P370" s="22"/>
      <c r="Q370" s="22"/>
      <c r="R370" s="22"/>
    </row>
    <row r="371" hidden="1">
      <c r="A371" s="93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19"/>
      <c r="P371" s="22"/>
      <c r="Q371" s="22"/>
      <c r="R371" s="22"/>
    </row>
    <row r="372" hidden="1">
      <c r="A372" s="93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19"/>
      <c r="P372" s="22"/>
      <c r="Q372" s="22"/>
      <c r="R372" s="22"/>
    </row>
    <row r="373" hidden="1">
      <c r="A373" s="93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19"/>
      <c r="P373" s="22"/>
      <c r="Q373" s="22"/>
      <c r="R373" s="22"/>
    </row>
    <row r="374" hidden="1">
      <c r="A374" s="93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19"/>
      <c r="P374" s="22"/>
      <c r="Q374" s="22"/>
      <c r="R374" s="22"/>
    </row>
    <row r="375" hidden="1">
      <c r="A375" s="93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19"/>
      <c r="P375" s="22"/>
      <c r="Q375" s="22"/>
      <c r="R375" s="22"/>
    </row>
    <row r="376" hidden="1">
      <c r="A376" s="93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19"/>
      <c r="P376" s="22"/>
      <c r="Q376" s="22"/>
      <c r="R376" s="22"/>
    </row>
    <row r="377" hidden="1">
      <c r="A377" s="93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19"/>
      <c r="P377" s="22"/>
      <c r="Q377" s="22"/>
      <c r="R377" s="22"/>
    </row>
    <row r="378" hidden="1">
      <c r="A378" s="93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19"/>
      <c r="P378" s="22"/>
      <c r="Q378" s="22"/>
      <c r="R378" s="22"/>
    </row>
    <row r="379" hidden="1">
      <c r="A379" s="93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19"/>
      <c r="P379" s="22"/>
      <c r="Q379" s="22"/>
      <c r="R379" s="22"/>
    </row>
    <row r="380" hidden="1">
      <c r="A380" s="93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19"/>
      <c r="P380" s="22"/>
      <c r="Q380" s="22"/>
      <c r="R380" s="22"/>
    </row>
    <row r="381" hidden="1">
      <c r="A381" s="93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19"/>
      <c r="P381" s="22"/>
      <c r="Q381" s="22"/>
      <c r="R381" s="22"/>
    </row>
    <row r="382" hidden="1">
      <c r="A382" s="93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19"/>
      <c r="P382" s="22"/>
      <c r="Q382" s="22"/>
      <c r="R382" s="22"/>
    </row>
    <row r="383" hidden="1">
      <c r="A383" s="93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19"/>
      <c r="P383" s="22"/>
      <c r="Q383" s="22"/>
      <c r="R383" s="22"/>
    </row>
    <row r="384" hidden="1">
      <c r="A384" s="93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19"/>
      <c r="P384" s="22"/>
      <c r="Q384" s="22"/>
      <c r="R384" s="22"/>
    </row>
    <row r="385" hidden="1">
      <c r="A385" s="93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19"/>
      <c r="P385" s="22"/>
      <c r="Q385" s="22"/>
      <c r="R385" s="22"/>
    </row>
    <row r="386" hidden="1">
      <c r="A386" s="93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19"/>
      <c r="P386" s="22"/>
      <c r="Q386" s="22"/>
      <c r="R386" s="22"/>
    </row>
    <row r="387" hidden="1">
      <c r="A387" s="93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19"/>
      <c r="P387" s="22"/>
      <c r="Q387" s="22"/>
      <c r="R387" s="22"/>
    </row>
    <row r="388" hidden="1">
      <c r="A388" s="93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19"/>
      <c r="P388" s="22"/>
      <c r="Q388" s="22"/>
      <c r="R388" s="22"/>
    </row>
    <row r="389" hidden="1">
      <c r="A389" s="93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19"/>
      <c r="P389" s="22"/>
      <c r="Q389" s="22"/>
      <c r="R389" s="22"/>
    </row>
    <row r="390" hidden="1">
      <c r="A390" s="93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19"/>
      <c r="P390" s="22"/>
      <c r="Q390" s="22"/>
      <c r="R390" s="22"/>
    </row>
    <row r="391" hidden="1">
      <c r="A391" s="93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19"/>
      <c r="P391" s="22"/>
      <c r="Q391" s="22"/>
      <c r="R391" s="22"/>
    </row>
    <row r="392" hidden="1">
      <c r="A392" s="93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19"/>
      <c r="P392" s="22"/>
      <c r="Q392" s="22"/>
      <c r="R392" s="22"/>
    </row>
    <row r="393" hidden="1">
      <c r="A393" s="93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19"/>
      <c r="P393" s="22"/>
      <c r="Q393" s="22"/>
      <c r="R393" s="22"/>
    </row>
    <row r="394" hidden="1">
      <c r="A394" s="93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19"/>
      <c r="P394" s="22"/>
      <c r="Q394" s="22"/>
      <c r="R394" s="22"/>
    </row>
    <row r="395" hidden="1">
      <c r="A395" s="93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19"/>
      <c r="P395" s="22"/>
      <c r="Q395" s="22"/>
      <c r="R395" s="22"/>
    </row>
    <row r="396" hidden="1">
      <c r="A396" s="93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19"/>
      <c r="P396" s="22"/>
      <c r="Q396" s="22"/>
      <c r="R396" s="22"/>
    </row>
    <row r="397" hidden="1">
      <c r="A397" s="93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19"/>
      <c r="P397" s="22"/>
      <c r="Q397" s="22"/>
      <c r="R397" s="22"/>
    </row>
    <row r="398" hidden="1">
      <c r="A398" s="93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19"/>
      <c r="P398" s="22"/>
      <c r="Q398" s="22"/>
      <c r="R398" s="22"/>
    </row>
    <row r="399" hidden="1">
      <c r="A399" s="93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19"/>
      <c r="P399" s="22"/>
      <c r="Q399" s="22"/>
      <c r="R399" s="22"/>
    </row>
    <row r="400" hidden="1">
      <c r="A400" s="93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19"/>
      <c r="P400" s="22"/>
      <c r="Q400" s="22"/>
      <c r="R400" s="22"/>
    </row>
    <row r="401" hidden="1">
      <c r="A401" s="93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19"/>
      <c r="P401" s="22"/>
      <c r="Q401" s="22"/>
      <c r="R401" s="22"/>
    </row>
    <row r="402" hidden="1">
      <c r="A402" s="93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19"/>
      <c r="P402" s="22"/>
      <c r="Q402" s="22"/>
      <c r="R402" s="22"/>
    </row>
    <row r="403" hidden="1">
      <c r="A403" s="93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19"/>
      <c r="P403" s="22"/>
      <c r="Q403" s="22"/>
      <c r="R403" s="22"/>
    </row>
    <row r="404" hidden="1">
      <c r="A404" s="93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19"/>
      <c r="P404" s="22"/>
      <c r="Q404" s="22"/>
      <c r="R404" s="22"/>
    </row>
    <row r="405" hidden="1">
      <c r="A405" s="93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19"/>
      <c r="P405" s="22"/>
      <c r="Q405" s="22"/>
      <c r="R405" s="22"/>
    </row>
    <row r="406" hidden="1">
      <c r="A406" s="93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19"/>
      <c r="P406" s="22"/>
      <c r="Q406" s="22"/>
      <c r="R406" s="22"/>
    </row>
    <row r="407" hidden="1">
      <c r="A407" s="93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19"/>
      <c r="P407" s="22"/>
      <c r="Q407" s="22"/>
      <c r="R407" s="22"/>
    </row>
    <row r="408" hidden="1">
      <c r="A408" s="93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19"/>
      <c r="P408" s="22"/>
      <c r="Q408" s="22"/>
      <c r="R408" s="22"/>
    </row>
    <row r="409" hidden="1">
      <c r="A409" s="93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19"/>
      <c r="P409" s="22"/>
      <c r="Q409" s="22"/>
      <c r="R409" s="22"/>
    </row>
    <row r="410" hidden="1">
      <c r="A410" s="93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19"/>
      <c r="P410" s="22"/>
      <c r="Q410" s="22"/>
      <c r="R410" s="22"/>
    </row>
    <row r="411" hidden="1">
      <c r="A411" s="93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19"/>
      <c r="P411" s="22"/>
      <c r="Q411" s="22"/>
      <c r="R411" s="22"/>
    </row>
    <row r="412" hidden="1">
      <c r="A412" s="93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19"/>
      <c r="P412" s="22"/>
      <c r="Q412" s="22"/>
      <c r="R412" s="22"/>
    </row>
    <row r="413" hidden="1">
      <c r="A413" s="93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19"/>
      <c r="P413" s="22"/>
      <c r="Q413" s="22"/>
      <c r="R413" s="22"/>
    </row>
    <row r="414" hidden="1">
      <c r="A414" s="93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19"/>
      <c r="P414" s="22"/>
      <c r="Q414" s="22"/>
      <c r="R414" s="22"/>
    </row>
    <row r="415" hidden="1">
      <c r="A415" s="93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19"/>
      <c r="P415" s="22"/>
      <c r="Q415" s="22"/>
      <c r="R415" s="22"/>
    </row>
    <row r="416" hidden="1">
      <c r="A416" s="93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19"/>
      <c r="P416" s="22"/>
      <c r="Q416" s="22"/>
      <c r="R416" s="22"/>
    </row>
    <row r="417" hidden="1">
      <c r="A417" s="93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19"/>
      <c r="P417" s="22"/>
      <c r="Q417" s="22"/>
      <c r="R417" s="22"/>
    </row>
    <row r="418" hidden="1">
      <c r="A418" s="93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19"/>
      <c r="P418" s="22"/>
      <c r="Q418" s="22"/>
      <c r="R418" s="22"/>
    </row>
    <row r="419" hidden="1">
      <c r="A419" s="93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19"/>
      <c r="P419" s="22"/>
      <c r="Q419" s="22"/>
      <c r="R419" s="22"/>
    </row>
    <row r="420" hidden="1">
      <c r="A420" s="93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19"/>
      <c r="P420" s="22"/>
      <c r="Q420" s="22"/>
      <c r="R420" s="22"/>
    </row>
    <row r="421" hidden="1">
      <c r="A421" s="93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19"/>
      <c r="P421" s="22"/>
      <c r="Q421" s="22"/>
      <c r="R421" s="22"/>
    </row>
    <row r="422" hidden="1">
      <c r="A422" s="93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19"/>
      <c r="P422" s="22"/>
      <c r="Q422" s="22"/>
      <c r="R422" s="22"/>
    </row>
    <row r="423" hidden="1">
      <c r="A423" s="93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19"/>
      <c r="P423" s="22"/>
      <c r="Q423" s="22"/>
      <c r="R423" s="22"/>
    </row>
    <row r="424" hidden="1">
      <c r="A424" s="93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19"/>
      <c r="P424" s="22"/>
      <c r="Q424" s="22"/>
      <c r="R424" s="22"/>
    </row>
    <row r="425" hidden="1">
      <c r="A425" s="93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19"/>
      <c r="P425" s="22"/>
      <c r="Q425" s="22"/>
      <c r="R425" s="22"/>
    </row>
    <row r="426" hidden="1">
      <c r="A426" s="93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19"/>
      <c r="P426" s="22"/>
      <c r="Q426" s="22"/>
      <c r="R426" s="22"/>
    </row>
    <row r="427" hidden="1">
      <c r="A427" s="93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19"/>
      <c r="P427" s="22"/>
      <c r="Q427" s="22"/>
      <c r="R427" s="22"/>
    </row>
    <row r="428" hidden="1">
      <c r="A428" s="93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19"/>
      <c r="P428" s="22"/>
      <c r="Q428" s="22"/>
      <c r="R428" s="22"/>
    </row>
    <row r="429" hidden="1">
      <c r="A429" s="93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19"/>
      <c r="P429" s="22"/>
      <c r="Q429" s="22"/>
      <c r="R429" s="22"/>
    </row>
    <row r="430" hidden="1">
      <c r="A430" s="93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19"/>
      <c r="P430" s="22"/>
      <c r="Q430" s="22"/>
      <c r="R430" s="22"/>
    </row>
    <row r="431" hidden="1">
      <c r="A431" s="93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19"/>
      <c r="P431" s="22"/>
      <c r="Q431" s="22"/>
      <c r="R431" s="22"/>
    </row>
    <row r="432" hidden="1">
      <c r="A432" s="93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19"/>
      <c r="P432" s="22"/>
      <c r="Q432" s="22"/>
      <c r="R432" s="22"/>
    </row>
    <row r="433" hidden="1">
      <c r="A433" s="93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19"/>
      <c r="P433" s="22"/>
      <c r="Q433" s="22"/>
      <c r="R433" s="22"/>
    </row>
    <row r="434" hidden="1">
      <c r="A434" s="93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19"/>
      <c r="P434" s="22"/>
      <c r="Q434" s="22"/>
      <c r="R434" s="22"/>
    </row>
    <row r="435" hidden="1">
      <c r="A435" s="93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19"/>
      <c r="P435" s="22"/>
      <c r="Q435" s="22"/>
      <c r="R435" s="22"/>
    </row>
    <row r="436" hidden="1">
      <c r="A436" s="93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19"/>
      <c r="P436" s="22"/>
      <c r="Q436" s="22"/>
      <c r="R436" s="22"/>
    </row>
    <row r="437" hidden="1">
      <c r="A437" s="93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19"/>
      <c r="P437" s="22"/>
      <c r="Q437" s="22"/>
      <c r="R437" s="22"/>
    </row>
    <row r="438" hidden="1">
      <c r="A438" s="93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19"/>
      <c r="P438" s="22"/>
      <c r="Q438" s="22"/>
      <c r="R438" s="22"/>
    </row>
    <row r="439" hidden="1">
      <c r="A439" s="93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19"/>
      <c r="P439" s="22"/>
      <c r="Q439" s="22"/>
      <c r="R439" s="22"/>
    </row>
    <row r="440" hidden="1">
      <c r="A440" s="93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19"/>
      <c r="P440" s="22"/>
      <c r="Q440" s="22"/>
      <c r="R440" s="22"/>
    </row>
    <row r="441" hidden="1">
      <c r="A441" s="93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19"/>
      <c r="P441" s="22"/>
      <c r="Q441" s="22"/>
      <c r="R441" s="22"/>
    </row>
    <row r="442" hidden="1">
      <c r="A442" s="93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19"/>
      <c r="P442" s="22"/>
      <c r="Q442" s="22"/>
      <c r="R442" s="22"/>
    </row>
    <row r="443" hidden="1">
      <c r="A443" s="93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19"/>
      <c r="P443" s="22"/>
      <c r="Q443" s="22"/>
      <c r="R443" s="22"/>
    </row>
    <row r="444" hidden="1">
      <c r="A444" s="93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19"/>
      <c r="P444" s="22"/>
      <c r="Q444" s="22"/>
      <c r="R444" s="22"/>
    </row>
    <row r="445" hidden="1">
      <c r="A445" s="93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19"/>
      <c r="P445" s="22"/>
      <c r="Q445" s="22"/>
      <c r="R445" s="22"/>
    </row>
    <row r="446" hidden="1">
      <c r="A446" s="93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19"/>
      <c r="P446" s="22"/>
      <c r="Q446" s="22"/>
      <c r="R446" s="22"/>
    </row>
    <row r="447" hidden="1">
      <c r="A447" s="93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19"/>
      <c r="P447" s="22"/>
      <c r="Q447" s="22"/>
      <c r="R447" s="22"/>
    </row>
    <row r="448" hidden="1">
      <c r="A448" s="93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19"/>
      <c r="P448" s="22"/>
      <c r="Q448" s="22"/>
      <c r="R448" s="22"/>
    </row>
    <row r="449" hidden="1">
      <c r="A449" s="93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19"/>
      <c r="P449" s="22"/>
      <c r="Q449" s="22"/>
      <c r="R449" s="22"/>
    </row>
    <row r="450" hidden="1">
      <c r="A450" s="93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19"/>
      <c r="P450" s="22"/>
      <c r="Q450" s="22"/>
      <c r="R450" s="22"/>
    </row>
    <row r="451" hidden="1">
      <c r="A451" s="93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19"/>
      <c r="P451" s="22"/>
      <c r="Q451" s="22"/>
      <c r="R451" s="22"/>
    </row>
    <row r="452" hidden="1">
      <c r="A452" s="93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19"/>
      <c r="P452" s="22"/>
      <c r="Q452" s="22"/>
      <c r="R452" s="22"/>
    </row>
    <row r="453" hidden="1">
      <c r="A453" s="93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19"/>
      <c r="P453" s="22"/>
      <c r="Q453" s="22"/>
      <c r="R453" s="22"/>
    </row>
    <row r="454" hidden="1">
      <c r="A454" s="93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19"/>
      <c r="P454" s="22"/>
      <c r="Q454" s="22"/>
      <c r="R454" s="22"/>
    </row>
    <row r="455" hidden="1">
      <c r="A455" s="93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19"/>
      <c r="P455" s="22"/>
      <c r="Q455" s="22"/>
      <c r="R455" s="22"/>
    </row>
    <row r="456" hidden="1">
      <c r="A456" s="93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19"/>
      <c r="P456" s="22"/>
      <c r="Q456" s="22"/>
      <c r="R456" s="22"/>
    </row>
    <row r="457" hidden="1">
      <c r="A457" s="93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19"/>
      <c r="P457" s="22"/>
      <c r="Q457" s="22"/>
      <c r="R457" s="22"/>
    </row>
    <row r="458" hidden="1">
      <c r="A458" s="93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19"/>
      <c r="P458" s="22"/>
      <c r="Q458" s="22"/>
      <c r="R458" s="22"/>
    </row>
    <row r="459" hidden="1">
      <c r="A459" s="93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19"/>
      <c r="P459" s="22"/>
      <c r="Q459" s="22"/>
      <c r="R459" s="22"/>
    </row>
    <row r="460" hidden="1">
      <c r="A460" s="93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19"/>
      <c r="P460" s="22"/>
      <c r="Q460" s="22"/>
      <c r="R460" s="22"/>
    </row>
    <row r="461" hidden="1">
      <c r="A461" s="93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19"/>
      <c r="P461" s="22"/>
      <c r="Q461" s="22"/>
      <c r="R461" s="22"/>
    </row>
    <row r="462" hidden="1">
      <c r="A462" s="93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19"/>
      <c r="P462" s="22"/>
      <c r="Q462" s="22"/>
      <c r="R462" s="22"/>
    </row>
    <row r="463" hidden="1">
      <c r="A463" s="93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19"/>
      <c r="P463" s="22"/>
      <c r="Q463" s="22"/>
      <c r="R463" s="22"/>
    </row>
    <row r="464" hidden="1">
      <c r="A464" s="93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19"/>
      <c r="P464" s="22"/>
      <c r="Q464" s="22"/>
      <c r="R464" s="22"/>
    </row>
    <row r="465" hidden="1">
      <c r="A465" s="93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19"/>
      <c r="P465" s="22"/>
      <c r="Q465" s="22"/>
      <c r="R465" s="22"/>
    </row>
    <row r="466" hidden="1">
      <c r="A466" s="93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19"/>
      <c r="P466" s="22"/>
      <c r="Q466" s="22"/>
      <c r="R466" s="22"/>
    </row>
    <row r="467" hidden="1">
      <c r="A467" s="93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19"/>
      <c r="P467" s="22"/>
      <c r="Q467" s="22"/>
      <c r="R467" s="22"/>
    </row>
    <row r="468" hidden="1">
      <c r="A468" s="93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19"/>
      <c r="P468" s="22"/>
      <c r="Q468" s="22"/>
      <c r="R468" s="22"/>
    </row>
    <row r="469" hidden="1">
      <c r="A469" s="93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19"/>
      <c r="P469" s="22"/>
      <c r="Q469" s="22"/>
      <c r="R469" s="22"/>
    </row>
    <row r="470" hidden="1">
      <c r="A470" s="93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19"/>
      <c r="P470" s="22"/>
      <c r="Q470" s="22"/>
      <c r="R470" s="22"/>
    </row>
    <row r="471" hidden="1">
      <c r="A471" s="93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19"/>
      <c r="P471" s="22"/>
      <c r="Q471" s="22"/>
      <c r="R471" s="22"/>
    </row>
    <row r="472" hidden="1">
      <c r="A472" s="93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19"/>
      <c r="P472" s="22"/>
      <c r="Q472" s="22"/>
      <c r="R472" s="22"/>
    </row>
    <row r="473" hidden="1">
      <c r="A473" s="93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19"/>
      <c r="P473" s="22"/>
      <c r="Q473" s="22"/>
      <c r="R473" s="22"/>
    </row>
    <row r="474" hidden="1">
      <c r="A474" s="93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19"/>
      <c r="P474" s="22"/>
      <c r="Q474" s="22"/>
      <c r="R474" s="22"/>
    </row>
    <row r="475" hidden="1">
      <c r="A475" s="93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19"/>
      <c r="P475" s="22"/>
      <c r="Q475" s="22"/>
      <c r="R475" s="22"/>
    </row>
    <row r="476" hidden="1">
      <c r="A476" s="93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19"/>
      <c r="P476" s="22"/>
      <c r="Q476" s="22"/>
      <c r="R476" s="22"/>
    </row>
    <row r="477" hidden="1">
      <c r="A477" s="93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19"/>
      <c r="P477" s="22"/>
      <c r="Q477" s="22"/>
      <c r="R477" s="22"/>
    </row>
    <row r="478" hidden="1">
      <c r="A478" s="93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19"/>
      <c r="P478" s="22"/>
      <c r="Q478" s="22"/>
      <c r="R478" s="22"/>
    </row>
    <row r="479" hidden="1">
      <c r="A479" s="93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19"/>
      <c r="P479" s="22"/>
      <c r="Q479" s="22"/>
      <c r="R479" s="22"/>
    </row>
    <row r="480" hidden="1">
      <c r="A480" s="93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19"/>
      <c r="P480" s="22"/>
      <c r="Q480" s="22"/>
      <c r="R480" s="22"/>
    </row>
    <row r="481" hidden="1">
      <c r="A481" s="93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19"/>
      <c r="P481" s="22"/>
      <c r="Q481" s="22"/>
      <c r="R481" s="22"/>
    </row>
    <row r="482" hidden="1">
      <c r="A482" s="93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19"/>
      <c r="P482" s="22"/>
      <c r="Q482" s="22"/>
      <c r="R482" s="22"/>
    </row>
    <row r="483" hidden="1">
      <c r="A483" s="93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19"/>
      <c r="P483" s="22"/>
      <c r="Q483" s="22"/>
      <c r="R483" s="22"/>
    </row>
    <row r="484" hidden="1">
      <c r="A484" s="93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19"/>
      <c r="P484" s="22"/>
      <c r="Q484" s="22"/>
      <c r="R484" s="22"/>
    </row>
    <row r="485" hidden="1">
      <c r="A485" s="93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19"/>
      <c r="P485" s="22"/>
      <c r="Q485" s="22"/>
      <c r="R485" s="22"/>
    </row>
    <row r="486" hidden="1">
      <c r="A486" s="93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19"/>
      <c r="P486" s="22"/>
      <c r="Q486" s="22"/>
      <c r="R486" s="22"/>
    </row>
    <row r="487" hidden="1">
      <c r="A487" s="93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19"/>
      <c r="P487" s="22"/>
      <c r="Q487" s="22"/>
      <c r="R487" s="22"/>
    </row>
    <row r="488" hidden="1">
      <c r="A488" s="93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19"/>
      <c r="P488" s="22"/>
      <c r="Q488" s="22"/>
      <c r="R488" s="22"/>
    </row>
    <row r="489" hidden="1">
      <c r="A489" s="93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19"/>
      <c r="P489" s="22"/>
      <c r="Q489" s="22"/>
      <c r="R489" s="22"/>
    </row>
    <row r="490" hidden="1">
      <c r="A490" s="93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19"/>
      <c r="P490" s="22"/>
      <c r="Q490" s="22"/>
      <c r="R490" s="22"/>
    </row>
    <row r="491" hidden="1">
      <c r="A491" s="93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19"/>
      <c r="P491" s="22"/>
      <c r="Q491" s="22"/>
      <c r="R491" s="22"/>
    </row>
    <row r="492" hidden="1">
      <c r="A492" s="93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19"/>
      <c r="P492" s="22"/>
      <c r="Q492" s="22"/>
      <c r="R492" s="22"/>
    </row>
    <row r="493" hidden="1">
      <c r="A493" s="93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19"/>
      <c r="P493" s="22"/>
      <c r="Q493" s="22"/>
      <c r="R493" s="22"/>
    </row>
    <row r="494" hidden="1">
      <c r="A494" s="93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19"/>
      <c r="P494" s="22"/>
      <c r="Q494" s="22"/>
      <c r="R494" s="22"/>
    </row>
    <row r="495" hidden="1">
      <c r="A495" s="93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19"/>
      <c r="P495" s="22"/>
      <c r="Q495" s="22"/>
      <c r="R495" s="22"/>
    </row>
    <row r="496" hidden="1">
      <c r="A496" s="93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19"/>
      <c r="P496" s="22"/>
      <c r="Q496" s="22"/>
      <c r="R496" s="22"/>
    </row>
    <row r="497" hidden="1">
      <c r="A497" s="93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19"/>
      <c r="P497" s="22"/>
      <c r="Q497" s="22"/>
      <c r="R497" s="22"/>
    </row>
    <row r="498" hidden="1">
      <c r="A498" s="93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19"/>
      <c r="P498" s="22"/>
      <c r="Q498" s="22"/>
      <c r="R498" s="22"/>
    </row>
    <row r="499" hidden="1">
      <c r="A499" s="93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19"/>
      <c r="P499" s="22"/>
      <c r="Q499" s="22"/>
      <c r="R499" s="22"/>
    </row>
    <row r="500" hidden="1">
      <c r="A500" s="93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19"/>
      <c r="P500" s="22"/>
      <c r="Q500" s="22"/>
      <c r="R500" s="22"/>
    </row>
    <row r="501" hidden="1">
      <c r="A501" s="93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19"/>
      <c r="P501" s="22"/>
      <c r="Q501" s="22"/>
      <c r="R501" s="22"/>
    </row>
    <row r="502" hidden="1">
      <c r="A502" s="93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19"/>
      <c r="P502" s="22"/>
      <c r="Q502" s="22"/>
      <c r="R502" s="22"/>
    </row>
    <row r="503" hidden="1">
      <c r="A503" s="93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19"/>
      <c r="P503" s="22"/>
      <c r="Q503" s="22"/>
      <c r="R503" s="22"/>
    </row>
    <row r="504" hidden="1">
      <c r="A504" s="93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19"/>
      <c r="P504" s="22"/>
      <c r="Q504" s="22"/>
      <c r="R504" s="22"/>
    </row>
    <row r="505" hidden="1">
      <c r="A505" s="93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19"/>
      <c r="P505" s="22"/>
      <c r="Q505" s="22"/>
      <c r="R505" s="22"/>
    </row>
    <row r="506" hidden="1">
      <c r="A506" s="93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19"/>
      <c r="P506" s="22"/>
      <c r="Q506" s="22"/>
      <c r="R506" s="22"/>
    </row>
    <row r="507" hidden="1">
      <c r="A507" s="93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19"/>
      <c r="P507" s="22"/>
      <c r="Q507" s="22"/>
      <c r="R507" s="22"/>
    </row>
    <row r="508" hidden="1">
      <c r="A508" s="93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19"/>
      <c r="P508" s="22"/>
      <c r="Q508" s="22"/>
      <c r="R508" s="22"/>
    </row>
    <row r="509" hidden="1">
      <c r="A509" s="93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19"/>
      <c r="P509" s="22"/>
      <c r="Q509" s="22"/>
      <c r="R509" s="22"/>
    </row>
    <row r="510" hidden="1">
      <c r="A510" s="93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19"/>
      <c r="P510" s="22"/>
      <c r="Q510" s="22"/>
      <c r="R510" s="22"/>
    </row>
    <row r="511" hidden="1">
      <c r="A511" s="93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19"/>
      <c r="P511" s="22"/>
      <c r="Q511" s="22"/>
      <c r="R511" s="22"/>
    </row>
    <row r="512" hidden="1">
      <c r="A512" s="93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19"/>
      <c r="P512" s="22"/>
      <c r="Q512" s="22"/>
      <c r="R512" s="22"/>
    </row>
    <row r="513" hidden="1">
      <c r="A513" s="93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19"/>
      <c r="P513" s="22"/>
      <c r="Q513" s="22"/>
      <c r="R513" s="22"/>
    </row>
    <row r="514" hidden="1">
      <c r="A514" s="93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19"/>
      <c r="P514" s="22"/>
      <c r="Q514" s="22"/>
      <c r="R514" s="22"/>
    </row>
    <row r="515" hidden="1">
      <c r="A515" s="93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19"/>
      <c r="P515" s="22"/>
      <c r="Q515" s="22"/>
      <c r="R515" s="22"/>
    </row>
    <row r="516" hidden="1">
      <c r="A516" s="93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19"/>
      <c r="P516" s="22"/>
      <c r="Q516" s="22"/>
      <c r="R516" s="22"/>
    </row>
    <row r="517" hidden="1">
      <c r="A517" s="93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19"/>
      <c r="P517" s="22"/>
      <c r="Q517" s="22"/>
      <c r="R517" s="22"/>
    </row>
    <row r="518" hidden="1">
      <c r="A518" s="93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19"/>
      <c r="P518" s="22"/>
      <c r="Q518" s="22"/>
      <c r="R518" s="22"/>
    </row>
    <row r="519" hidden="1">
      <c r="A519" s="93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19"/>
      <c r="P519" s="22"/>
      <c r="Q519" s="22"/>
      <c r="R519" s="22"/>
    </row>
    <row r="520" hidden="1">
      <c r="A520" s="93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19"/>
      <c r="P520" s="22"/>
      <c r="Q520" s="22"/>
      <c r="R520" s="22"/>
    </row>
    <row r="521" hidden="1">
      <c r="A521" s="93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19"/>
      <c r="P521" s="22"/>
      <c r="Q521" s="22"/>
      <c r="R521" s="22"/>
    </row>
    <row r="522" hidden="1">
      <c r="A522" s="93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19"/>
      <c r="P522" s="22"/>
      <c r="Q522" s="22"/>
      <c r="R522" s="22"/>
    </row>
    <row r="523" hidden="1">
      <c r="A523" s="93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19"/>
      <c r="P523" s="22"/>
      <c r="Q523" s="22"/>
      <c r="R523" s="22"/>
    </row>
    <row r="524" hidden="1">
      <c r="A524" s="93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19"/>
      <c r="P524" s="22"/>
      <c r="Q524" s="22"/>
      <c r="R524" s="22"/>
    </row>
    <row r="525" hidden="1">
      <c r="A525" s="93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19"/>
      <c r="P525" s="22"/>
      <c r="Q525" s="22"/>
      <c r="R525" s="22"/>
    </row>
    <row r="526" hidden="1">
      <c r="A526" s="93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19"/>
      <c r="P526" s="22"/>
      <c r="Q526" s="22"/>
      <c r="R526" s="22"/>
    </row>
    <row r="527" hidden="1">
      <c r="A527" s="93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19"/>
      <c r="P527" s="22"/>
      <c r="Q527" s="22"/>
      <c r="R527" s="22"/>
    </row>
    <row r="528" hidden="1">
      <c r="A528" s="93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19"/>
      <c r="P528" s="22"/>
      <c r="Q528" s="22"/>
      <c r="R528" s="22"/>
    </row>
    <row r="529" hidden="1">
      <c r="A529" s="93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19"/>
      <c r="P529" s="22"/>
      <c r="Q529" s="22"/>
      <c r="R529" s="22"/>
    </row>
    <row r="530" hidden="1">
      <c r="A530" s="93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19"/>
      <c r="P530" s="22"/>
      <c r="Q530" s="22"/>
      <c r="R530" s="22"/>
    </row>
    <row r="531" hidden="1">
      <c r="A531" s="93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19"/>
      <c r="P531" s="22"/>
      <c r="Q531" s="22"/>
      <c r="R531" s="22"/>
    </row>
    <row r="532" hidden="1">
      <c r="A532" s="93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19"/>
      <c r="P532" s="22"/>
      <c r="Q532" s="22"/>
      <c r="R532" s="22"/>
    </row>
    <row r="533" hidden="1">
      <c r="A533" s="93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19"/>
      <c r="P533" s="22"/>
      <c r="Q533" s="22"/>
      <c r="R533" s="22"/>
    </row>
    <row r="534" hidden="1">
      <c r="A534" s="93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19"/>
      <c r="P534" s="22"/>
      <c r="Q534" s="22"/>
      <c r="R534" s="22"/>
    </row>
    <row r="535" hidden="1">
      <c r="A535" s="93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19"/>
      <c r="P535" s="22"/>
      <c r="Q535" s="22"/>
      <c r="R535" s="22"/>
    </row>
    <row r="536" hidden="1">
      <c r="A536" s="93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19"/>
      <c r="P536" s="22"/>
      <c r="Q536" s="22"/>
      <c r="R536" s="22"/>
    </row>
    <row r="537" hidden="1">
      <c r="A537" s="93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19"/>
      <c r="P537" s="22"/>
      <c r="Q537" s="22"/>
      <c r="R537" s="22"/>
    </row>
    <row r="538" hidden="1">
      <c r="A538" s="93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19"/>
      <c r="P538" s="22"/>
      <c r="Q538" s="22"/>
      <c r="R538" s="22"/>
    </row>
    <row r="539" hidden="1">
      <c r="A539" s="93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19"/>
      <c r="P539" s="22"/>
      <c r="Q539" s="22"/>
      <c r="R539" s="22"/>
    </row>
    <row r="540" hidden="1">
      <c r="A540" s="93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19"/>
      <c r="P540" s="22"/>
      <c r="Q540" s="22"/>
      <c r="R540" s="22"/>
    </row>
    <row r="541" hidden="1">
      <c r="A541" s="93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19"/>
      <c r="P541" s="22"/>
      <c r="Q541" s="22"/>
      <c r="R541" s="22"/>
    </row>
    <row r="542" hidden="1">
      <c r="A542" s="93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19"/>
      <c r="P542" s="22"/>
      <c r="Q542" s="22"/>
      <c r="R542" s="22"/>
    </row>
    <row r="543" hidden="1">
      <c r="A543" s="93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19"/>
      <c r="P543" s="22"/>
      <c r="Q543" s="22"/>
      <c r="R543" s="22"/>
    </row>
    <row r="544" hidden="1">
      <c r="A544" s="93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19"/>
      <c r="P544" s="22"/>
      <c r="Q544" s="22"/>
      <c r="R544" s="22"/>
    </row>
    <row r="545" hidden="1">
      <c r="A545" s="93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19"/>
      <c r="P545" s="22"/>
      <c r="Q545" s="22"/>
      <c r="R545" s="22"/>
    </row>
    <row r="546" hidden="1">
      <c r="A546" s="93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19"/>
      <c r="P546" s="22"/>
      <c r="Q546" s="22"/>
      <c r="R546" s="22"/>
    </row>
    <row r="547" hidden="1">
      <c r="A547" s="93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19"/>
      <c r="P547" s="22"/>
      <c r="Q547" s="22"/>
      <c r="R547" s="22"/>
    </row>
    <row r="548" hidden="1">
      <c r="A548" s="93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19"/>
      <c r="P548" s="22"/>
      <c r="Q548" s="22"/>
      <c r="R548" s="22"/>
    </row>
    <row r="549" hidden="1">
      <c r="A549" s="93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19"/>
      <c r="P549" s="22"/>
      <c r="Q549" s="22"/>
      <c r="R549" s="22"/>
    </row>
    <row r="550" hidden="1">
      <c r="A550" s="93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19"/>
      <c r="P550" s="22"/>
      <c r="Q550" s="22"/>
      <c r="R550" s="22"/>
    </row>
    <row r="551" hidden="1">
      <c r="A551" s="93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19"/>
      <c r="P551" s="22"/>
      <c r="Q551" s="22"/>
      <c r="R551" s="22"/>
    </row>
    <row r="552" hidden="1">
      <c r="A552" s="93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19"/>
      <c r="P552" s="22"/>
      <c r="Q552" s="22"/>
      <c r="R552" s="22"/>
    </row>
    <row r="553" hidden="1">
      <c r="A553" s="93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19"/>
      <c r="P553" s="22"/>
      <c r="Q553" s="22"/>
      <c r="R553" s="22"/>
    </row>
    <row r="554" hidden="1">
      <c r="A554" s="93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19"/>
      <c r="P554" s="22"/>
      <c r="Q554" s="22"/>
      <c r="R554" s="22"/>
    </row>
    <row r="555" hidden="1">
      <c r="A555" s="93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19"/>
      <c r="P555" s="22"/>
      <c r="Q555" s="22"/>
      <c r="R555" s="22"/>
    </row>
    <row r="556" hidden="1">
      <c r="A556" s="93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19"/>
      <c r="P556" s="22"/>
      <c r="Q556" s="22"/>
      <c r="R556" s="22"/>
    </row>
    <row r="557" hidden="1">
      <c r="A557" s="93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19"/>
      <c r="P557" s="22"/>
      <c r="Q557" s="22"/>
      <c r="R557" s="22"/>
    </row>
    <row r="558" hidden="1">
      <c r="A558" s="93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19"/>
      <c r="P558" s="22"/>
      <c r="Q558" s="22"/>
      <c r="R558" s="22"/>
    </row>
    <row r="559" hidden="1">
      <c r="A559" s="93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19"/>
      <c r="P559" s="22"/>
      <c r="Q559" s="22"/>
      <c r="R559" s="22"/>
    </row>
    <row r="560" hidden="1">
      <c r="A560" s="93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19"/>
      <c r="P560" s="22"/>
      <c r="Q560" s="22"/>
      <c r="R560" s="22"/>
    </row>
    <row r="561" hidden="1">
      <c r="A561" s="93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19"/>
      <c r="P561" s="22"/>
      <c r="Q561" s="22"/>
      <c r="R561" s="22"/>
    </row>
    <row r="562" hidden="1">
      <c r="A562" s="93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19"/>
      <c r="P562" s="22"/>
      <c r="Q562" s="22"/>
      <c r="R562" s="22"/>
    </row>
    <row r="563" hidden="1">
      <c r="A563" s="93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19"/>
      <c r="P563" s="22"/>
      <c r="Q563" s="22"/>
      <c r="R563" s="22"/>
    </row>
    <row r="564" hidden="1">
      <c r="A564" s="93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19"/>
      <c r="P564" s="22"/>
      <c r="Q564" s="22"/>
      <c r="R564" s="22"/>
    </row>
    <row r="565" hidden="1">
      <c r="A565" s="93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19"/>
      <c r="P565" s="22"/>
      <c r="Q565" s="22"/>
      <c r="R565" s="22"/>
    </row>
    <row r="566" hidden="1">
      <c r="A566" s="93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19"/>
      <c r="P566" s="22"/>
      <c r="Q566" s="22"/>
      <c r="R566" s="22"/>
    </row>
    <row r="567" hidden="1">
      <c r="A567" s="93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19"/>
      <c r="P567" s="22"/>
      <c r="Q567" s="22"/>
      <c r="R567" s="22"/>
    </row>
    <row r="568" hidden="1">
      <c r="A568" s="93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19"/>
      <c r="P568" s="22"/>
      <c r="Q568" s="22"/>
      <c r="R568" s="22"/>
    </row>
    <row r="569" hidden="1">
      <c r="A569" s="93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19"/>
      <c r="P569" s="22"/>
      <c r="Q569" s="22"/>
      <c r="R569" s="22"/>
    </row>
    <row r="570" hidden="1">
      <c r="A570" s="93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19"/>
      <c r="P570" s="22"/>
      <c r="Q570" s="22"/>
      <c r="R570" s="22"/>
    </row>
    <row r="571" hidden="1">
      <c r="A571" s="93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19"/>
      <c r="P571" s="22"/>
      <c r="Q571" s="22"/>
      <c r="R571" s="22"/>
    </row>
    <row r="572" hidden="1">
      <c r="A572" s="93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19"/>
      <c r="P572" s="22"/>
      <c r="Q572" s="22"/>
      <c r="R572" s="22"/>
    </row>
    <row r="573" hidden="1">
      <c r="A573" s="93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19"/>
      <c r="P573" s="22"/>
      <c r="Q573" s="22"/>
      <c r="R573" s="22"/>
    </row>
    <row r="574" hidden="1">
      <c r="A574" s="93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19"/>
      <c r="P574" s="22"/>
      <c r="Q574" s="22"/>
      <c r="R574" s="22"/>
    </row>
    <row r="575" hidden="1">
      <c r="A575" s="93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19"/>
      <c r="P575" s="22"/>
      <c r="Q575" s="22"/>
      <c r="R575" s="22"/>
    </row>
    <row r="576" hidden="1">
      <c r="A576" s="93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19"/>
      <c r="P576" s="22"/>
      <c r="Q576" s="22"/>
      <c r="R576" s="22"/>
    </row>
    <row r="577" hidden="1">
      <c r="A577" s="93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19"/>
      <c r="P577" s="22"/>
      <c r="Q577" s="22"/>
      <c r="R577" s="22"/>
    </row>
    <row r="578" hidden="1">
      <c r="A578" s="93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19"/>
      <c r="P578" s="22"/>
      <c r="Q578" s="22"/>
      <c r="R578" s="22"/>
    </row>
    <row r="579" hidden="1">
      <c r="A579" s="93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19"/>
      <c r="P579" s="22"/>
      <c r="Q579" s="22"/>
      <c r="R579" s="22"/>
    </row>
    <row r="580" hidden="1">
      <c r="A580" s="93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19"/>
      <c r="P580" s="22"/>
      <c r="Q580" s="22"/>
      <c r="R580" s="22"/>
    </row>
    <row r="581" hidden="1">
      <c r="A581" s="93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19"/>
      <c r="P581" s="22"/>
      <c r="Q581" s="22"/>
      <c r="R581" s="22"/>
    </row>
    <row r="582" hidden="1">
      <c r="A582" s="93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19"/>
      <c r="P582" s="22"/>
      <c r="Q582" s="22"/>
      <c r="R582" s="22"/>
    </row>
    <row r="583" hidden="1">
      <c r="A583" s="93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19"/>
      <c r="P583" s="22"/>
      <c r="Q583" s="22"/>
      <c r="R583" s="22"/>
    </row>
    <row r="584" hidden="1">
      <c r="A584" s="93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19"/>
      <c r="P584" s="22"/>
      <c r="Q584" s="22"/>
      <c r="R584" s="22"/>
    </row>
    <row r="585" hidden="1">
      <c r="A585" s="93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19"/>
      <c r="P585" s="22"/>
      <c r="Q585" s="22"/>
      <c r="R585" s="22"/>
    </row>
    <row r="586" hidden="1">
      <c r="A586" s="93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19"/>
      <c r="P586" s="22"/>
      <c r="Q586" s="22"/>
      <c r="R586" s="22"/>
    </row>
    <row r="587" hidden="1">
      <c r="A587" s="93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19"/>
      <c r="P587" s="22"/>
      <c r="Q587" s="22"/>
      <c r="R587" s="22"/>
    </row>
    <row r="588" hidden="1">
      <c r="A588" s="93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19"/>
      <c r="P588" s="22"/>
      <c r="Q588" s="22"/>
      <c r="R588" s="22"/>
    </row>
    <row r="589" hidden="1">
      <c r="A589" s="93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19"/>
      <c r="P589" s="22"/>
      <c r="Q589" s="22"/>
      <c r="R589" s="22"/>
    </row>
    <row r="590" hidden="1">
      <c r="A590" s="93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19"/>
      <c r="P590" s="22"/>
      <c r="Q590" s="22"/>
      <c r="R590" s="22"/>
    </row>
    <row r="591" hidden="1">
      <c r="A591" s="93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19"/>
      <c r="P591" s="22"/>
      <c r="Q591" s="22"/>
      <c r="R591" s="22"/>
    </row>
    <row r="592" hidden="1">
      <c r="A592" s="93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19"/>
      <c r="P592" s="22"/>
      <c r="Q592" s="22"/>
      <c r="R592" s="22"/>
    </row>
    <row r="593" hidden="1">
      <c r="A593" s="93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19"/>
      <c r="P593" s="22"/>
      <c r="Q593" s="22"/>
      <c r="R593" s="22"/>
    </row>
    <row r="594" hidden="1">
      <c r="A594" s="93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19"/>
      <c r="P594" s="22"/>
      <c r="Q594" s="22"/>
      <c r="R594" s="22"/>
    </row>
    <row r="595" hidden="1">
      <c r="A595" s="93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19"/>
      <c r="P595" s="22"/>
      <c r="Q595" s="22"/>
      <c r="R595" s="22"/>
    </row>
    <row r="596" hidden="1">
      <c r="A596" s="93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19"/>
      <c r="P596" s="22"/>
      <c r="Q596" s="22"/>
      <c r="R596" s="22"/>
    </row>
    <row r="597" hidden="1">
      <c r="A597" s="93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19"/>
      <c r="P597" s="22"/>
      <c r="Q597" s="22"/>
      <c r="R597" s="22"/>
    </row>
    <row r="598" hidden="1">
      <c r="A598" s="93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19"/>
      <c r="P598" s="22"/>
      <c r="Q598" s="22"/>
      <c r="R598" s="22"/>
    </row>
    <row r="599" hidden="1">
      <c r="A599" s="93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19"/>
      <c r="P599" s="22"/>
      <c r="Q599" s="22"/>
      <c r="R599" s="22"/>
    </row>
    <row r="600" hidden="1">
      <c r="A600" s="93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19"/>
      <c r="P600" s="22"/>
      <c r="Q600" s="22"/>
      <c r="R600" s="22"/>
    </row>
    <row r="601" hidden="1">
      <c r="A601" s="93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19"/>
      <c r="P601" s="22"/>
      <c r="Q601" s="22"/>
      <c r="R601" s="22"/>
    </row>
    <row r="602" hidden="1">
      <c r="A602" s="93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19"/>
      <c r="P602" s="22"/>
      <c r="Q602" s="22"/>
      <c r="R602" s="22"/>
    </row>
    <row r="603" hidden="1">
      <c r="A603" s="93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19"/>
      <c r="P603" s="22"/>
      <c r="Q603" s="22"/>
      <c r="R603" s="22"/>
    </row>
    <row r="604" hidden="1">
      <c r="A604" s="93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19"/>
      <c r="P604" s="22"/>
      <c r="Q604" s="22"/>
      <c r="R604" s="22"/>
    </row>
    <row r="605" hidden="1">
      <c r="A605" s="93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19"/>
      <c r="P605" s="22"/>
      <c r="Q605" s="22"/>
      <c r="R605" s="22"/>
    </row>
    <row r="606" hidden="1">
      <c r="A606" s="93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19"/>
      <c r="P606" s="22"/>
      <c r="Q606" s="22"/>
      <c r="R606" s="22"/>
    </row>
    <row r="607" hidden="1">
      <c r="A607" s="93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19"/>
      <c r="P607" s="22"/>
      <c r="Q607" s="22"/>
      <c r="R607" s="22"/>
    </row>
    <row r="608" hidden="1">
      <c r="A608" s="93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19"/>
      <c r="P608" s="22"/>
      <c r="Q608" s="22"/>
      <c r="R608" s="22"/>
    </row>
    <row r="609" hidden="1">
      <c r="A609" s="93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19"/>
      <c r="P609" s="22"/>
      <c r="Q609" s="22"/>
      <c r="R609" s="22"/>
    </row>
    <row r="610" hidden="1">
      <c r="A610" s="93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19"/>
      <c r="P610" s="22"/>
      <c r="Q610" s="22"/>
      <c r="R610" s="22"/>
    </row>
    <row r="611" hidden="1">
      <c r="A611" s="93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19"/>
      <c r="P611" s="22"/>
      <c r="Q611" s="22"/>
      <c r="R611" s="22"/>
    </row>
    <row r="612" hidden="1">
      <c r="A612" s="93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19"/>
      <c r="P612" s="22"/>
      <c r="Q612" s="22"/>
      <c r="R612" s="22"/>
    </row>
    <row r="613" hidden="1">
      <c r="A613" s="93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19"/>
      <c r="P613" s="22"/>
      <c r="Q613" s="22"/>
      <c r="R613" s="22"/>
    </row>
    <row r="614" hidden="1">
      <c r="A614" s="93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19"/>
      <c r="P614" s="22"/>
      <c r="Q614" s="22"/>
      <c r="R614" s="22"/>
    </row>
    <row r="615" hidden="1">
      <c r="A615" s="93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19"/>
      <c r="P615" s="22"/>
      <c r="Q615" s="22"/>
      <c r="R615" s="22"/>
    </row>
    <row r="616" hidden="1">
      <c r="A616" s="93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19"/>
      <c r="P616" s="22"/>
      <c r="Q616" s="22"/>
      <c r="R616" s="22"/>
    </row>
    <row r="617" hidden="1">
      <c r="A617" s="93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19"/>
      <c r="P617" s="22"/>
      <c r="Q617" s="22"/>
      <c r="R617" s="22"/>
    </row>
    <row r="618" hidden="1">
      <c r="A618" s="93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19"/>
      <c r="P618" s="22"/>
      <c r="Q618" s="22"/>
      <c r="R618" s="22"/>
    </row>
    <row r="619" hidden="1">
      <c r="A619" s="93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19"/>
      <c r="P619" s="22"/>
      <c r="Q619" s="22"/>
      <c r="R619" s="22"/>
    </row>
    <row r="620" hidden="1">
      <c r="A620" s="93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19"/>
      <c r="P620" s="22"/>
      <c r="Q620" s="22"/>
      <c r="R620" s="22"/>
    </row>
    <row r="621" hidden="1">
      <c r="A621" s="93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19"/>
      <c r="P621" s="22"/>
      <c r="Q621" s="22"/>
      <c r="R621" s="22"/>
    </row>
    <row r="622" hidden="1">
      <c r="A622" s="93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19"/>
      <c r="P622" s="22"/>
      <c r="Q622" s="22"/>
      <c r="R622" s="22"/>
    </row>
    <row r="623" hidden="1">
      <c r="A623" s="93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19"/>
      <c r="P623" s="22"/>
      <c r="Q623" s="22"/>
      <c r="R623" s="22"/>
    </row>
    <row r="624" hidden="1">
      <c r="A624" s="93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19"/>
      <c r="P624" s="22"/>
      <c r="Q624" s="22"/>
      <c r="R624" s="22"/>
    </row>
    <row r="625" hidden="1">
      <c r="A625" s="93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19"/>
      <c r="P625" s="22"/>
      <c r="Q625" s="22"/>
      <c r="R625" s="22"/>
    </row>
    <row r="626" hidden="1">
      <c r="A626" s="93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19"/>
      <c r="P626" s="22"/>
      <c r="Q626" s="22"/>
      <c r="R626" s="22"/>
    </row>
    <row r="627" hidden="1">
      <c r="A627" s="93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19"/>
      <c r="P627" s="22"/>
      <c r="Q627" s="22"/>
      <c r="R627" s="22"/>
    </row>
    <row r="628" hidden="1">
      <c r="A628" s="93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19"/>
      <c r="P628" s="22"/>
      <c r="Q628" s="22"/>
      <c r="R628" s="22"/>
    </row>
    <row r="629" hidden="1">
      <c r="A629" s="93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19"/>
      <c r="P629" s="22"/>
      <c r="Q629" s="22"/>
      <c r="R629" s="22"/>
    </row>
    <row r="630" hidden="1">
      <c r="A630" s="93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19"/>
      <c r="P630" s="22"/>
      <c r="Q630" s="22"/>
      <c r="R630" s="22"/>
    </row>
    <row r="631" hidden="1">
      <c r="A631" s="93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19"/>
      <c r="P631" s="22"/>
      <c r="Q631" s="22"/>
      <c r="R631" s="22"/>
    </row>
    <row r="632" hidden="1">
      <c r="A632" s="93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19"/>
      <c r="P632" s="22"/>
      <c r="Q632" s="22"/>
      <c r="R632" s="22"/>
    </row>
    <row r="633" hidden="1">
      <c r="A633" s="93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19"/>
      <c r="P633" s="22"/>
      <c r="Q633" s="22"/>
      <c r="R633" s="22"/>
    </row>
    <row r="634" hidden="1">
      <c r="A634" s="93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19"/>
      <c r="P634" s="22"/>
      <c r="Q634" s="22"/>
      <c r="R634" s="22"/>
    </row>
    <row r="635" hidden="1">
      <c r="A635" s="93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19"/>
      <c r="P635" s="22"/>
      <c r="Q635" s="22"/>
      <c r="R635" s="22"/>
    </row>
    <row r="636" hidden="1">
      <c r="A636" s="93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19"/>
      <c r="P636" s="22"/>
      <c r="Q636" s="22"/>
      <c r="R636" s="22"/>
    </row>
    <row r="637" hidden="1">
      <c r="A637" s="93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19"/>
      <c r="P637" s="22"/>
      <c r="Q637" s="22"/>
      <c r="R637" s="22"/>
    </row>
    <row r="638" hidden="1">
      <c r="A638" s="93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19"/>
      <c r="P638" s="22"/>
      <c r="Q638" s="22"/>
      <c r="R638" s="22"/>
    </row>
    <row r="639" hidden="1">
      <c r="A639" s="93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19"/>
      <c r="P639" s="22"/>
      <c r="Q639" s="22"/>
      <c r="R639" s="22"/>
    </row>
    <row r="640" hidden="1">
      <c r="A640" s="93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19"/>
      <c r="P640" s="22"/>
      <c r="Q640" s="22"/>
      <c r="R640" s="22"/>
    </row>
    <row r="641" hidden="1">
      <c r="A641" s="93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19"/>
      <c r="P641" s="22"/>
      <c r="Q641" s="22"/>
      <c r="R641" s="22"/>
    </row>
    <row r="642" hidden="1">
      <c r="A642" s="93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19"/>
      <c r="P642" s="22"/>
      <c r="Q642" s="22"/>
      <c r="R642" s="22"/>
    </row>
    <row r="643" hidden="1">
      <c r="A643" s="93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19"/>
      <c r="P643" s="22"/>
      <c r="Q643" s="22"/>
      <c r="R643" s="22"/>
    </row>
    <row r="644" hidden="1">
      <c r="A644" s="93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19"/>
      <c r="P644" s="22"/>
      <c r="Q644" s="22"/>
      <c r="R644" s="22"/>
    </row>
    <row r="645" hidden="1">
      <c r="A645" s="93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19"/>
      <c r="P645" s="22"/>
      <c r="Q645" s="22"/>
      <c r="R645" s="22"/>
    </row>
    <row r="646" hidden="1">
      <c r="A646" s="93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19"/>
      <c r="P646" s="22"/>
      <c r="Q646" s="22"/>
      <c r="R646" s="22"/>
    </row>
    <row r="647" hidden="1">
      <c r="A647" s="93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19"/>
      <c r="P647" s="22"/>
      <c r="Q647" s="22"/>
      <c r="R647" s="22"/>
    </row>
    <row r="648" hidden="1">
      <c r="A648" s="93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19"/>
      <c r="P648" s="22"/>
      <c r="Q648" s="22"/>
      <c r="R648" s="22"/>
    </row>
    <row r="649" hidden="1">
      <c r="A649" s="93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19"/>
      <c r="P649" s="22"/>
      <c r="Q649" s="22"/>
      <c r="R649" s="22"/>
    </row>
    <row r="650" hidden="1">
      <c r="A650" s="93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19"/>
      <c r="P650" s="22"/>
      <c r="Q650" s="22"/>
      <c r="R650" s="22"/>
    </row>
    <row r="651" hidden="1">
      <c r="A651" s="93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19"/>
      <c r="P651" s="22"/>
      <c r="Q651" s="22"/>
      <c r="R651" s="22"/>
    </row>
    <row r="652" hidden="1">
      <c r="A652" s="93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19"/>
      <c r="P652" s="22"/>
      <c r="Q652" s="22"/>
      <c r="R652" s="22"/>
    </row>
    <row r="653" hidden="1">
      <c r="A653" s="93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19"/>
      <c r="P653" s="22"/>
      <c r="Q653" s="22"/>
      <c r="R653" s="22"/>
    </row>
    <row r="654" hidden="1">
      <c r="A654" s="93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19"/>
      <c r="P654" s="22"/>
      <c r="Q654" s="22"/>
      <c r="R654" s="22"/>
    </row>
    <row r="655" hidden="1">
      <c r="A655" s="93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19"/>
      <c r="P655" s="22"/>
      <c r="Q655" s="22"/>
      <c r="R655" s="22"/>
    </row>
    <row r="656" hidden="1">
      <c r="A656" s="93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19"/>
      <c r="P656" s="22"/>
      <c r="Q656" s="22"/>
      <c r="R656" s="22"/>
    </row>
    <row r="657" hidden="1">
      <c r="A657" s="93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19"/>
      <c r="P657" s="22"/>
      <c r="Q657" s="22"/>
      <c r="R657" s="22"/>
    </row>
    <row r="658" hidden="1">
      <c r="A658" s="93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19"/>
      <c r="P658" s="22"/>
      <c r="Q658" s="22"/>
      <c r="R658" s="22"/>
    </row>
    <row r="659" hidden="1">
      <c r="A659" s="93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19"/>
      <c r="P659" s="22"/>
      <c r="Q659" s="22"/>
      <c r="R659" s="22"/>
    </row>
    <row r="660" hidden="1">
      <c r="A660" s="93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19"/>
      <c r="P660" s="22"/>
      <c r="Q660" s="22"/>
      <c r="R660" s="22"/>
    </row>
    <row r="661" hidden="1">
      <c r="A661" s="93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19"/>
      <c r="P661" s="22"/>
      <c r="Q661" s="22"/>
      <c r="R661" s="22"/>
    </row>
    <row r="662" hidden="1">
      <c r="A662" s="93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19"/>
      <c r="P662" s="22"/>
      <c r="Q662" s="22"/>
      <c r="R662" s="22"/>
    </row>
    <row r="663" hidden="1">
      <c r="A663" s="93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19"/>
      <c r="P663" s="22"/>
      <c r="Q663" s="22"/>
      <c r="R663" s="22"/>
    </row>
    <row r="664" hidden="1">
      <c r="A664" s="93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19"/>
      <c r="P664" s="22"/>
      <c r="Q664" s="22"/>
      <c r="R664" s="22"/>
    </row>
    <row r="665" hidden="1">
      <c r="A665" s="93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19"/>
      <c r="P665" s="22"/>
      <c r="Q665" s="22"/>
      <c r="R665" s="22"/>
    </row>
    <row r="666" hidden="1">
      <c r="A666" s="93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19"/>
      <c r="P666" s="22"/>
      <c r="Q666" s="22"/>
      <c r="R666" s="22"/>
    </row>
    <row r="667" hidden="1">
      <c r="A667" s="93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19"/>
      <c r="P667" s="22"/>
      <c r="Q667" s="22"/>
      <c r="R667" s="22"/>
    </row>
    <row r="668" hidden="1">
      <c r="A668" s="93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19"/>
      <c r="P668" s="22"/>
      <c r="Q668" s="22"/>
      <c r="R668" s="22"/>
    </row>
    <row r="669" hidden="1">
      <c r="A669" s="93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19"/>
      <c r="P669" s="22"/>
      <c r="Q669" s="22"/>
      <c r="R669" s="22"/>
    </row>
    <row r="670" hidden="1">
      <c r="A670" s="93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19"/>
      <c r="P670" s="22"/>
      <c r="Q670" s="22"/>
      <c r="R670" s="22"/>
    </row>
    <row r="671" hidden="1">
      <c r="A671" s="93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19"/>
      <c r="P671" s="22"/>
      <c r="Q671" s="22"/>
      <c r="R671" s="22"/>
    </row>
    <row r="672" hidden="1">
      <c r="A672" s="93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19"/>
      <c r="P672" s="22"/>
      <c r="Q672" s="22"/>
      <c r="R672" s="22"/>
    </row>
    <row r="673" hidden="1">
      <c r="A673" s="93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19"/>
      <c r="P673" s="22"/>
      <c r="Q673" s="22"/>
      <c r="R673" s="22"/>
    </row>
    <row r="674" hidden="1">
      <c r="A674" s="93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19"/>
      <c r="P674" s="22"/>
      <c r="Q674" s="22"/>
      <c r="R674" s="22"/>
    </row>
    <row r="675" hidden="1">
      <c r="A675" s="93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19"/>
      <c r="P675" s="22"/>
      <c r="Q675" s="22"/>
      <c r="R675" s="22"/>
    </row>
    <row r="676" hidden="1">
      <c r="A676" s="93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19"/>
      <c r="P676" s="22"/>
      <c r="Q676" s="22"/>
      <c r="R676" s="22"/>
    </row>
    <row r="677" hidden="1">
      <c r="A677" s="93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19"/>
      <c r="P677" s="22"/>
      <c r="Q677" s="22"/>
      <c r="R677" s="22"/>
    </row>
    <row r="678" hidden="1">
      <c r="A678" s="93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19"/>
      <c r="P678" s="22"/>
      <c r="Q678" s="22"/>
      <c r="R678" s="22"/>
    </row>
    <row r="679" hidden="1">
      <c r="A679" s="93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19"/>
      <c r="P679" s="22"/>
      <c r="Q679" s="22"/>
      <c r="R679" s="22"/>
    </row>
    <row r="680" hidden="1">
      <c r="A680" s="93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19"/>
      <c r="P680" s="22"/>
      <c r="Q680" s="22"/>
      <c r="R680" s="22"/>
    </row>
    <row r="681" hidden="1">
      <c r="A681" s="93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19"/>
      <c r="P681" s="22"/>
      <c r="Q681" s="22"/>
      <c r="R681" s="22"/>
    </row>
    <row r="682" hidden="1">
      <c r="A682" s="93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19"/>
      <c r="P682" s="22"/>
      <c r="Q682" s="22"/>
      <c r="R682" s="22"/>
    </row>
    <row r="683" hidden="1">
      <c r="A683" s="93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19"/>
      <c r="P683" s="22"/>
      <c r="Q683" s="22"/>
      <c r="R683" s="22"/>
    </row>
    <row r="684" hidden="1">
      <c r="A684" s="93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19"/>
      <c r="P684" s="22"/>
      <c r="Q684" s="22"/>
      <c r="R684" s="22"/>
    </row>
    <row r="685" hidden="1">
      <c r="A685" s="93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19"/>
      <c r="P685" s="22"/>
      <c r="Q685" s="22"/>
      <c r="R685" s="22"/>
    </row>
    <row r="686" hidden="1">
      <c r="A686" s="93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19"/>
      <c r="P686" s="22"/>
      <c r="Q686" s="22"/>
      <c r="R686" s="22"/>
    </row>
    <row r="687" hidden="1">
      <c r="A687" s="93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19"/>
      <c r="P687" s="22"/>
      <c r="Q687" s="22"/>
      <c r="R687" s="22"/>
    </row>
    <row r="688" hidden="1">
      <c r="A688" s="93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19"/>
      <c r="P688" s="22"/>
      <c r="Q688" s="22"/>
      <c r="R688" s="22"/>
    </row>
    <row r="689" hidden="1">
      <c r="A689" s="93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19"/>
      <c r="P689" s="22"/>
      <c r="Q689" s="22"/>
      <c r="R689" s="22"/>
    </row>
    <row r="690" hidden="1">
      <c r="A690" s="93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19"/>
      <c r="P690" s="22"/>
      <c r="Q690" s="22"/>
      <c r="R690" s="22"/>
    </row>
    <row r="691" hidden="1">
      <c r="A691" s="93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19"/>
      <c r="P691" s="22"/>
      <c r="Q691" s="22"/>
      <c r="R691" s="22"/>
    </row>
    <row r="692" hidden="1">
      <c r="A692" s="93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19"/>
      <c r="P692" s="22"/>
      <c r="Q692" s="22"/>
      <c r="R692" s="22"/>
    </row>
    <row r="693" hidden="1">
      <c r="A693" s="93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19"/>
      <c r="P693" s="22"/>
      <c r="Q693" s="22"/>
      <c r="R693" s="22"/>
    </row>
    <row r="694" hidden="1">
      <c r="A694" s="93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19"/>
      <c r="P694" s="22"/>
      <c r="Q694" s="22"/>
      <c r="R694" s="22"/>
    </row>
    <row r="695" hidden="1">
      <c r="A695" s="93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19"/>
      <c r="P695" s="22"/>
      <c r="Q695" s="22"/>
      <c r="R695" s="22"/>
    </row>
    <row r="696" hidden="1">
      <c r="A696" s="93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19"/>
      <c r="P696" s="22"/>
      <c r="Q696" s="22"/>
      <c r="R696" s="22"/>
    </row>
    <row r="697" hidden="1">
      <c r="A697" s="93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19"/>
      <c r="P697" s="22"/>
      <c r="Q697" s="22"/>
      <c r="R697" s="22"/>
    </row>
    <row r="698" hidden="1">
      <c r="A698" s="93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19"/>
      <c r="P698" s="22"/>
      <c r="Q698" s="22"/>
      <c r="R698" s="22"/>
    </row>
    <row r="699" hidden="1">
      <c r="A699" s="93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19"/>
      <c r="P699" s="22"/>
      <c r="Q699" s="22"/>
      <c r="R699" s="22"/>
    </row>
    <row r="700" hidden="1">
      <c r="A700" s="93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19"/>
      <c r="P700" s="22"/>
      <c r="Q700" s="22"/>
      <c r="R700" s="22"/>
    </row>
    <row r="701" hidden="1">
      <c r="A701" s="93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19"/>
      <c r="P701" s="22"/>
      <c r="Q701" s="22"/>
      <c r="R701" s="22"/>
    </row>
    <row r="702" hidden="1">
      <c r="A702" s="93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19"/>
      <c r="P702" s="22"/>
      <c r="Q702" s="22"/>
      <c r="R702" s="22"/>
    </row>
    <row r="703" hidden="1">
      <c r="A703" s="93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19"/>
      <c r="P703" s="22"/>
      <c r="Q703" s="22"/>
      <c r="R703" s="22"/>
    </row>
    <row r="704" hidden="1">
      <c r="A704" s="93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19"/>
      <c r="P704" s="22"/>
      <c r="Q704" s="22"/>
      <c r="R704" s="22"/>
    </row>
    <row r="705" hidden="1">
      <c r="A705" s="93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19"/>
      <c r="P705" s="22"/>
      <c r="Q705" s="22"/>
      <c r="R705" s="22"/>
    </row>
    <row r="706" hidden="1">
      <c r="A706" s="93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19"/>
      <c r="P706" s="22"/>
      <c r="Q706" s="22"/>
      <c r="R706" s="22"/>
    </row>
    <row r="707" hidden="1">
      <c r="A707" s="93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19"/>
      <c r="P707" s="22"/>
      <c r="Q707" s="22"/>
      <c r="R707" s="22"/>
    </row>
    <row r="708" hidden="1">
      <c r="A708" s="93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19"/>
      <c r="P708" s="22"/>
      <c r="Q708" s="22"/>
      <c r="R708" s="22"/>
    </row>
    <row r="709" hidden="1">
      <c r="A709" s="93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19"/>
      <c r="P709" s="22"/>
      <c r="Q709" s="22"/>
      <c r="R709" s="22"/>
    </row>
    <row r="710" hidden="1">
      <c r="A710" s="93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19"/>
      <c r="P710" s="22"/>
      <c r="Q710" s="22"/>
      <c r="R710" s="22"/>
    </row>
    <row r="711" hidden="1">
      <c r="A711" s="93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19"/>
      <c r="P711" s="22"/>
      <c r="Q711" s="22"/>
      <c r="R711" s="22"/>
    </row>
    <row r="712" hidden="1">
      <c r="A712" s="93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19"/>
      <c r="P712" s="22"/>
      <c r="Q712" s="22"/>
      <c r="R712" s="22"/>
    </row>
    <row r="713" hidden="1">
      <c r="A713" s="93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19"/>
      <c r="P713" s="22"/>
      <c r="Q713" s="22"/>
      <c r="R713" s="22"/>
    </row>
    <row r="714" hidden="1">
      <c r="A714" s="93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19"/>
      <c r="P714" s="22"/>
      <c r="Q714" s="22"/>
      <c r="R714" s="22"/>
    </row>
    <row r="715" hidden="1">
      <c r="A715" s="93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19"/>
      <c r="P715" s="22"/>
      <c r="Q715" s="22"/>
      <c r="R715" s="22"/>
    </row>
    <row r="716" hidden="1">
      <c r="A716" s="93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19"/>
      <c r="P716" s="22"/>
      <c r="Q716" s="22"/>
      <c r="R716" s="22"/>
    </row>
    <row r="717" hidden="1">
      <c r="A717" s="93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19"/>
      <c r="P717" s="22"/>
      <c r="Q717" s="22"/>
      <c r="R717" s="22"/>
    </row>
    <row r="718" hidden="1">
      <c r="A718" s="93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19"/>
      <c r="P718" s="22"/>
      <c r="Q718" s="22"/>
      <c r="R718" s="22"/>
    </row>
    <row r="719" hidden="1">
      <c r="A719" s="93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19"/>
      <c r="P719" s="22"/>
      <c r="Q719" s="22"/>
      <c r="R719" s="22"/>
    </row>
    <row r="720" hidden="1">
      <c r="A720" s="93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19"/>
      <c r="P720" s="22"/>
      <c r="Q720" s="22"/>
      <c r="R720" s="22"/>
    </row>
    <row r="721" hidden="1">
      <c r="A721" s="93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19"/>
      <c r="P721" s="22"/>
      <c r="Q721" s="22"/>
      <c r="R721" s="22"/>
    </row>
    <row r="722" hidden="1">
      <c r="A722" s="93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19"/>
      <c r="P722" s="22"/>
      <c r="Q722" s="22"/>
      <c r="R722" s="22"/>
    </row>
    <row r="723" hidden="1">
      <c r="A723" s="93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19"/>
      <c r="P723" s="22"/>
      <c r="Q723" s="22"/>
      <c r="R723" s="22"/>
    </row>
    <row r="724" hidden="1">
      <c r="A724" s="93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19"/>
      <c r="P724" s="22"/>
      <c r="Q724" s="22"/>
      <c r="R724" s="22"/>
    </row>
    <row r="725" hidden="1">
      <c r="A725" s="93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19"/>
      <c r="P725" s="22"/>
      <c r="Q725" s="22"/>
      <c r="R725" s="22"/>
    </row>
    <row r="726" hidden="1">
      <c r="A726" s="93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19"/>
      <c r="P726" s="22"/>
      <c r="Q726" s="22"/>
      <c r="R726" s="22"/>
    </row>
    <row r="727" hidden="1">
      <c r="A727" s="93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19"/>
      <c r="P727" s="22"/>
      <c r="Q727" s="22"/>
      <c r="R727" s="22"/>
    </row>
    <row r="728" hidden="1">
      <c r="A728" s="93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19"/>
      <c r="P728" s="22"/>
      <c r="Q728" s="22"/>
      <c r="R728" s="22"/>
    </row>
    <row r="729" hidden="1">
      <c r="A729" s="93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19"/>
      <c r="P729" s="22"/>
      <c r="Q729" s="22"/>
      <c r="R729" s="22"/>
    </row>
    <row r="730" hidden="1">
      <c r="A730" s="93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19"/>
      <c r="P730" s="22"/>
      <c r="Q730" s="22"/>
      <c r="R730" s="22"/>
    </row>
    <row r="731" hidden="1">
      <c r="A731" s="93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19"/>
      <c r="P731" s="22"/>
      <c r="Q731" s="22"/>
      <c r="R731" s="22"/>
    </row>
    <row r="732" hidden="1">
      <c r="A732" s="93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19"/>
      <c r="P732" s="22"/>
      <c r="Q732" s="22"/>
      <c r="R732" s="22"/>
    </row>
    <row r="733" hidden="1">
      <c r="A733" s="93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19"/>
      <c r="P733" s="22"/>
      <c r="Q733" s="22"/>
      <c r="R733" s="22"/>
    </row>
    <row r="734" hidden="1">
      <c r="A734" s="93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19"/>
      <c r="P734" s="22"/>
      <c r="Q734" s="22"/>
      <c r="R734" s="22"/>
    </row>
    <row r="735" hidden="1">
      <c r="A735" s="93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19"/>
      <c r="P735" s="22"/>
      <c r="Q735" s="22"/>
      <c r="R735" s="22"/>
    </row>
    <row r="736" hidden="1">
      <c r="A736" s="93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19"/>
      <c r="P736" s="22"/>
      <c r="Q736" s="22"/>
      <c r="R736" s="22"/>
    </row>
    <row r="737" hidden="1">
      <c r="A737" s="93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19"/>
      <c r="P737" s="22"/>
      <c r="Q737" s="22"/>
      <c r="R737" s="22"/>
    </row>
    <row r="738" hidden="1">
      <c r="A738" s="93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19"/>
      <c r="P738" s="22"/>
      <c r="Q738" s="22"/>
      <c r="R738" s="22"/>
    </row>
    <row r="739" hidden="1">
      <c r="A739" s="93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19"/>
      <c r="P739" s="22"/>
      <c r="Q739" s="22"/>
      <c r="R739" s="22"/>
    </row>
    <row r="740" hidden="1">
      <c r="A740" s="93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19"/>
      <c r="P740" s="22"/>
      <c r="Q740" s="22"/>
      <c r="R740" s="22"/>
    </row>
    <row r="741" hidden="1">
      <c r="A741" s="93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19"/>
      <c r="P741" s="22"/>
      <c r="Q741" s="22"/>
      <c r="R741" s="22"/>
    </row>
    <row r="742" hidden="1">
      <c r="A742" s="93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19"/>
      <c r="P742" s="22"/>
      <c r="Q742" s="22"/>
      <c r="R742" s="22"/>
    </row>
    <row r="743" hidden="1">
      <c r="A743" s="93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19"/>
      <c r="P743" s="22"/>
      <c r="Q743" s="22"/>
      <c r="R743" s="22"/>
    </row>
    <row r="744" hidden="1">
      <c r="A744" s="93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19"/>
      <c r="P744" s="22"/>
      <c r="Q744" s="22"/>
      <c r="R744" s="22"/>
    </row>
    <row r="745" hidden="1">
      <c r="A745" s="93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19"/>
      <c r="P745" s="22"/>
      <c r="Q745" s="22"/>
      <c r="R745" s="22"/>
    </row>
    <row r="746" hidden="1">
      <c r="A746" s="93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19"/>
      <c r="P746" s="22"/>
      <c r="Q746" s="22"/>
      <c r="R746" s="22"/>
    </row>
    <row r="747" hidden="1">
      <c r="A747" s="93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19"/>
      <c r="P747" s="22"/>
      <c r="Q747" s="22"/>
      <c r="R747" s="22"/>
    </row>
    <row r="748" hidden="1">
      <c r="A748" s="93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19"/>
      <c r="P748" s="22"/>
      <c r="Q748" s="22"/>
      <c r="R748" s="22"/>
    </row>
    <row r="749" hidden="1">
      <c r="A749" s="93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19"/>
      <c r="P749" s="22"/>
      <c r="Q749" s="22"/>
      <c r="R749" s="22"/>
    </row>
    <row r="750" hidden="1">
      <c r="A750" s="93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19"/>
      <c r="P750" s="22"/>
      <c r="Q750" s="22"/>
      <c r="R750" s="22"/>
    </row>
    <row r="751" hidden="1">
      <c r="A751" s="93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19"/>
      <c r="P751" s="22"/>
      <c r="Q751" s="22"/>
      <c r="R751" s="22"/>
    </row>
    <row r="752" hidden="1">
      <c r="A752" s="93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19"/>
      <c r="P752" s="22"/>
      <c r="Q752" s="22"/>
      <c r="R752" s="22"/>
    </row>
    <row r="753" hidden="1">
      <c r="A753" s="93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19"/>
      <c r="P753" s="22"/>
      <c r="Q753" s="22"/>
      <c r="R753" s="22"/>
    </row>
    <row r="754" hidden="1">
      <c r="A754" s="93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19"/>
      <c r="P754" s="22"/>
      <c r="Q754" s="22"/>
      <c r="R754" s="22"/>
    </row>
    <row r="755" hidden="1">
      <c r="A755" s="93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19"/>
      <c r="P755" s="22"/>
      <c r="Q755" s="22"/>
      <c r="R755" s="22"/>
    </row>
    <row r="756" hidden="1">
      <c r="A756" s="93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19"/>
      <c r="P756" s="22"/>
      <c r="Q756" s="22"/>
      <c r="R756" s="22"/>
    </row>
    <row r="757" hidden="1">
      <c r="A757" s="93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19"/>
      <c r="P757" s="22"/>
      <c r="Q757" s="22"/>
      <c r="R757" s="22"/>
    </row>
    <row r="758" hidden="1">
      <c r="A758" s="93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19"/>
      <c r="P758" s="22"/>
      <c r="Q758" s="22"/>
      <c r="R758" s="22"/>
    </row>
    <row r="759" hidden="1">
      <c r="A759" s="93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19"/>
      <c r="P759" s="22"/>
      <c r="Q759" s="22"/>
      <c r="R759" s="22"/>
    </row>
    <row r="760" hidden="1">
      <c r="A760" s="93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19"/>
      <c r="P760" s="22"/>
      <c r="Q760" s="22"/>
      <c r="R760" s="22"/>
    </row>
    <row r="761" hidden="1">
      <c r="A761" s="93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19"/>
      <c r="P761" s="22"/>
      <c r="Q761" s="22"/>
      <c r="R761" s="22"/>
    </row>
    <row r="762" hidden="1">
      <c r="A762" s="93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19"/>
      <c r="P762" s="22"/>
      <c r="Q762" s="22"/>
      <c r="R762" s="22"/>
    </row>
    <row r="763" hidden="1">
      <c r="A763" s="93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19"/>
      <c r="P763" s="22"/>
      <c r="Q763" s="22"/>
      <c r="R763" s="22"/>
    </row>
    <row r="764" hidden="1">
      <c r="A764" s="93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19"/>
      <c r="P764" s="22"/>
      <c r="Q764" s="22"/>
      <c r="R764" s="22"/>
    </row>
    <row r="765" hidden="1">
      <c r="A765" s="93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19"/>
      <c r="P765" s="22"/>
      <c r="Q765" s="22"/>
      <c r="R765" s="22"/>
    </row>
    <row r="766" hidden="1">
      <c r="A766" s="93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19"/>
      <c r="P766" s="22"/>
      <c r="Q766" s="22"/>
      <c r="R766" s="22"/>
    </row>
    <row r="767" hidden="1">
      <c r="A767" s="93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19"/>
      <c r="P767" s="22"/>
      <c r="Q767" s="22"/>
      <c r="R767" s="22"/>
    </row>
    <row r="768" hidden="1">
      <c r="A768" s="93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19"/>
      <c r="P768" s="22"/>
      <c r="Q768" s="22"/>
      <c r="R768" s="22"/>
    </row>
    <row r="769" hidden="1">
      <c r="A769" s="93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19"/>
      <c r="P769" s="22"/>
      <c r="Q769" s="22"/>
      <c r="R769" s="22"/>
    </row>
    <row r="770" hidden="1">
      <c r="A770" s="93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19"/>
      <c r="P770" s="22"/>
      <c r="Q770" s="22"/>
      <c r="R770" s="22"/>
    </row>
    <row r="771" hidden="1">
      <c r="A771" s="93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19"/>
      <c r="P771" s="22"/>
      <c r="Q771" s="22"/>
      <c r="R771" s="22"/>
    </row>
    <row r="772" hidden="1">
      <c r="A772" s="93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19"/>
      <c r="P772" s="22"/>
      <c r="Q772" s="22"/>
      <c r="R772" s="22"/>
    </row>
    <row r="773" hidden="1">
      <c r="A773" s="93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19"/>
      <c r="P773" s="22"/>
      <c r="Q773" s="22"/>
      <c r="R773" s="22"/>
    </row>
    <row r="774" hidden="1">
      <c r="A774" s="93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19"/>
      <c r="P774" s="22"/>
      <c r="Q774" s="22"/>
      <c r="R774" s="22"/>
    </row>
    <row r="775" hidden="1">
      <c r="A775" s="93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19"/>
      <c r="P775" s="22"/>
      <c r="Q775" s="22"/>
      <c r="R775" s="22"/>
    </row>
    <row r="776" hidden="1">
      <c r="A776" s="93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19"/>
      <c r="P776" s="22"/>
      <c r="Q776" s="22"/>
      <c r="R776" s="22"/>
    </row>
    <row r="777" hidden="1">
      <c r="A777" s="93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19"/>
      <c r="P777" s="22"/>
      <c r="Q777" s="22"/>
      <c r="R777" s="22"/>
    </row>
    <row r="778" hidden="1">
      <c r="A778" s="93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19"/>
      <c r="P778" s="22"/>
      <c r="Q778" s="22"/>
      <c r="R778" s="22"/>
    </row>
    <row r="779" hidden="1">
      <c r="A779" s="93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19"/>
      <c r="P779" s="22"/>
      <c r="Q779" s="22"/>
      <c r="R779" s="22"/>
    </row>
    <row r="780" hidden="1">
      <c r="A780" s="93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19"/>
      <c r="P780" s="22"/>
      <c r="Q780" s="22"/>
      <c r="R780" s="22"/>
    </row>
    <row r="781" hidden="1">
      <c r="A781" s="93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19"/>
      <c r="P781" s="22"/>
      <c r="Q781" s="22"/>
      <c r="R781" s="22"/>
    </row>
    <row r="782" hidden="1">
      <c r="A782" s="93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19"/>
      <c r="P782" s="22"/>
      <c r="Q782" s="22"/>
      <c r="R782" s="22"/>
    </row>
    <row r="783" hidden="1">
      <c r="A783" s="93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19"/>
      <c r="P783" s="22"/>
      <c r="Q783" s="22"/>
      <c r="R783" s="22"/>
    </row>
    <row r="784" hidden="1">
      <c r="A784" s="93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19"/>
      <c r="P784" s="22"/>
      <c r="Q784" s="22"/>
      <c r="R784" s="22"/>
    </row>
    <row r="785" hidden="1">
      <c r="A785" s="93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19"/>
      <c r="P785" s="22"/>
      <c r="Q785" s="22"/>
      <c r="R785" s="22"/>
    </row>
    <row r="786" hidden="1">
      <c r="A786" s="93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19"/>
      <c r="P786" s="22"/>
      <c r="Q786" s="22"/>
      <c r="R786" s="22"/>
    </row>
    <row r="787" hidden="1">
      <c r="A787" s="93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19"/>
      <c r="P787" s="22"/>
      <c r="Q787" s="22"/>
      <c r="R787" s="22"/>
    </row>
    <row r="788" hidden="1">
      <c r="A788" s="93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19"/>
      <c r="P788" s="22"/>
      <c r="Q788" s="22"/>
      <c r="R788" s="22"/>
    </row>
    <row r="789" hidden="1">
      <c r="A789" s="93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19"/>
      <c r="P789" s="22"/>
      <c r="Q789" s="22"/>
      <c r="R789" s="22"/>
    </row>
    <row r="790" hidden="1">
      <c r="A790" s="93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19"/>
      <c r="P790" s="22"/>
      <c r="Q790" s="22"/>
      <c r="R790" s="22"/>
    </row>
    <row r="791" hidden="1">
      <c r="A791" s="93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19"/>
      <c r="P791" s="22"/>
      <c r="Q791" s="22"/>
      <c r="R791" s="22"/>
    </row>
    <row r="792" hidden="1">
      <c r="A792" s="93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19"/>
      <c r="P792" s="22"/>
      <c r="Q792" s="22"/>
      <c r="R792" s="22"/>
    </row>
    <row r="793" hidden="1">
      <c r="A793" s="93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19"/>
      <c r="P793" s="22"/>
      <c r="Q793" s="22"/>
      <c r="R793" s="22"/>
    </row>
    <row r="794" hidden="1">
      <c r="A794" s="93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19"/>
      <c r="P794" s="22"/>
      <c r="Q794" s="22"/>
      <c r="R794" s="22"/>
    </row>
    <row r="795" hidden="1">
      <c r="A795" s="93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19"/>
      <c r="P795" s="22"/>
      <c r="Q795" s="22"/>
      <c r="R795" s="22"/>
    </row>
    <row r="796" hidden="1">
      <c r="A796" s="93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19"/>
      <c r="P796" s="22"/>
      <c r="Q796" s="22"/>
      <c r="R796" s="22"/>
    </row>
    <row r="797" hidden="1">
      <c r="A797" s="93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19"/>
      <c r="P797" s="22"/>
      <c r="Q797" s="22"/>
      <c r="R797" s="22"/>
    </row>
    <row r="798" hidden="1">
      <c r="A798" s="93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19"/>
      <c r="P798" s="22"/>
      <c r="Q798" s="22"/>
      <c r="R798" s="22"/>
    </row>
    <row r="799" hidden="1">
      <c r="A799" s="93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19"/>
      <c r="P799" s="22"/>
      <c r="Q799" s="22"/>
      <c r="R799" s="22"/>
    </row>
    <row r="800" hidden="1">
      <c r="A800" s="93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19"/>
      <c r="P800" s="22"/>
      <c r="Q800" s="22"/>
      <c r="R800" s="22"/>
    </row>
    <row r="801" hidden="1">
      <c r="A801" s="93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19"/>
      <c r="P801" s="22"/>
      <c r="Q801" s="22"/>
      <c r="R801" s="22"/>
    </row>
    <row r="802" hidden="1">
      <c r="A802" s="93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19"/>
      <c r="P802" s="22"/>
      <c r="Q802" s="22"/>
      <c r="R802" s="22"/>
    </row>
    <row r="803" hidden="1">
      <c r="A803" s="93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19"/>
      <c r="P803" s="22"/>
      <c r="Q803" s="22"/>
      <c r="R803" s="22"/>
    </row>
    <row r="804" hidden="1">
      <c r="A804" s="93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19"/>
      <c r="P804" s="22"/>
      <c r="Q804" s="22"/>
      <c r="R804" s="22"/>
    </row>
    <row r="805" hidden="1">
      <c r="A805" s="93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19"/>
      <c r="P805" s="22"/>
      <c r="Q805" s="22"/>
      <c r="R805" s="22"/>
    </row>
    <row r="806" hidden="1">
      <c r="A806" s="93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19"/>
      <c r="P806" s="22"/>
      <c r="Q806" s="22"/>
      <c r="R806" s="22"/>
    </row>
    <row r="807" hidden="1">
      <c r="A807" s="93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19"/>
      <c r="P807" s="22"/>
      <c r="Q807" s="22"/>
      <c r="R807" s="22"/>
    </row>
    <row r="808" hidden="1">
      <c r="A808" s="93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19"/>
      <c r="P808" s="22"/>
      <c r="Q808" s="22"/>
      <c r="R808" s="22"/>
    </row>
    <row r="809" hidden="1">
      <c r="A809" s="93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19"/>
      <c r="P809" s="22"/>
      <c r="Q809" s="22"/>
      <c r="R809" s="22"/>
    </row>
    <row r="810" hidden="1">
      <c r="A810" s="93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19"/>
      <c r="P810" s="22"/>
      <c r="Q810" s="22"/>
      <c r="R810" s="22"/>
    </row>
    <row r="811" hidden="1">
      <c r="A811" s="93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19"/>
      <c r="P811" s="22"/>
      <c r="Q811" s="22"/>
      <c r="R811" s="22"/>
    </row>
    <row r="812" hidden="1">
      <c r="A812" s="93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19"/>
      <c r="P812" s="22"/>
      <c r="Q812" s="22"/>
      <c r="R812" s="22"/>
    </row>
    <row r="813" hidden="1">
      <c r="A813" s="93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19"/>
      <c r="P813" s="22"/>
      <c r="Q813" s="22"/>
      <c r="R813" s="22"/>
    </row>
    <row r="814" hidden="1">
      <c r="A814" s="93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19"/>
      <c r="P814" s="22"/>
      <c r="Q814" s="22"/>
      <c r="R814" s="22"/>
    </row>
    <row r="815" hidden="1">
      <c r="A815" s="93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19"/>
      <c r="P815" s="22"/>
      <c r="Q815" s="22"/>
      <c r="R815" s="22"/>
    </row>
    <row r="816" hidden="1">
      <c r="A816" s="93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19"/>
      <c r="P816" s="22"/>
      <c r="Q816" s="22"/>
      <c r="R816" s="22"/>
    </row>
    <row r="817" hidden="1">
      <c r="A817" s="93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19"/>
      <c r="P817" s="22"/>
      <c r="Q817" s="22"/>
      <c r="R817" s="22"/>
    </row>
    <row r="818" hidden="1">
      <c r="A818" s="93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19"/>
      <c r="P818" s="22"/>
      <c r="Q818" s="22"/>
      <c r="R818" s="22"/>
    </row>
    <row r="819" hidden="1">
      <c r="A819" s="93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19"/>
      <c r="P819" s="22"/>
      <c r="Q819" s="22"/>
      <c r="R819" s="22"/>
    </row>
    <row r="820" hidden="1">
      <c r="A820" s="93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19"/>
      <c r="P820" s="22"/>
      <c r="Q820" s="22"/>
      <c r="R820" s="22"/>
    </row>
    <row r="821" hidden="1">
      <c r="A821" s="93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19"/>
      <c r="P821" s="22"/>
      <c r="Q821" s="22"/>
      <c r="R821" s="22"/>
    </row>
    <row r="822" hidden="1">
      <c r="A822" s="93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19"/>
      <c r="P822" s="22"/>
      <c r="Q822" s="22"/>
      <c r="R822" s="22"/>
    </row>
    <row r="823" hidden="1">
      <c r="A823" s="93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19"/>
      <c r="P823" s="22"/>
      <c r="Q823" s="22"/>
      <c r="R823" s="22"/>
    </row>
    <row r="824" hidden="1">
      <c r="A824" s="93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19"/>
      <c r="P824" s="22"/>
      <c r="Q824" s="22"/>
      <c r="R824" s="22"/>
    </row>
    <row r="825" hidden="1">
      <c r="A825" s="93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19"/>
      <c r="P825" s="22"/>
      <c r="Q825" s="22"/>
      <c r="R825" s="22"/>
    </row>
    <row r="826" hidden="1">
      <c r="A826" s="93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19"/>
      <c r="P826" s="22"/>
      <c r="Q826" s="22"/>
      <c r="R826" s="22"/>
    </row>
    <row r="827" hidden="1">
      <c r="A827" s="93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19"/>
      <c r="P827" s="22"/>
      <c r="Q827" s="22"/>
      <c r="R827" s="22"/>
    </row>
    <row r="828" hidden="1">
      <c r="A828" s="93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19"/>
      <c r="P828" s="22"/>
      <c r="Q828" s="22"/>
      <c r="R828" s="22"/>
    </row>
    <row r="829" hidden="1">
      <c r="A829" s="93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19"/>
      <c r="P829" s="22"/>
      <c r="Q829" s="22"/>
      <c r="R829" s="22"/>
    </row>
    <row r="830" hidden="1">
      <c r="A830" s="93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19"/>
      <c r="P830" s="22"/>
      <c r="Q830" s="22"/>
      <c r="R830" s="22"/>
    </row>
    <row r="831" hidden="1">
      <c r="A831" s="93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19"/>
      <c r="P831" s="22"/>
      <c r="Q831" s="22"/>
      <c r="R831" s="22"/>
    </row>
    <row r="832" hidden="1">
      <c r="A832" s="93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19"/>
      <c r="P832" s="22"/>
      <c r="Q832" s="22"/>
      <c r="R832" s="22"/>
    </row>
    <row r="833" hidden="1">
      <c r="A833" s="93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19"/>
      <c r="P833" s="22"/>
      <c r="Q833" s="22"/>
      <c r="R833" s="22"/>
    </row>
    <row r="834" hidden="1">
      <c r="A834" s="93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19"/>
      <c r="P834" s="22"/>
      <c r="Q834" s="22"/>
      <c r="R834" s="22"/>
    </row>
    <row r="835" hidden="1">
      <c r="A835" s="93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19"/>
      <c r="P835" s="22"/>
      <c r="Q835" s="22"/>
      <c r="R835" s="22"/>
    </row>
    <row r="836" hidden="1">
      <c r="A836" s="93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19"/>
      <c r="P836" s="22"/>
      <c r="Q836" s="22"/>
      <c r="R836" s="22"/>
    </row>
    <row r="837" hidden="1">
      <c r="A837" s="93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19"/>
      <c r="P837" s="22"/>
      <c r="Q837" s="22"/>
      <c r="R837" s="22"/>
    </row>
    <row r="838" hidden="1">
      <c r="A838" s="93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19"/>
      <c r="P838" s="22"/>
      <c r="Q838" s="22"/>
      <c r="R838" s="22"/>
    </row>
    <row r="839" hidden="1">
      <c r="A839" s="93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19"/>
      <c r="P839" s="22"/>
      <c r="Q839" s="22"/>
      <c r="R839" s="22"/>
    </row>
    <row r="840" hidden="1">
      <c r="A840" s="93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19"/>
      <c r="P840" s="22"/>
      <c r="Q840" s="22"/>
      <c r="R840" s="22"/>
    </row>
    <row r="841" hidden="1">
      <c r="A841" s="93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19"/>
      <c r="P841" s="22"/>
      <c r="Q841" s="22"/>
      <c r="R841" s="22"/>
    </row>
    <row r="842" hidden="1">
      <c r="A842" s="93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19"/>
      <c r="P842" s="22"/>
      <c r="Q842" s="22"/>
      <c r="R842" s="22"/>
    </row>
    <row r="843" hidden="1">
      <c r="A843" s="93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19"/>
      <c r="P843" s="22"/>
      <c r="Q843" s="22"/>
      <c r="R843" s="22"/>
    </row>
    <row r="844" hidden="1">
      <c r="A844" s="93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19"/>
      <c r="P844" s="22"/>
      <c r="Q844" s="22"/>
      <c r="R844" s="22"/>
    </row>
    <row r="845" hidden="1">
      <c r="A845" s="93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19"/>
      <c r="P845" s="22"/>
      <c r="Q845" s="22"/>
      <c r="R845" s="22"/>
    </row>
    <row r="846" hidden="1">
      <c r="A846" s="93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19"/>
      <c r="P846" s="22"/>
      <c r="Q846" s="22"/>
      <c r="R846" s="22"/>
    </row>
    <row r="847" hidden="1">
      <c r="A847" s="93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19"/>
      <c r="P847" s="22"/>
      <c r="Q847" s="22"/>
      <c r="R847" s="22"/>
    </row>
    <row r="848" hidden="1">
      <c r="A848" s="93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19"/>
      <c r="P848" s="22"/>
      <c r="Q848" s="22"/>
      <c r="R848" s="22"/>
    </row>
    <row r="849" hidden="1">
      <c r="A849" s="93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19"/>
      <c r="P849" s="22"/>
      <c r="Q849" s="22"/>
      <c r="R849" s="22"/>
    </row>
    <row r="850" hidden="1">
      <c r="A850" s="93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19"/>
      <c r="P850" s="22"/>
      <c r="Q850" s="22"/>
      <c r="R850" s="22"/>
    </row>
    <row r="851" hidden="1">
      <c r="A851" s="93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19"/>
      <c r="P851" s="22"/>
      <c r="Q851" s="22"/>
      <c r="R851" s="22"/>
    </row>
    <row r="852" hidden="1">
      <c r="A852" s="93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19"/>
      <c r="P852" s="22"/>
      <c r="Q852" s="22"/>
      <c r="R852" s="22"/>
    </row>
    <row r="853" hidden="1">
      <c r="A853" s="93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19"/>
      <c r="P853" s="22"/>
      <c r="Q853" s="22"/>
      <c r="R853" s="22"/>
    </row>
    <row r="854" hidden="1">
      <c r="A854" s="93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19"/>
      <c r="P854" s="22"/>
      <c r="Q854" s="22"/>
      <c r="R854" s="22"/>
    </row>
    <row r="855" hidden="1">
      <c r="A855" s="93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19"/>
      <c r="P855" s="22"/>
      <c r="Q855" s="22"/>
      <c r="R855" s="22"/>
    </row>
    <row r="856" hidden="1">
      <c r="A856" s="93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19"/>
      <c r="P856" s="22"/>
      <c r="Q856" s="22"/>
      <c r="R856" s="22"/>
    </row>
    <row r="857" hidden="1">
      <c r="A857" s="93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19"/>
      <c r="P857" s="22"/>
      <c r="Q857" s="22"/>
      <c r="R857" s="22"/>
    </row>
    <row r="858" hidden="1">
      <c r="A858" s="93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19"/>
      <c r="P858" s="22"/>
      <c r="Q858" s="22"/>
      <c r="R858" s="22"/>
    </row>
    <row r="859" hidden="1">
      <c r="A859" s="93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19"/>
      <c r="P859" s="22"/>
      <c r="Q859" s="22"/>
      <c r="R859" s="22"/>
    </row>
    <row r="860" hidden="1">
      <c r="A860" s="93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19"/>
      <c r="P860" s="22"/>
      <c r="Q860" s="22"/>
      <c r="R860" s="22"/>
    </row>
    <row r="861" hidden="1">
      <c r="A861" s="93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19"/>
      <c r="P861" s="22"/>
      <c r="Q861" s="22"/>
      <c r="R861" s="22"/>
    </row>
    <row r="862" hidden="1">
      <c r="A862" s="93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19"/>
      <c r="P862" s="22"/>
      <c r="Q862" s="22"/>
      <c r="R862" s="22"/>
    </row>
    <row r="863" hidden="1">
      <c r="A863" s="93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19"/>
      <c r="P863" s="22"/>
      <c r="Q863" s="22"/>
      <c r="R863" s="22"/>
    </row>
    <row r="864" hidden="1">
      <c r="A864" s="93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19"/>
      <c r="P864" s="22"/>
      <c r="Q864" s="22"/>
      <c r="R864" s="22"/>
    </row>
    <row r="865" hidden="1">
      <c r="A865" s="93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19"/>
      <c r="P865" s="22"/>
      <c r="Q865" s="22"/>
      <c r="R865" s="22"/>
    </row>
    <row r="866" hidden="1">
      <c r="A866" s="93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19"/>
      <c r="P866" s="22"/>
      <c r="Q866" s="22"/>
      <c r="R866" s="22"/>
    </row>
    <row r="867" hidden="1">
      <c r="A867" s="93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19"/>
      <c r="P867" s="22"/>
      <c r="Q867" s="22"/>
      <c r="R867" s="22"/>
    </row>
    <row r="868" hidden="1">
      <c r="A868" s="93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19"/>
      <c r="P868" s="22"/>
      <c r="Q868" s="22"/>
      <c r="R868" s="22"/>
    </row>
    <row r="869" hidden="1">
      <c r="A869" s="93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19"/>
      <c r="P869" s="22"/>
      <c r="Q869" s="22"/>
      <c r="R869" s="22"/>
    </row>
    <row r="870" hidden="1">
      <c r="A870" s="93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19"/>
      <c r="P870" s="22"/>
      <c r="Q870" s="22"/>
      <c r="R870" s="22"/>
    </row>
    <row r="871" hidden="1">
      <c r="A871" s="93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19"/>
      <c r="P871" s="22"/>
      <c r="Q871" s="22"/>
      <c r="R871" s="22"/>
    </row>
    <row r="872" hidden="1">
      <c r="A872" s="93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19"/>
      <c r="P872" s="22"/>
      <c r="Q872" s="22"/>
      <c r="R872" s="22"/>
    </row>
    <row r="873" hidden="1">
      <c r="A873" s="93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19"/>
      <c r="P873" s="22"/>
      <c r="Q873" s="22"/>
      <c r="R873" s="22"/>
    </row>
    <row r="874" hidden="1">
      <c r="A874" s="93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19"/>
      <c r="P874" s="22"/>
      <c r="Q874" s="22"/>
      <c r="R874" s="22"/>
    </row>
    <row r="875" hidden="1">
      <c r="A875" s="93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19"/>
      <c r="P875" s="22"/>
      <c r="Q875" s="22"/>
      <c r="R875" s="22"/>
    </row>
    <row r="876" hidden="1">
      <c r="A876" s="93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19"/>
      <c r="P876" s="22"/>
      <c r="Q876" s="22"/>
      <c r="R876" s="22"/>
    </row>
    <row r="877" hidden="1">
      <c r="A877" s="93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19"/>
      <c r="P877" s="22"/>
      <c r="Q877" s="22"/>
      <c r="R877" s="22"/>
    </row>
    <row r="878" hidden="1">
      <c r="A878" s="93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19"/>
      <c r="P878" s="22"/>
      <c r="Q878" s="22"/>
      <c r="R878" s="22"/>
    </row>
    <row r="879" hidden="1">
      <c r="A879" s="93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19"/>
      <c r="P879" s="22"/>
      <c r="Q879" s="22"/>
      <c r="R879" s="22"/>
    </row>
    <row r="880" hidden="1">
      <c r="A880" s="93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19"/>
      <c r="P880" s="22"/>
      <c r="Q880" s="22"/>
      <c r="R880" s="22"/>
    </row>
    <row r="881" hidden="1">
      <c r="A881" s="93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19"/>
      <c r="P881" s="22"/>
      <c r="Q881" s="22"/>
      <c r="R881" s="22"/>
    </row>
    <row r="882" hidden="1">
      <c r="A882" s="93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19"/>
      <c r="P882" s="22"/>
      <c r="Q882" s="22"/>
      <c r="R882" s="22"/>
    </row>
    <row r="883" hidden="1">
      <c r="A883" s="93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19"/>
      <c r="P883" s="22"/>
      <c r="Q883" s="22"/>
      <c r="R883" s="22"/>
    </row>
    <row r="884" hidden="1">
      <c r="A884" s="93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19"/>
      <c r="P884" s="22"/>
      <c r="Q884" s="22"/>
      <c r="R884" s="22"/>
    </row>
    <row r="885" hidden="1">
      <c r="A885" s="93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19"/>
      <c r="P885" s="22"/>
      <c r="Q885" s="22"/>
      <c r="R885" s="22"/>
    </row>
    <row r="886" hidden="1">
      <c r="A886" s="93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19"/>
      <c r="P886" s="22"/>
      <c r="Q886" s="22"/>
      <c r="R886" s="22"/>
    </row>
    <row r="887" hidden="1">
      <c r="A887" s="93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19"/>
      <c r="P887" s="22"/>
      <c r="Q887" s="22"/>
      <c r="R887" s="22"/>
    </row>
    <row r="888" hidden="1">
      <c r="A888" s="93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19"/>
      <c r="P888" s="22"/>
      <c r="Q888" s="22"/>
      <c r="R888" s="22"/>
    </row>
    <row r="889" hidden="1">
      <c r="A889" s="93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19"/>
      <c r="P889" s="22"/>
      <c r="Q889" s="22"/>
      <c r="R889" s="22"/>
    </row>
    <row r="890" hidden="1">
      <c r="A890" s="93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19"/>
      <c r="P890" s="22"/>
      <c r="Q890" s="22"/>
      <c r="R890" s="22"/>
    </row>
    <row r="891" hidden="1">
      <c r="A891" s="93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19"/>
      <c r="P891" s="22"/>
      <c r="Q891" s="22"/>
      <c r="R891" s="22"/>
    </row>
    <row r="892" hidden="1">
      <c r="A892" s="93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19"/>
      <c r="P892" s="22"/>
      <c r="Q892" s="22"/>
      <c r="R892" s="22"/>
    </row>
    <row r="893" hidden="1">
      <c r="A893" s="93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19"/>
      <c r="P893" s="22"/>
      <c r="Q893" s="22"/>
      <c r="R893" s="22"/>
    </row>
    <row r="894" hidden="1">
      <c r="A894" s="93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19"/>
      <c r="P894" s="22"/>
      <c r="Q894" s="22"/>
      <c r="R894" s="22"/>
    </row>
    <row r="895" hidden="1">
      <c r="A895" s="93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19"/>
      <c r="P895" s="22"/>
      <c r="Q895" s="22"/>
      <c r="R895" s="22"/>
    </row>
    <row r="896" hidden="1">
      <c r="A896" s="93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19"/>
      <c r="P896" s="22"/>
      <c r="Q896" s="22"/>
      <c r="R896" s="22"/>
    </row>
    <row r="897" hidden="1">
      <c r="A897" s="93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19"/>
      <c r="P897" s="22"/>
      <c r="Q897" s="22"/>
      <c r="R897" s="22"/>
    </row>
    <row r="898" hidden="1">
      <c r="A898" s="93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19"/>
      <c r="P898" s="22"/>
      <c r="Q898" s="22"/>
      <c r="R898" s="22"/>
    </row>
    <row r="899" hidden="1">
      <c r="A899" s="93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19"/>
      <c r="P899" s="22"/>
      <c r="Q899" s="22"/>
      <c r="R899" s="22"/>
    </row>
    <row r="900" hidden="1">
      <c r="A900" s="93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19"/>
      <c r="P900" s="22"/>
      <c r="Q900" s="22"/>
      <c r="R900" s="22"/>
    </row>
    <row r="901" hidden="1">
      <c r="A901" s="93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19"/>
      <c r="P901" s="22"/>
      <c r="Q901" s="22"/>
      <c r="R901" s="22"/>
    </row>
    <row r="902" hidden="1">
      <c r="A902" s="93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19"/>
      <c r="P902" s="22"/>
      <c r="Q902" s="22"/>
      <c r="R902" s="22"/>
    </row>
    <row r="903" hidden="1">
      <c r="A903" s="93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19"/>
      <c r="P903" s="22"/>
      <c r="Q903" s="22"/>
      <c r="R903" s="22"/>
    </row>
    <row r="904" hidden="1">
      <c r="A904" s="93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19"/>
      <c r="P904" s="22"/>
      <c r="Q904" s="22"/>
      <c r="R904" s="22"/>
    </row>
    <row r="905" hidden="1">
      <c r="A905" s="93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19"/>
      <c r="P905" s="22"/>
      <c r="Q905" s="22"/>
      <c r="R905" s="22"/>
    </row>
    <row r="906" hidden="1">
      <c r="A906" s="93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19"/>
      <c r="P906" s="22"/>
      <c r="Q906" s="22"/>
      <c r="R906" s="22"/>
    </row>
    <row r="907" hidden="1">
      <c r="A907" s="93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19"/>
      <c r="P907" s="22"/>
      <c r="Q907" s="22"/>
      <c r="R907" s="22"/>
    </row>
    <row r="908" hidden="1">
      <c r="A908" s="93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19"/>
      <c r="P908" s="22"/>
      <c r="Q908" s="22"/>
      <c r="R908" s="22"/>
    </row>
    <row r="909" hidden="1">
      <c r="A909" s="93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19"/>
      <c r="P909" s="22"/>
      <c r="Q909" s="22"/>
      <c r="R909" s="22"/>
    </row>
    <row r="910" hidden="1">
      <c r="A910" s="93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19"/>
      <c r="P910" s="22"/>
      <c r="Q910" s="22"/>
      <c r="R910" s="22"/>
    </row>
    <row r="911" hidden="1">
      <c r="A911" s="93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19"/>
      <c r="P911" s="22"/>
      <c r="Q911" s="22"/>
      <c r="R911" s="22"/>
    </row>
    <row r="912" hidden="1">
      <c r="A912" s="93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19"/>
      <c r="P912" s="22"/>
      <c r="Q912" s="22"/>
      <c r="R912" s="22"/>
    </row>
    <row r="913" hidden="1">
      <c r="A913" s="93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19"/>
      <c r="P913" s="22"/>
      <c r="Q913" s="22"/>
      <c r="R913" s="22"/>
    </row>
    <row r="914" hidden="1">
      <c r="A914" s="93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19"/>
      <c r="P914" s="22"/>
      <c r="Q914" s="22"/>
      <c r="R914" s="22"/>
    </row>
    <row r="915" hidden="1">
      <c r="A915" s="93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19"/>
      <c r="P915" s="22"/>
      <c r="Q915" s="22"/>
      <c r="R915" s="22"/>
    </row>
    <row r="916" hidden="1">
      <c r="A916" s="93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19"/>
      <c r="P916" s="22"/>
      <c r="Q916" s="22"/>
      <c r="R916" s="22"/>
    </row>
    <row r="917" hidden="1">
      <c r="A917" s="93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19"/>
      <c r="P917" s="22"/>
      <c r="Q917" s="22"/>
      <c r="R917" s="22"/>
    </row>
    <row r="918" hidden="1">
      <c r="A918" s="93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19"/>
      <c r="P918" s="22"/>
      <c r="Q918" s="22"/>
      <c r="R918" s="22"/>
    </row>
    <row r="919" hidden="1">
      <c r="A919" s="93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19"/>
      <c r="P919" s="22"/>
      <c r="Q919" s="22"/>
      <c r="R919" s="22"/>
    </row>
    <row r="920" hidden="1">
      <c r="A920" s="93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19"/>
      <c r="P920" s="22"/>
      <c r="Q920" s="22"/>
      <c r="R920" s="22"/>
    </row>
    <row r="921" hidden="1">
      <c r="A921" s="93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19"/>
      <c r="P921" s="22"/>
      <c r="Q921" s="22"/>
      <c r="R921" s="22"/>
    </row>
    <row r="922" hidden="1">
      <c r="A922" s="93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19"/>
      <c r="P922" s="22"/>
      <c r="Q922" s="22"/>
      <c r="R922" s="22"/>
    </row>
    <row r="923" hidden="1">
      <c r="A923" s="93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19"/>
      <c r="P923" s="22"/>
      <c r="Q923" s="22"/>
      <c r="R923" s="22"/>
    </row>
    <row r="924" hidden="1">
      <c r="A924" s="93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19"/>
      <c r="P924" s="22"/>
      <c r="Q924" s="22"/>
      <c r="R924" s="22"/>
    </row>
    <row r="925" hidden="1">
      <c r="A925" s="93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19"/>
      <c r="P925" s="22"/>
      <c r="Q925" s="22"/>
      <c r="R925" s="22"/>
    </row>
    <row r="926" hidden="1">
      <c r="A926" s="93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19"/>
      <c r="P926" s="22"/>
      <c r="Q926" s="22"/>
      <c r="R926" s="22"/>
    </row>
    <row r="927" hidden="1">
      <c r="A927" s="93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19"/>
      <c r="P927" s="22"/>
      <c r="Q927" s="22"/>
      <c r="R927" s="22"/>
    </row>
    <row r="928" hidden="1">
      <c r="A928" s="93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19"/>
      <c r="P928" s="22"/>
      <c r="Q928" s="22"/>
      <c r="R928" s="22"/>
    </row>
    <row r="929" hidden="1">
      <c r="A929" s="93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19"/>
      <c r="P929" s="22"/>
      <c r="Q929" s="22"/>
      <c r="R929" s="22"/>
    </row>
    <row r="930" hidden="1">
      <c r="A930" s="93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19"/>
      <c r="P930" s="22"/>
      <c r="Q930" s="22"/>
      <c r="R930" s="22"/>
    </row>
    <row r="931" hidden="1">
      <c r="A931" s="93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19"/>
      <c r="P931" s="22"/>
      <c r="Q931" s="22"/>
      <c r="R931" s="22"/>
    </row>
    <row r="932" hidden="1">
      <c r="A932" s="93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19"/>
      <c r="P932" s="22"/>
      <c r="Q932" s="22"/>
      <c r="R932" s="22"/>
    </row>
    <row r="933" hidden="1">
      <c r="A933" s="93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19"/>
      <c r="P933" s="22"/>
      <c r="Q933" s="22"/>
      <c r="R933" s="22"/>
    </row>
    <row r="934" hidden="1">
      <c r="A934" s="93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19"/>
      <c r="P934" s="22"/>
      <c r="Q934" s="22"/>
      <c r="R934" s="22"/>
    </row>
    <row r="935" hidden="1">
      <c r="A935" s="93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19"/>
      <c r="P935" s="22"/>
      <c r="Q935" s="22"/>
      <c r="R935" s="22"/>
    </row>
    <row r="936" hidden="1">
      <c r="A936" s="93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19"/>
      <c r="P936" s="22"/>
      <c r="Q936" s="22"/>
      <c r="R936" s="22"/>
    </row>
    <row r="937" hidden="1">
      <c r="A937" s="93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19"/>
      <c r="P937" s="22"/>
      <c r="Q937" s="22"/>
      <c r="R937" s="22"/>
    </row>
    <row r="938" hidden="1">
      <c r="A938" s="93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19"/>
      <c r="P938" s="22"/>
      <c r="Q938" s="22"/>
      <c r="R938" s="22"/>
    </row>
    <row r="939" hidden="1">
      <c r="A939" s="93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19"/>
      <c r="P939" s="22"/>
      <c r="Q939" s="22"/>
      <c r="R939" s="22"/>
    </row>
    <row r="940" hidden="1">
      <c r="A940" s="93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19"/>
      <c r="P940" s="22"/>
      <c r="Q940" s="22"/>
      <c r="R940" s="22"/>
    </row>
    <row r="941" hidden="1">
      <c r="A941" s="93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19"/>
      <c r="P941" s="22"/>
      <c r="Q941" s="22"/>
      <c r="R941" s="22"/>
    </row>
    <row r="942" hidden="1">
      <c r="A942" s="93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19"/>
      <c r="P942" s="22"/>
      <c r="Q942" s="22"/>
      <c r="R942" s="22"/>
    </row>
    <row r="943" hidden="1">
      <c r="A943" s="93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19"/>
      <c r="P943" s="22"/>
      <c r="Q943" s="22"/>
      <c r="R943" s="22"/>
    </row>
    <row r="944" hidden="1">
      <c r="A944" s="93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19"/>
      <c r="P944" s="22"/>
      <c r="Q944" s="22"/>
      <c r="R944" s="22"/>
    </row>
    <row r="945" hidden="1">
      <c r="A945" s="93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19"/>
      <c r="P945" s="22"/>
      <c r="Q945" s="22"/>
      <c r="R945" s="22"/>
    </row>
    <row r="946" hidden="1">
      <c r="A946" s="93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19"/>
      <c r="P946" s="22"/>
      <c r="Q946" s="22"/>
      <c r="R946" s="22"/>
    </row>
    <row r="947" hidden="1">
      <c r="A947" s="93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19"/>
      <c r="P947" s="22"/>
      <c r="Q947" s="22"/>
      <c r="R947" s="22"/>
    </row>
    <row r="948" hidden="1">
      <c r="A948" s="93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19"/>
      <c r="P948" s="22"/>
      <c r="Q948" s="22"/>
      <c r="R948" s="22"/>
    </row>
    <row r="949" hidden="1">
      <c r="A949" s="93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19"/>
      <c r="P949" s="22"/>
      <c r="Q949" s="22"/>
      <c r="R949" s="22"/>
    </row>
    <row r="950" hidden="1">
      <c r="A950" s="93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19"/>
      <c r="P950" s="22"/>
      <c r="Q950" s="22"/>
      <c r="R950" s="22"/>
    </row>
    <row r="951" hidden="1">
      <c r="A951" s="93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19"/>
      <c r="P951" s="22"/>
      <c r="Q951" s="22"/>
      <c r="R951" s="22"/>
    </row>
    <row r="952" hidden="1">
      <c r="A952" s="93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19"/>
      <c r="P952" s="22"/>
      <c r="Q952" s="22"/>
      <c r="R952" s="22"/>
    </row>
    <row r="953" hidden="1">
      <c r="A953" s="93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19"/>
      <c r="P953" s="22"/>
      <c r="Q953" s="22"/>
      <c r="R953" s="22"/>
    </row>
    <row r="954" hidden="1">
      <c r="A954" s="93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19"/>
      <c r="P954" s="22"/>
      <c r="Q954" s="22"/>
      <c r="R954" s="22"/>
    </row>
    <row r="955" hidden="1">
      <c r="A955" s="93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19"/>
      <c r="P955" s="22"/>
      <c r="Q955" s="22"/>
      <c r="R955" s="22"/>
    </row>
    <row r="956" hidden="1">
      <c r="A956" s="93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19"/>
      <c r="P956" s="22"/>
      <c r="Q956" s="22"/>
      <c r="R956" s="22"/>
    </row>
    <row r="957" hidden="1">
      <c r="A957" s="93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19"/>
      <c r="P957" s="22"/>
      <c r="Q957" s="22"/>
      <c r="R957" s="22"/>
    </row>
    <row r="958" hidden="1">
      <c r="A958" s="93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19"/>
      <c r="P958" s="22"/>
      <c r="Q958" s="22"/>
      <c r="R958" s="22"/>
    </row>
    <row r="959" hidden="1">
      <c r="A959" s="93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19"/>
      <c r="P959" s="22"/>
      <c r="Q959" s="22"/>
      <c r="R959" s="22"/>
    </row>
    <row r="960" hidden="1">
      <c r="A960" s="93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19"/>
      <c r="P960" s="22"/>
      <c r="Q960" s="22"/>
      <c r="R960" s="22"/>
    </row>
    <row r="961" hidden="1">
      <c r="A961" s="93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19"/>
      <c r="P961" s="22"/>
      <c r="Q961" s="22"/>
      <c r="R961" s="22"/>
    </row>
    <row r="962" hidden="1">
      <c r="A962" s="93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19"/>
      <c r="P962" s="22"/>
      <c r="Q962" s="22"/>
      <c r="R962" s="22"/>
    </row>
    <row r="963" hidden="1">
      <c r="A963" s="93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19"/>
      <c r="P963" s="22"/>
      <c r="Q963" s="22"/>
      <c r="R963" s="22"/>
    </row>
    <row r="964" hidden="1">
      <c r="A964" s="93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19"/>
      <c r="P964" s="22"/>
      <c r="Q964" s="22"/>
      <c r="R964" s="22"/>
    </row>
    <row r="965" hidden="1">
      <c r="A965" s="93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19"/>
      <c r="P965" s="22"/>
      <c r="Q965" s="22"/>
      <c r="R965" s="22"/>
    </row>
    <row r="966" hidden="1">
      <c r="A966" s="93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19"/>
      <c r="P966" s="22"/>
      <c r="Q966" s="22"/>
      <c r="R966" s="22"/>
    </row>
    <row r="967" hidden="1">
      <c r="A967" s="93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19"/>
      <c r="P967" s="22"/>
      <c r="Q967" s="22"/>
      <c r="R967" s="22"/>
    </row>
    <row r="968" hidden="1">
      <c r="A968" s="93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19"/>
      <c r="P968" s="22"/>
      <c r="Q968" s="22"/>
      <c r="R968" s="22"/>
    </row>
    <row r="969" hidden="1">
      <c r="A969" s="93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19"/>
      <c r="P969" s="22"/>
      <c r="Q969" s="22"/>
      <c r="R969" s="22"/>
    </row>
    <row r="970" hidden="1">
      <c r="A970" s="93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19"/>
      <c r="P970" s="22"/>
      <c r="Q970" s="22"/>
      <c r="R970" s="22"/>
    </row>
    <row r="971" hidden="1">
      <c r="A971" s="93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19"/>
      <c r="P971" s="22"/>
      <c r="Q971" s="22"/>
      <c r="R971" s="22"/>
    </row>
    <row r="972" hidden="1">
      <c r="A972" s="93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19"/>
      <c r="P972" s="22"/>
      <c r="Q972" s="22"/>
      <c r="R972" s="22"/>
    </row>
    <row r="973" hidden="1">
      <c r="A973" s="93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19"/>
      <c r="P973" s="22"/>
      <c r="Q973" s="22"/>
      <c r="R973" s="22"/>
    </row>
    <row r="974" hidden="1">
      <c r="A974" s="93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19"/>
      <c r="P974" s="22"/>
      <c r="Q974" s="22"/>
      <c r="R974" s="22"/>
    </row>
    <row r="975" hidden="1">
      <c r="A975" s="93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19"/>
      <c r="P975" s="22"/>
      <c r="Q975" s="22"/>
      <c r="R975" s="22"/>
    </row>
    <row r="976" hidden="1">
      <c r="A976" s="93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19"/>
      <c r="P976" s="22"/>
      <c r="Q976" s="22"/>
      <c r="R976" s="22"/>
    </row>
    <row r="977" hidden="1">
      <c r="A977" s="93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19"/>
      <c r="P977" s="22"/>
      <c r="Q977" s="22"/>
      <c r="R977" s="22"/>
    </row>
    <row r="978" hidden="1">
      <c r="A978" s="93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19"/>
      <c r="P978" s="22"/>
      <c r="Q978" s="22"/>
      <c r="R978" s="22"/>
    </row>
    <row r="979" hidden="1">
      <c r="A979" s="93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19"/>
      <c r="P979" s="22"/>
      <c r="Q979" s="22"/>
      <c r="R979" s="22"/>
    </row>
    <row r="980" hidden="1">
      <c r="A980" s="93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19"/>
      <c r="P980" s="22"/>
      <c r="Q980" s="22"/>
      <c r="R980" s="22"/>
    </row>
    <row r="981" hidden="1">
      <c r="A981" s="93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19"/>
      <c r="P981" s="22"/>
      <c r="Q981" s="22"/>
      <c r="R981" s="22"/>
    </row>
    <row r="982" hidden="1">
      <c r="A982" s="93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19"/>
      <c r="P982" s="22"/>
      <c r="Q982" s="22"/>
      <c r="R982" s="22"/>
    </row>
    <row r="983" hidden="1">
      <c r="A983" s="93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19"/>
      <c r="P983" s="22"/>
      <c r="Q983" s="22"/>
      <c r="R983" s="22"/>
    </row>
    <row r="984" hidden="1">
      <c r="A984" s="93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19"/>
      <c r="P984" s="22"/>
      <c r="Q984" s="22"/>
      <c r="R984" s="22"/>
    </row>
    <row r="985" hidden="1">
      <c r="A985" s="93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19"/>
      <c r="P985" s="22"/>
      <c r="Q985" s="22"/>
      <c r="R985" s="22"/>
    </row>
    <row r="986" hidden="1">
      <c r="A986" s="93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19"/>
      <c r="P986" s="22"/>
      <c r="Q986" s="22"/>
      <c r="R986" s="22"/>
    </row>
    <row r="987" hidden="1">
      <c r="A987" s="93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19"/>
      <c r="P987" s="22"/>
      <c r="Q987" s="22"/>
      <c r="R987" s="22"/>
    </row>
    <row r="988" hidden="1">
      <c r="A988" s="93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19"/>
      <c r="P988" s="22"/>
      <c r="Q988" s="22"/>
      <c r="R988" s="22"/>
    </row>
    <row r="989" hidden="1">
      <c r="A989" s="93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19"/>
      <c r="P989" s="22"/>
      <c r="Q989" s="22"/>
      <c r="R989" s="22"/>
    </row>
    <row r="990" hidden="1">
      <c r="A990" s="93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19"/>
      <c r="P990" s="22"/>
      <c r="Q990" s="22"/>
      <c r="R990" s="22"/>
    </row>
    <row r="991" hidden="1">
      <c r="A991" s="93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19"/>
      <c r="P991" s="22"/>
      <c r="Q991" s="22"/>
      <c r="R991" s="22"/>
    </row>
    <row r="992" hidden="1">
      <c r="A992" s="93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19"/>
      <c r="P992" s="22"/>
      <c r="Q992" s="22"/>
      <c r="R992" s="22"/>
    </row>
    <row r="993" hidden="1">
      <c r="A993" s="93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19"/>
      <c r="P993" s="22"/>
      <c r="Q993" s="22"/>
      <c r="R993" s="22"/>
    </row>
    <row r="994" hidden="1">
      <c r="A994" s="93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19"/>
      <c r="P994" s="22"/>
      <c r="Q994" s="22"/>
      <c r="R994" s="22"/>
    </row>
    <row r="995" hidden="1">
      <c r="A995" s="93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19"/>
      <c r="P995" s="22"/>
      <c r="Q995" s="22"/>
      <c r="R995" s="22"/>
    </row>
    <row r="996" hidden="1">
      <c r="A996" s="93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19"/>
      <c r="P996" s="22"/>
      <c r="Q996" s="22"/>
      <c r="R996" s="22"/>
    </row>
    <row r="997" hidden="1">
      <c r="A997" s="93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19"/>
      <c r="P997" s="22"/>
      <c r="Q997" s="22"/>
      <c r="R997" s="22"/>
    </row>
    <row r="998" hidden="1">
      <c r="A998" s="93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19"/>
      <c r="P998" s="22"/>
      <c r="Q998" s="22"/>
      <c r="R998" s="22"/>
    </row>
    <row r="999" hidden="1">
      <c r="A999" s="93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19"/>
      <c r="P999" s="22"/>
      <c r="Q999" s="22"/>
      <c r="R999" s="22"/>
    </row>
    <row r="1000" hidden="1">
      <c r="A1000" s="93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19"/>
      <c r="P1000" s="22"/>
      <c r="Q1000" s="22"/>
      <c r="R1000" s="22"/>
    </row>
    <row r="1001" hidden="1">
      <c r="A1001" s="93"/>
      <c r="B1001" s="66"/>
      <c r="C1001" s="66"/>
      <c r="D1001" s="66"/>
      <c r="E1001" s="66"/>
      <c r="F1001" s="66"/>
      <c r="G1001" s="66"/>
      <c r="H1001" s="66"/>
      <c r="I1001" s="66"/>
      <c r="J1001" s="66"/>
      <c r="K1001" s="66"/>
      <c r="L1001" s="66"/>
      <c r="M1001" s="66"/>
      <c r="N1001" s="66"/>
      <c r="O1001" s="19"/>
      <c r="P1001" s="22"/>
      <c r="Q1001" s="22"/>
      <c r="R1001" s="22"/>
    </row>
    <row r="1002" hidden="1">
      <c r="A1002" s="93"/>
      <c r="B1002" s="66"/>
      <c r="C1002" s="66"/>
      <c r="D1002" s="66"/>
      <c r="E1002" s="66"/>
      <c r="F1002" s="66"/>
      <c r="G1002" s="66"/>
      <c r="H1002" s="66"/>
      <c r="I1002" s="66"/>
      <c r="J1002" s="66"/>
      <c r="K1002" s="66"/>
      <c r="L1002" s="66"/>
      <c r="M1002" s="66"/>
      <c r="N1002" s="66"/>
      <c r="O1002" s="19"/>
      <c r="P1002" s="22"/>
      <c r="Q1002" s="22"/>
      <c r="R1002" s="22"/>
    </row>
    <row r="1003" hidden="1">
      <c r="A1003" s="93"/>
      <c r="B1003" s="66"/>
      <c r="C1003" s="66"/>
      <c r="D1003" s="66"/>
      <c r="E1003" s="66"/>
      <c r="F1003" s="66"/>
      <c r="G1003" s="66"/>
      <c r="H1003" s="66"/>
      <c r="I1003" s="66"/>
      <c r="J1003" s="66"/>
      <c r="K1003" s="66"/>
      <c r="L1003" s="66"/>
      <c r="M1003" s="66"/>
      <c r="N1003" s="66"/>
      <c r="O1003" s="19"/>
      <c r="P1003" s="22"/>
      <c r="Q1003" s="22"/>
      <c r="R1003" s="22"/>
    </row>
    <row r="1004" hidden="1">
      <c r="A1004" s="93"/>
      <c r="B1004" s="66"/>
      <c r="C1004" s="66"/>
      <c r="D1004" s="66"/>
      <c r="E1004" s="66"/>
      <c r="F1004" s="66"/>
      <c r="G1004" s="66"/>
      <c r="H1004" s="66"/>
      <c r="I1004" s="66"/>
      <c r="J1004" s="66"/>
      <c r="K1004" s="66"/>
      <c r="L1004" s="66"/>
      <c r="M1004" s="66"/>
      <c r="N1004" s="66"/>
      <c r="O1004" s="19"/>
      <c r="P1004" s="22"/>
      <c r="Q1004" s="22"/>
      <c r="R1004" s="22"/>
    </row>
    <row r="1005" hidden="1">
      <c r="A1005" s="93"/>
      <c r="B1005" s="66"/>
      <c r="C1005" s="66"/>
      <c r="D1005" s="66"/>
      <c r="E1005" s="66"/>
      <c r="F1005" s="66"/>
      <c r="G1005" s="66"/>
      <c r="H1005" s="66"/>
      <c r="I1005" s="66"/>
      <c r="J1005" s="66"/>
      <c r="K1005" s="66"/>
      <c r="L1005" s="66"/>
      <c r="M1005" s="66"/>
      <c r="N1005" s="66"/>
      <c r="O1005" s="19"/>
      <c r="P1005" s="22"/>
      <c r="Q1005" s="22"/>
      <c r="R1005" s="22"/>
    </row>
    <row r="1006" hidden="1">
      <c r="A1006" s="93"/>
      <c r="B1006" s="66"/>
      <c r="C1006" s="66"/>
      <c r="D1006" s="66"/>
      <c r="E1006" s="66"/>
      <c r="F1006" s="66"/>
      <c r="G1006" s="66"/>
      <c r="H1006" s="66"/>
      <c r="I1006" s="66"/>
      <c r="J1006" s="66"/>
      <c r="K1006" s="66"/>
      <c r="L1006" s="66"/>
      <c r="M1006" s="66"/>
      <c r="N1006" s="66"/>
      <c r="O1006" s="19"/>
      <c r="P1006" s="22"/>
      <c r="Q1006" s="22"/>
      <c r="R1006" s="22"/>
    </row>
    <row r="1007" hidden="1">
      <c r="A1007" s="93"/>
      <c r="B1007" s="66"/>
      <c r="C1007" s="66"/>
      <c r="D1007" s="66"/>
      <c r="E1007" s="66"/>
      <c r="F1007" s="66"/>
      <c r="G1007" s="66"/>
      <c r="H1007" s="66"/>
      <c r="I1007" s="66"/>
      <c r="J1007" s="66"/>
      <c r="K1007" s="66"/>
      <c r="L1007" s="66"/>
      <c r="M1007" s="66"/>
      <c r="N1007" s="66"/>
      <c r="O1007" s="19"/>
      <c r="P1007" s="22"/>
      <c r="Q1007" s="22"/>
      <c r="R1007" s="22"/>
    </row>
    <row r="1008" hidden="1">
      <c r="A1008" s="93"/>
      <c r="B1008" s="66"/>
      <c r="C1008" s="66"/>
      <c r="D1008" s="66"/>
      <c r="E1008" s="66"/>
      <c r="F1008" s="66"/>
      <c r="G1008" s="66"/>
      <c r="H1008" s="66"/>
      <c r="I1008" s="66"/>
      <c r="J1008" s="66"/>
      <c r="K1008" s="66"/>
      <c r="L1008" s="66"/>
      <c r="M1008" s="66"/>
      <c r="N1008" s="66"/>
      <c r="O1008" s="19"/>
      <c r="P1008" s="22"/>
      <c r="Q1008" s="22"/>
      <c r="R1008" s="22"/>
    </row>
    <row r="1009" hidden="1">
      <c r="A1009" s="93"/>
      <c r="B1009" s="66"/>
      <c r="C1009" s="66"/>
      <c r="D1009" s="66"/>
      <c r="E1009" s="66"/>
      <c r="F1009" s="66"/>
      <c r="G1009" s="66"/>
      <c r="H1009" s="66"/>
      <c r="I1009" s="66"/>
      <c r="J1009" s="66"/>
      <c r="K1009" s="66"/>
      <c r="L1009" s="66"/>
      <c r="M1009" s="66"/>
      <c r="N1009" s="66"/>
      <c r="O1009" s="19"/>
      <c r="P1009" s="22"/>
      <c r="Q1009" s="22"/>
      <c r="R1009" s="22"/>
    </row>
    <row r="1010" hidden="1">
      <c r="A1010" s="93"/>
      <c r="B1010" s="66"/>
      <c r="C1010" s="66"/>
      <c r="D1010" s="66"/>
      <c r="E1010" s="66"/>
      <c r="F1010" s="66"/>
      <c r="G1010" s="66"/>
      <c r="H1010" s="66"/>
      <c r="I1010" s="66"/>
      <c r="J1010" s="66"/>
      <c r="K1010" s="66"/>
      <c r="L1010" s="66"/>
      <c r="M1010" s="66"/>
      <c r="N1010" s="66"/>
      <c r="O1010" s="19"/>
      <c r="P1010" s="22"/>
      <c r="Q1010" s="22"/>
      <c r="R1010" s="22"/>
    </row>
    <row r="1011" hidden="1">
      <c r="A1011" s="93"/>
      <c r="B1011" s="66"/>
      <c r="C1011" s="66"/>
      <c r="D1011" s="66"/>
      <c r="E1011" s="66"/>
      <c r="F1011" s="66"/>
      <c r="G1011" s="66"/>
      <c r="H1011" s="66"/>
      <c r="I1011" s="66"/>
      <c r="J1011" s="66"/>
      <c r="K1011" s="66"/>
      <c r="L1011" s="66"/>
      <c r="M1011" s="66"/>
      <c r="N1011" s="66"/>
      <c r="O1011" s="19"/>
      <c r="P1011" s="22"/>
      <c r="Q1011" s="22"/>
      <c r="R1011" s="22"/>
    </row>
    <row r="1012" hidden="1">
      <c r="A1012" s="93"/>
      <c r="B1012" s="66"/>
      <c r="C1012" s="66"/>
      <c r="D1012" s="66"/>
      <c r="E1012" s="66"/>
      <c r="F1012" s="66"/>
      <c r="G1012" s="66"/>
      <c r="H1012" s="66"/>
      <c r="I1012" s="66"/>
      <c r="J1012" s="66"/>
      <c r="K1012" s="66"/>
      <c r="L1012" s="66"/>
      <c r="M1012" s="66"/>
      <c r="N1012" s="66"/>
      <c r="O1012" s="19"/>
      <c r="P1012" s="22"/>
      <c r="Q1012" s="22"/>
      <c r="R1012" s="22"/>
    </row>
    <row r="1013" hidden="1">
      <c r="A1013" s="93"/>
      <c r="B1013" s="66"/>
      <c r="C1013" s="66"/>
      <c r="D1013" s="66"/>
      <c r="E1013" s="66"/>
      <c r="F1013" s="66"/>
      <c r="G1013" s="66"/>
      <c r="H1013" s="66"/>
      <c r="I1013" s="66"/>
      <c r="J1013" s="66"/>
      <c r="K1013" s="66"/>
      <c r="L1013" s="66"/>
      <c r="M1013" s="66"/>
      <c r="N1013" s="66"/>
      <c r="O1013" s="19"/>
      <c r="P1013" s="22"/>
      <c r="Q1013" s="22"/>
      <c r="R1013" s="22"/>
    </row>
    <row r="1014" hidden="1">
      <c r="A1014" s="93"/>
      <c r="B1014" s="66"/>
      <c r="C1014" s="66"/>
      <c r="D1014" s="66"/>
      <c r="E1014" s="66"/>
      <c r="F1014" s="66"/>
      <c r="G1014" s="66"/>
      <c r="H1014" s="66"/>
      <c r="I1014" s="66"/>
      <c r="J1014" s="66"/>
      <c r="K1014" s="66"/>
      <c r="L1014" s="66"/>
      <c r="M1014" s="66"/>
      <c r="N1014" s="66"/>
      <c r="O1014" s="19"/>
      <c r="P1014" s="22"/>
      <c r="Q1014" s="22"/>
      <c r="R1014" s="22"/>
    </row>
    <row r="1015" hidden="1">
      <c r="A1015" s="93"/>
      <c r="B1015" s="66"/>
      <c r="C1015" s="66"/>
      <c r="D1015" s="66"/>
      <c r="E1015" s="66"/>
      <c r="F1015" s="66"/>
      <c r="G1015" s="66"/>
      <c r="H1015" s="66"/>
      <c r="I1015" s="66"/>
      <c r="J1015" s="66"/>
      <c r="K1015" s="66"/>
      <c r="L1015" s="66"/>
      <c r="M1015" s="66"/>
      <c r="N1015" s="66"/>
      <c r="O1015" s="19"/>
      <c r="P1015" s="22"/>
      <c r="Q1015" s="22"/>
      <c r="R1015" s="22"/>
    </row>
    <row r="1016" hidden="1">
      <c r="A1016" s="93"/>
      <c r="B1016" s="66"/>
      <c r="C1016" s="66"/>
      <c r="D1016" s="66"/>
      <c r="E1016" s="66"/>
      <c r="F1016" s="66"/>
      <c r="G1016" s="66"/>
      <c r="H1016" s="66"/>
      <c r="I1016" s="66"/>
      <c r="J1016" s="66"/>
      <c r="K1016" s="66"/>
      <c r="L1016" s="66"/>
      <c r="M1016" s="66"/>
      <c r="N1016" s="66"/>
      <c r="O1016" s="19"/>
      <c r="P1016" s="22"/>
      <c r="Q1016" s="22"/>
      <c r="R1016" s="22"/>
    </row>
    <row r="1017" hidden="1">
      <c r="A1017" s="93"/>
      <c r="B1017" s="66"/>
      <c r="C1017" s="66"/>
      <c r="D1017" s="66"/>
      <c r="E1017" s="66"/>
      <c r="F1017" s="66"/>
      <c r="G1017" s="66"/>
      <c r="H1017" s="66"/>
      <c r="I1017" s="66"/>
      <c r="J1017" s="66"/>
      <c r="K1017" s="66"/>
      <c r="L1017" s="66"/>
      <c r="M1017" s="66"/>
      <c r="N1017" s="66"/>
      <c r="O1017" s="19"/>
      <c r="P1017" s="22"/>
      <c r="Q1017" s="22"/>
      <c r="R1017" s="22"/>
    </row>
    <row r="1018" hidden="1">
      <c r="A1018" s="93"/>
      <c r="B1018" s="66"/>
      <c r="C1018" s="66"/>
      <c r="D1018" s="66"/>
      <c r="E1018" s="66"/>
      <c r="F1018" s="66"/>
      <c r="G1018" s="66"/>
      <c r="H1018" s="66"/>
      <c r="I1018" s="66"/>
      <c r="J1018" s="66"/>
      <c r="K1018" s="66"/>
      <c r="L1018" s="66"/>
      <c r="M1018" s="66"/>
      <c r="N1018" s="66"/>
      <c r="O1018" s="19"/>
      <c r="P1018" s="22"/>
      <c r="Q1018" s="22"/>
      <c r="R1018" s="22"/>
    </row>
    <row r="1019" hidden="1">
      <c r="A1019" s="93"/>
      <c r="B1019" s="66"/>
      <c r="C1019" s="66"/>
      <c r="D1019" s="66"/>
      <c r="E1019" s="66"/>
      <c r="F1019" s="66"/>
      <c r="G1019" s="66"/>
      <c r="H1019" s="66"/>
      <c r="I1019" s="66"/>
      <c r="J1019" s="66"/>
      <c r="K1019" s="66"/>
      <c r="L1019" s="66"/>
      <c r="M1019" s="66"/>
      <c r="N1019" s="66"/>
      <c r="O1019" s="19"/>
      <c r="P1019" s="22"/>
      <c r="Q1019" s="22"/>
      <c r="R1019" s="22"/>
    </row>
    <row r="1020" hidden="1">
      <c r="A1020" s="93"/>
      <c r="B1020" s="66"/>
      <c r="C1020" s="66"/>
      <c r="D1020" s="66"/>
      <c r="E1020" s="66"/>
      <c r="F1020" s="66"/>
      <c r="G1020" s="66"/>
      <c r="H1020" s="66"/>
      <c r="I1020" s="66"/>
      <c r="J1020" s="66"/>
      <c r="K1020" s="66"/>
      <c r="L1020" s="66"/>
      <c r="M1020" s="66"/>
      <c r="N1020" s="66"/>
      <c r="O1020" s="19"/>
      <c r="P1020" s="22"/>
      <c r="Q1020" s="22"/>
      <c r="R1020" s="22"/>
    </row>
    <row r="1021" hidden="1">
      <c r="A1021" s="93"/>
      <c r="B1021" s="66"/>
      <c r="C1021" s="66"/>
      <c r="D1021" s="66"/>
      <c r="E1021" s="66"/>
      <c r="F1021" s="66"/>
      <c r="G1021" s="66"/>
      <c r="H1021" s="66"/>
      <c r="I1021" s="66"/>
      <c r="J1021" s="66"/>
      <c r="K1021" s="66"/>
      <c r="L1021" s="66"/>
      <c r="M1021" s="66"/>
      <c r="N1021" s="66"/>
      <c r="O1021" s="19"/>
      <c r="P1021" s="22"/>
      <c r="Q1021" s="22"/>
      <c r="R1021" s="22"/>
    </row>
    <row r="1022" hidden="1">
      <c r="A1022" s="93"/>
      <c r="B1022" s="66"/>
      <c r="C1022" s="66"/>
      <c r="D1022" s="66"/>
      <c r="E1022" s="66"/>
      <c r="F1022" s="66"/>
      <c r="G1022" s="66"/>
      <c r="H1022" s="66"/>
      <c r="I1022" s="66"/>
      <c r="J1022" s="66"/>
      <c r="K1022" s="66"/>
      <c r="L1022" s="66"/>
      <c r="M1022" s="66"/>
      <c r="N1022" s="66"/>
      <c r="O1022" s="19"/>
      <c r="P1022" s="22"/>
      <c r="Q1022" s="22"/>
      <c r="R1022" s="22"/>
    </row>
    <row r="1023" hidden="1">
      <c r="A1023" s="93"/>
      <c r="B1023" s="66"/>
      <c r="C1023" s="66"/>
      <c r="D1023" s="66"/>
      <c r="E1023" s="66"/>
      <c r="F1023" s="66"/>
      <c r="G1023" s="66"/>
      <c r="H1023" s="66"/>
      <c r="I1023" s="66"/>
      <c r="J1023" s="66"/>
      <c r="K1023" s="66"/>
      <c r="L1023" s="66"/>
      <c r="M1023" s="66"/>
      <c r="N1023" s="66"/>
      <c r="O1023" s="19"/>
      <c r="P1023" s="22"/>
      <c r="Q1023" s="22"/>
      <c r="R1023" s="22"/>
    </row>
    <row r="1024" hidden="1">
      <c r="A1024" s="93"/>
      <c r="B1024" s="66"/>
      <c r="C1024" s="66"/>
      <c r="D1024" s="66"/>
      <c r="E1024" s="66"/>
      <c r="F1024" s="66"/>
      <c r="G1024" s="66"/>
      <c r="H1024" s="66"/>
      <c r="I1024" s="66"/>
      <c r="J1024" s="66"/>
      <c r="K1024" s="66"/>
      <c r="L1024" s="66"/>
      <c r="M1024" s="66"/>
      <c r="N1024" s="66"/>
      <c r="O1024" s="19"/>
      <c r="P1024" s="22"/>
      <c r="Q1024" s="22"/>
      <c r="R1024" s="22"/>
    </row>
    <row r="1025" hidden="1">
      <c r="A1025" s="93"/>
      <c r="B1025" s="66"/>
      <c r="C1025" s="66"/>
      <c r="D1025" s="66"/>
      <c r="E1025" s="66"/>
      <c r="F1025" s="66"/>
      <c r="G1025" s="66"/>
      <c r="H1025" s="66"/>
      <c r="I1025" s="66"/>
      <c r="J1025" s="66"/>
      <c r="K1025" s="66"/>
      <c r="L1025" s="66"/>
      <c r="M1025" s="66"/>
      <c r="N1025" s="66"/>
      <c r="O1025" s="19"/>
      <c r="P1025" s="22"/>
      <c r="Q1025" s="22"/>
      <c r="R1025" s="22"/>
    </row>
    <row r="1026" hidden="1">
      <c r="A1026" s="93"/>
      <c r="B1026" s="66"/>
      <c r="C1026" s="66"/>
      <c r="D1026" s="66"/>
      <c r="E1026" s="66"/>
      <c r="F1026" s="66"/>
      <c r="G1026" s="66"/>
      <c r="H1026" s="66"/>
      <c r="I1026" s="66"/>
      <c r="J1026" s="66"/>
      <c r="K1026" s="66"/>
      <c r="L1026" s="66"/>
      <c r="M1026" s="66"/>
      <c r="N1026" s="66"/>
      <c r="O1026" s="19"/>
      <c r="P1026" s="22"/>
      <c r="Q1026" s="22"/>
      <c r="R1026" s="22"/>
    </row>
    <row r="1027" hidden="1">
      <c r="A1027" s="93"/>
      <c r="B1027" s="66"/>
      <c r="C1027" s="66"/>
      <c r="D1027" s="66"/>
      <c r="E1027" s="66"/>
      <c r="F1027" s="66"/>
      <c r="G1027" s="66"/>
      <c r="H1027" s="66"/>
      <c r="I1027" s="66"/>
      <c r="J1027" s="66"/>
      <c r="K1027" s="66"/>
      <c r="L1027" s="66"/>
      <c r="M1027" s="66"/>
      <c r="N1027" s="66"/>
      <c r="O1027" s="19"/>
      <c r="P1027" s="22"/>
      <c r="Q1027" s="22"/>
      <c r="R1027" s="22"/>
    </row>
    <row r="1028" hidden="1">
      <c r="A1028" s="93"/>
      <c r="B1028" s="66"/>
      <c r="C1028" s="66"/>
      <c r="D1028" s="66"/>
      <c r="E1028" s="66"/>
      <c r="F1028" s="66"/>
      <c r="G1028" s="66"/>
      <c r="H1028" s="66"/>
      <c r="I1028" s="66"/>
      <c r="J1028" s="66"/>
      <c r="K1028" s="66"/>
      <c r="L1028" s="66"/>
      <c r="M1028" s="66"/>
      <c r="N1028" s="66"/>
      <c r="O1028" s="19"/>
      <c r="P1028" s="22"/>
      <c r="Q1028" s="22"/>
      <c r="R1028" s="22"/>
    </row>
    <row r="1029" hidden="1">
      <c r="A1029" s="93"/>
      <c r="B1029" s="66"/>
      <c r="C1029" s="66"/>
      <c r="D1029" s="66"/>
      <c r="E1029" s="66"/>
      <c r="F1029" s="66"/>
      <c r="G1029" s="66"/>
      <c r="H1029" s="66"/>
      <c r="I1029" s="66"/>
      <c r="J1029" s="66"/>
      <c r="K1029" s="66"/>
      <c r="L1029" s="66"/>
      <c r="M1029" s="66"/>
      <c r="N1029" s="66"/>
      <c r="O1029" s="19"/>
      <c r="P1029" s="22"/>
      <c r="Q1029" s="22"/>
      <c r="R1029" s="22"/>
    </row>
    <row r="1030" hidden="1">
      <c r="A1030" s="93"/>
      <c r="B1030" s="66"/>
      <c r="C1030" s="66"/>
      <c r="D1030" s="66"/>
      <c r="E1030" s="66"/>
      <c r="F1030" s="66"/>
      <c r="G1030" s="66"/>
      <c r="H1030" s="66"/>
      <c r="I1030" s="66"/>
      <c r="J1030" s="66"/>
      <c r="K1030" s="66"/>
      <c r="L1030" s="66"/>
      <c r="M1030" s="66"/>
      <c r="N1030" s="66"/>
      <c r="O1030" s="19"/>
      <c r="P1030" s="22"/>
      <c r="Q1030" s="22"/>
      <c r="R1030" s="22"/>
    </row>
    <row r="1031" hidden="1">
      <c r="A1031" s="93"/>
      <c r="B1031" s="66"/>
      <c r="C1031" s="66"/>
      <c r="D1031" s="66"/>
      <c r="E1031" s="66"/>
      <c r="F1031" s="66"/>
      <c r="G1031" s="66"/>
      <c r="H1031" s="66"/>
      <c r="I1031" s="66"/>
      <c r="J1031" s="66"/>
      <c r="K1031" s="66"/>
      <c r="L1031" s="66"/>
      <c r="M1031" s="66"/>
      <c r="N1031" s="66"/>
      <c r="O1031" s="19"/>
      <c r="P1031" s="22"/>
      <c r="Q1031" s="22"/>
      <c r="R1031" s="22"/>
    </row>
    <row r="1032" hidden="1">
      <c r="A1032" s="93"/>
      <c r="B1032" s="66"/>
      <c r="C1032" s="66"/>
      <c r="D1032" s="66"/>
      <c r="E1032" s="66"/>
      <c r="F1032" s="66"/>
      <c r="G1032" s="66"/>
      <c r="H1032" s="66"/>
      <c r="I1032" s="66"/>
      <c r="J1032" s="66"/>
      <c r="K1032" s="66"/>
      <c r="L1032" s="66"/>
      <c r="M1032" s="66"/>
      <c r="N1032" s="66"/>
      <c r="O1032" s="19"/>
      <c r="P1032" s="22"/>
      <c r="Q1032" s="22"/>
      <c r="R1032" s="22"/>
    </row>
    <row r="1033" hidden="1">
      <c r="A1033" s="93"/>
      <c r="B1033" s="66"/>
      <c r="C1033" s="66"/>
      <c r="D1033" s="66"/>
      <c r="E1033" s="66"/>
      <c r="F1033" s="66"/>
      <c r="G1033" s="66"/>
      <c r="H1033" s="66"/>
      <c r="I1033" s="66"/>
      <c r="J1033" s="66"/>
      <c r="K1033" s="66"/>
      <c r="L1033" s="66"/>
      <c r="M1033" s="66"/>
      <c r="N1033" s="66"/>
      <c r="O1033" s="19"/>
      <c r="P1033" s="22"/>
      <c r="Q1033" s="22"/>
      <c r="R1033" s="22"/>
    </row>
    <row r="1034" hidden="1">
      <c r="A1034" s="93"/>
      <c r="B1034" s="66"/>
      <c r="C1034" s="66"/>
      <c r="D1034" s="66"/>
      <c r="E1034" s="66"/>
      <c r="F1034" s="66"/>
      <c r="G1034" s="66"/>
      <c r="H1034" s="66"/>
      <c r="I1034" s="66"/>
      <c r="J1034" s="66"/>
      <c r="K1034" s="66"/>
      <c r="L1034" s="66"/>
      <c r="M1034" s="66"/>
      <c r="N1034" s="66"/>
      <c r="O1034" s="19"/>
      <c r="P1034" s="22"/>
      <c r="Q1034" s="22"/>
      <c r="R1034" s="22"/>
    </row>
    <row r="1035" hidden="1">
      <c r="A1035" s="93"/>
      <c r="B1035" s="66"/>
      <c r="C1035" s="66"/>
      <c r="D1035" s="66"/>
      <c r="E1035" s="66"/>
      <c r="F1035" s="66"/>
      <c r="G1035" s="66"/>
      <c r="H1035" s="66"/>
      <c r="I1035" s="66"/>
      <c r="J1035" s="66"/>
      <c r="K1035" s="66"/>
      <c r="L1035" s="66"/>
      <c r="M1035" s="66"/>
      <c r="N1035" s="66"/>
      <c r="O1035" s="19"/>
      <c r="P1035" s="22"/>
      <c r="Q1035" s="22"/>
      <c r="R1035" s="22"/>
    </row>
    <row r="1036" hidden="1">
      <c r="A1036" s="93"/>
      <c r="B1036" s="66"/>
      <c r="C1036" s="66"/>
      <c r="D1036" s="66"/>
      <c r="E1036" s="66"/>
      <c r="F1036" s="66"/>
      <c r="G1036" s="66"/>
      <c r="H1036" s="66"/>
      <c r="I1036" s="66"/>
      <c r="J1036" s="66"/>
      <c r="K1036" s="66"/>
      <c r="L1036" s="66"/>
      <c r="M1036" s="66"/>
      <c r="N1036" s="66"/>
      <c r="O1036" s="19"/>
      <c r="P1036" s="22"/>
      <c r="Q1036" s="22"/>
      <c r="R1036" s="22"/>
    </row>
    <row r="1037" hidden="1">
      <c r="A1037" s="93"/>
      <c r="B1037" s="66"/>
      <c r="C1037" s="66"/>
      <c r="D1037" s="66"/>
      <c r="E1037" s="66"/>
      <c r="F1037" s="66"/>
      <c r="G1037" s="66"/>
      <c r="H1037" s="66"/>
      <c r="I1037" s="66"/>
      <c r="J1037" s="66"/>
      <c r="K1037" s="66"/>
      <c r="L1037" s="66"/>
      <c r="M1037" s="66"/>
      <c r="N1037" s="66"/>
      <c r="O1037" s="19"/>
      <c r="P1037" s="22"/>
      <c r="Q1037" s="22"/>
      <c r="R1037" s="22"/>
    </row>
    <row r="1038" hidden="1">
      <c r="A1038" s="93"/>
      <c r="B1038" s="66"/>
      <c r="C1038" s="66"/>
      <c r="D1038" s="66"/>
      <c r="E1038" s="66"/>
      <c r="F1038" s="66"/>
      <c r="G1038" s="66"/>
      <c r="H1038" s="66"/>
      <c r="I1038" s="66"/>
      <c r="J1038" s="66"/>
      <c r="K1038" s="66"/>
      <c r="L1038" s="66"/>
      <c r="M1038" s="66"/>
      <c r="N1038" s="66"/>
      <c r="O1038" s="19"/>
      <c r="P1038" s="22"/>
      <c r="Q1038" s="22"/>
      <c r="R1038" s="22"/>
    </row>
    <row r="1039" hidden="1">
      <c r="A1039" s="93"/>
      <c r="B1039" s="66"/>
      <c r="C1039" s="66"/>
      <c r="D1039" s="66"/>
      <c r="E1039" s="66"/>
      <c r="F1039" s="66"/>
      <c r="G1039" s="66"/>
      <c r="H1039" s="66"/>
      <c r="I1039" s="66"/>
      <c r="J1039" s="66"/>
      <c r="K1039" s="66"/>
      <c r="L1039" s="66"/>
      <c r="M1039" s="66"/>
      <c r="N1039" s="66"/>
      <c r="O1039" s="19"/>
      <c r="P1039" s="22"/>
      <c r="Q1039" s="22"/>
      <c r="R1039" s="22"/>
    </row>
    <row r="1040" hidden="1">
      <c r="A1040" s="93"/>
      <c r="B1040" s="66"/>
      <c r="C1040" s="66"/>
      <c r="D1040" s="66"/>
      <c r="E1040" s="66"/>
      <c r="F1040" s="66"/>
      <c r="G1040" s="66"/>
      <c r="H1040" s="66"/>
      <c r="I1040" s="66"/>
      <c r="J1040" s="66"/>
      <c r="K1040" s="66"/>
      <c r="L1040" s="66"/>
      <c r="M1040" s="66"/>
      <c r="N1040" s="66"/>
      <c r="O1040" s="19"/>
      <c r="P1040" s="22"/>
      <c r="Q1040" s="22"/>
      <c r="R1040" s="22"/>
    </row>
    <row r="1041" hidden="1">
      <c r="A1041" s="93"/>
      <c r="B1041" s="66"/>
      <c r="C1041" s="66"/>
      <c r="D1041" s="66"/>
      <c r="E1041" s="66"/>
      <c r="F1041" s="66"/>
      <c r="G1041" s="66"/>
      <c r="H1041" s="66"/>
      <c r="I1041" s="66"/>
      <c r="J1041" s="66"/>
      <c r="K1041" s="66"/>
      <c r="L1041" s="66"/>
      <c r="M1041" s="66"/>
      <c r="N1041" s="66"/>
      <c r="O1041" s="19"/>
      <c r="P1041" s="22"/>
      <c r="Q1041" s="22"/>
      <c r="R1041" s="22"/>
    </row>
    <row r="1042" hidden="1">
      <c r="A1042" s="93"/>
      <c r="B1042" s="66"/>
      <c r="C1042" s="66"/>
      <c r="D1042" s="66"/>
      <c r="E1042" s="66"/>
      <c r="F1042" s="66"/>
      <c r="G1042" s="66"/>
      <c r="H1042" s="66"/>
      <c r="I1042" s="66"/>
      <c r="J1042" s="66"/>
      <c r="K1042" s="66"/>
      <c r="L1042" s="66"/>
      <c r="M1042" s="66"/>
      <c r="N1042" s="66"/>
      <c r="O1042" s="19"/>
      <c r="P1042" s="22"/>
      <c r="Q1042" s="22"/>
      <c r="R1042" s="22"/>
    </row>
    <row r="1043" hidden="1">
      <c r="A1043" s="93"/>
      <c r="B1043" s="66"/>
      <c r="C1043" s="66"/>
      <c r="D1043" s="66"/>
      <c r="E1043" s="66"/>
      <c r="F1043" s="66"/>
      <c r="G1043" s="66"/>
      <c r="H1043" s="66"/>
      <c r="I1043" s="66"/>
      <c r="J1043" s="66"/>
      <c r="K1043" s="66"/>
      <c r="L1043" s="66"/>
      <c r="M1043" s="66"/>
      <c r="N1043" s="66"/>
      <c r="O1043" s="19"/>
      <c r="P1043" s="22"/>
      <c r="Q1043" s="22"/>
      <c r="R1043" s="22"/>
    </row>
    <row r="1044" hidden="1">
      <c r="A1044" s="93"/>
      <c r="B1044" s="66"/>
      <c r="C1044" s="66"/>
      <c r="D1044" s="66"/>
      <c r="E1044" s="66"/>
      <c r="F1044" s="66"/>
      <c r="G1044" s="66"/>
      <c r="H1044" s="66"/>
      <c r="I1044" s="66"/>
      <c r="J1044" s="66"/>
      <c r="K1044" s="66"/>
      <c r="L1044" s="66"/>
      <c r="M1044" s="66"/>
      <c r="N1044" s="66"/>
      <c r="O1044" s="19"/>
      <c r="P1044" s="22"/>
      <c r="Q1044" s="22"/>
      <c r="R1044" s="22"/>
    </row>
    <row r="1045" hidden="1">
      <c r="A1045" s="93"/>
      <c r="B1045" s="66"/>
      <c r="C1045" s="66"/>
      <c r="D1045" s="66"/>
      <c r="E1045" s="66"/>
      <c r="F1045" s="66"/>
      <c r="G1045" s="66"/>
      <c r="H1045" s="66"/>
      <c r="I1045" s="66"/>
      <c r="J1045" s="66"/>
      <c r="K1045" s="66"/>
      <c r="L1045" s="66"/>
      <c r="M1045" s="66"/>
      <c r="N1045" s="66"/>
      <c r="O1045" s="19"/>
      <c r="P1045" s="22"/>
      <c r="Q1045" s="22"/>
      <c r="R1045" s="22"/>
    </row>
    <row r="1046" hidden="1">
      <c r="A1046" s="93"/>
      <c r="B1046" s="66"/>
      <c r="C1046" s="66"/>
      <c r="D1046" s="66"/>
      <c r="E1046" s="66"/>
      <c r="F1046" s="66"/>
      <c r="G1046" s="66"/>
      <c r="H1046" s="66"/>
      <c r="I1046" s="66"/>
      <c r="J1046" s="66"/>
      <c r="K1046" s="66"/>
      <c r="L1046" s="66"/>
      <c r="M1046" s="66"/>
      <c r="N1046" s="66"/>
      <c r="O1046" s="19"/>
      <c r="P1046" s="22"/>
      <c r="Q1046" s="22"/>
      <c r="R1046" s="22"/>
    </row>
    <row r="1047" hidden="1">
      <c r="A1047" s="93"/>
      <c r="B1047" s="66"/>
      <c r="C1047" s="66"/>
      <c r="D1047" s="66"/>
      <c r="E1047" s="66"/>
      <c r="F1047" s="66"/>
      <c r="G1047" s="66"/>
      <c r="H1047" s="66"/>
      <c r="I1047" s="66"/>
      <c r="J1047" s="66"/>
      <c r="K1047" s="66"/>
      <c r="L1047" s="66"/>
      <c r="M1047" s="66"/>
      <c r="N1047" s="66"/>
      <c r="O1047" s="19"/>
      <c r="P1047" s="22"/>
      <c r="Q1047" s="22"/>
      <c r="R1047" s="22"/>
    </row>
    <row r="1048" hidden="1">
      <c r="A1048" s="93"/>
      <c r="B1048" s="66"/>
      <c r="C1048" s="66"/>
      <c r="D1048" s="66"/>
      <c r="E1048" s="66"/>
      <c r="F1048" s="66"/>
      <c r="G1048" s="66"/>
      <c r="H1048" s="66"/>
      <c r="I1048" s="66"/>
      <c r="J1048" s="66"/>
      <c r="K1048" s="66"/>
      <c r="L1048" s="66"/>
      <c r="M1048" s="66"/>
      <c r="N1048" s="66"/>
      <c r="O1048" s="19"/>
      <c r="P1048" s="22"/>
      <c r="Q1048" s="22"/>
      <c r="R1048" s="22"/>
    </row>
    <row r="1049" hidden="1">
      <c r="A1049" s="93"/>
      <c r="B1049" s="66"/>
      <c r="C1049" s="66"/>
      <c r="D1049" s="66"/>
      <c r="E1049" s="66"/>
      <c r="F1049" s="66"/>
      <c r="G1049" s="66"/>
      <c r="H1049" s="66"/>
      <c r="I1049" s="66"/>
      <c r="J1049" s="66"/>
      <c r="K1049" s="66"/>
      <c r="L1049" s="66"/>
      <c r="M1049" s="66"/>
      <c r="N1049" s="66"/>
      <c r="O1049" s="19"/>
      <c r="P1049" s="22"/>
      <c r="Q1049" s="22"/>
      <c r="R1049" s="22"/>
    </row>
    <row r="1050" hidden="1">
      <c r="A1050" s="93"/>
      <c r="B1050" s="66"/>
      <c r="C1050" s="66"/>
      <c r="D1050" s="66"/>
      <c r="E1050" s="66"/>
      <c r="F1050" s="66"/>
      <c r="G1050" s="66"/>
      <c r="H1050" s="66"/>
      <c r="I1050" s="66"/>
      <c r="J1050" s="66"/>
      <c r="K1050" s="66"/>
      <c r="L1050" s="66"/>
      <c r="M1050" s="66"/>
      <c r="N1050" s="66"/>
      <c r="O1050" s="19"/>
      <c r="P1050" s="22"/>
      <c r="Q1050" s="22"/>
      <c r="R1050" s="22"/>
    </row>
    <row r="1051" hidden="1">
      <c r="A1051" s="93"/>
      <c r="B1051" s="66"/>
      <c r="C1051" s="66"/>
      <c r="D1051" s="66"/>
      <c r="E1051" s="66"/>
      <c r="F1051" s="66"/>
      <c r="G1051" s="66"/>
      <c r="H1051" s="66"/>
      <c r="I1051" s="66"/>
      <c r="J1051" s="66"/>
      <c r="K1051" s="66"/>
      <c r="L1051" s="66"/>
      <c r="M1051" s="66"/>
      <c r="N1051" s="66"/>
      <c r="O1051" s="19"/>
      <c r="P1051" s="22"/>
      <c r="Q1051" s="22"/>
      <c r="R1051" s="22"/>
    </row>
    <row r="1052" hidden="1">
      <c r="A1052" s="93"/>
      <c r="B1052" s="66"/>
      <c r="C1052" s="66"/>
      <c r="D1052" s="66"/>
      <c r="E1052" s="66"/>
      <c r="F1052" s="66"/>
      <c r="G1052" s="66"/>
      <c r="H1052" s="66"/>
      <c r="I1052" s="66"/>
      <c r="J1052" s="66"/>
      <c r="K1052" s="66"/>
      <c r="L1052" s="66"/>
      <c r="M1052" s="66"/>
      <c r="N1052" s="66"/>
      <c r="O1052" s="19"/>
      <c r="P1052" s="22"/>
      <c r="Q1052" s="22"/>
      <c r="R1052" s="22"/>
    </row>
    <row r="1053" hidden="1">
      <c r="A1053" s="93"/>
      <c r="B1053" s="66"/>
      <c r="C1053" s="66"/>
      <c r="D1053" s="66"/>
      <c r="E1053" s="66"/>
      <c r="F1053" s="66"/>
      <c r="G1053" s="66"/>
      <c r="H1053" s="66"/>
      <c r="I1053" s="66"/>
      <c r="J1053" s="66"/>
      <c r="K1053" s="66"/>
      <c r="L1053" s="66"/>
      <c r="M1053" s="66"/>
      <c r="N1053" s="66"/>
      <c r="O1053" s="19"/>
      <c r="P1053" s="22"/>
      <c r="Q1053" s="22"/>
      <c r="R1053" s="22"/>
    </row>
    <row r="1054" hidden="1">
      <c r="A1054" s="93"/>
      <c r="B1054" s="66"/>
      <c r="C1054" s="66"/>
      <c r="D1054" s="66"/>
      <c r="E1054" s="66"/>
      <c r="F1054" s="66"/>
      <c r="G1054" s="66"/>
      <c r="H1054" s="66"/>
      <c r="I1054" s="66"/>
      <c r="J1054" s="66"/>
      <c r="K1054" s="66"/>
      <c r="L1054" s="66"/>
      <c r="M1054" s="66"/>
      <c r="N1054" s="66"/>
      <c r="O1054" s="19"/>
      <c r="P1054" s="22"/>
      <c r="Q1054" s="22"/>
      <c r="R1054" s="22"/>
    </row>
    <row r="1055" hidden="1">
      <c r="A1055" s="93"/>
      <c r="B1055" s="66"/>
      <c r="C1055" s="66"/>
      <c r="D1055" s="66"/>
      <c r="E1055" s="66"/>
      <c r="F1055" s="66"/>
      <c r="G1055" s="66"/>
      <c r="H1055" s="66"/>
      <c r="I1055" s="66"/>
      <c r="J1055" s="66"/>
      <c r="K1055" s="66"/>
      <c r="L1055" s="66"/>
      <c r="M1055" s="66"/>
      <c r="N1055" s="66"/>
      <c r="O1055" s="19"/>
      <c r="P1055" s="22"/>
      <c r="Q1055" s="22"/>
      <c r="R1055" s="22"/>
    </row>
    <row r="1056" hidden="1">
      <c r="A1056" s="93"/>
      <c r="B1056" s="66"/>
      <c r="C1056" s="66"/>
      <c r="D1056" s="66"/>
      <c r="E1056" s="66"/>
      <c r="F1056" s="66"/>
      <c r="G1056" s="66"/>
      <c r="H1056" s="66"/>
      <c r="I1056" s="66"/>
      <c r="J1056" s="66"/>
      <c r="K1056" s="66"/>
      <c r="L1056" s="66"/>
      <c r="M1056" s="66"/>
      <c r="N1056" s="66"/>
      <c r="O1056" s="19"/>
      <c r="P1056" s="22"/>
      <c r="Q1056" s="22"/>
      <c r="R1056" s="22"/>
    </row>
    <row r="1057" hidden="1">
      <c r="A1057" s="93"/>
      <c r="B1057" s="66"/>
      <c r="C1057" s="66"/>
      <c r="D1057" s="66"/>
      <c r="E1057" s="66"/>
      <c r="F1057" s="66"/>
      <c r="G1057" s="66"/>
      <c r="H1057" s="66"/>
      <c r="I1057" s="66"/>
      <c r="J1057" s="66"/>
      <c r="K1057" s="66"/>
      <c r="L1057" s="66"/>
      <c r="M1057" s="66"/>
      <c r="N1057" s="66"/>
      <c r="O1057" s="19"/>
      <c r="P1057" s="22"/>
      <c r="Q1057" s="22"/>
      <c r="R1057" s="22"/>
    </row>
    <row r="1058" hidden="1">
      <c r="A1058" s="93"/>
      <c r="B1058" s="66"/>
      <c r="C1058" s="66"/>
      <c r="D1058" s="66"/>
      <c r="E1058" s="66"/>
      <c r="F1058" s="66"/>
      <c r="G1058" s="66"/>
      <c r="H1058" s="66"/>
      <c r="I1058" s="66"/>
      <c r="J1058" s="66"/>
      <c r="K1058" s="66"/>
      <c r="L1058" s="66"/>
      <c r="M1058" s="66"/>
      <c r="N1058" s="66"/>
      <c r="O1058" s="19"/>
      <c r="P1058" s="22"/>
      <c r="Q1058" s="22"/>
      <c r="R1058" s="22"/>
    </row>
    <row r="1059" hidden="1">
      <c r="A1059" s="93"/>
      <c r="B1059" s="66"/>
      <c r="C1059" s="66"/>
      <c r="D1059" s="66"/>
      <c r="E1059" s="66"/>
      <c r="F1059" s="66"/>
      <c r="G1059" s="66"/>
      <c r="H1059" s="66"/>
      <c r="I1059" s="66"/>
      <c r="J1059" s="66"/>
      <c r="K1059" s="66"/>
      <c r="L1059" s="66"/>
      <c r="M1059" s="66"/>
      <c r="N1059" s="66"/>
      <c r="O1059" s="19"/>
      <c r="P1059" s="22"/>
      <c r="Q1059" s="22"/>
      <c r="R1059" s="22"/>
    </row>
    <row r="1060" hidden="1">
      <c r="A1060" s="93"/>
      <c r="B1060" s="66"/>
      <c r="C1060" s="66"/>
      <c r="D1060" s="66"/>
      <c r="E1060" s="66"/>
      <c r="F1060" s="66"/>
      <c r="G1060" s="66"/>
      <c r="H1060" s="66"/>
      <c r="I1060" s="66"/>
      <c r="J1060" s="66"/>
      <c r="K1060" s="66"/>
      <c r="L1060" s="66"/>
      <c r="M1060" s="66"/>
      <c r="N1060" s="66"/>
      <c r="O1060" s="19"/>
      <c r="P1060" s="22"/>
      <c r="Q1060" s="22"/>
      <c r="R1060" s="22"/>
    </row>
    <row r="1061" hidden="1">
      <c r="A1061" s="93"/>
      <c r="B1061" s="66"/>
      <c r="C1061" s="66"/>
      <c r="D1061" s="66"/>
      <c r="E1061" s="66"/>
      <c r="F1061" s="66"/>
      <c r="G1061" s="66"/>
      <c r="H1061" s="66"/>
      <c r="I1061" s="66"/>
      <c r="J1061" s="66"/>
      <c r="K1061" s="66"/>
      <c r="L1061" s="66"/>
      <c r="M1061" s="66"/>
      <c r="N1061" s="66"/>
      <c r="O1061" s="19"/>
      <c r="P1061" s="22"/>
      <c r="Q1061" s="22"/>
      <c r="R1061" s="22"/>
    </row>
    <row r="1062" hidden="1">
      <c r="A1062" s="93"/>
      <c r="B1062" s="66"/>
      <c r="C1062" s="66"/>
      <c r="D1062" s="66"/>
      <c r="E1062" s="66"/>
      <c r="F1062" s="66"/>
      <c r="G1062" s="66"/>
      <c r="H1062" s="66"/>
      <c r="I1062" s="66"/>
      <c r="J1062" s="66"/>
      <c r="K1062" s="66"/>
      <c r="L1062" s="66"/>
      <c r="M1062" s="66"/>
      <c r="N1062" s="66"/>
      <c r="O1062" s="19"/>
      <c r="P1062" s="22"/>
      <c r="Q1062" s="22"/>
      <c r="R1062" s="22"/>
    </row>
    <row r="1063" hidden="1">
      <c r="A1063" s="93"/>
      <c r="B1063" s="66"/>
      <c r="C1063" s="66"/>
      <c r="D1063" s="66"/>
      <c r="E1063" s="66"/>
      <c r="F1063" s="66"/>
      <c r="G1063" s="66"/>
      <c r="H1063" s="66"/>
      <c r="I1063" s="66"/>
      <c r="J1063" s="66"/>
      <c r="K1063" s="66"/>
      <c r="L1063" s="66"/>
      <c r="M1063" s="66"/>
      <c r="N1063" s="66"/>
      <c r="O1063" s="19"/>
      <c r="P1063" s="22"/>
      <c r="Q1063" s="22"/>
      <c r="R1063" s="22"/>
    </row>
    <row r="1064" hidden="1">
      <c r="A1064" s="93"/>
      <c r="B1064" s="66"/>
      <c r="C1064" s="66"/>
      <c r="D1064" s="66"/>
      <c r="E1064" s="66"/>
      <c r="F1064" s="66"/>
      <c r="G1064" s="66"/>
      <c r="H1064" s="66"/>
      <c r="I1064" s="66"/>
      <c r="J1064" s="66"/>
      <c r="K1064" s="66"/>
      <c r="L1064" s="66"/>
      <c r="M1064" s="66"/>
      <c r="N1064" s="66"/>
      <c r="O1064" s="19"/>
      <c r="P1064" s="22"/>
      <c r="Q1064" s="22"/>
      <c r="R1064" s="22"/>
    </row>
    <row r="1065" hidden="1">
      <c r="A1065" s="93"/>
      <c r="B1065" s="66"/>
      <c r="C1065" s="66"/>
      <c r="D1065" s="66"/>
      <c r="E1065" s="66"/>
      <c r="F1065" s="66"/>
      <c r="G1065" s="66"/>
      <c r="H1065" s="66"/>
      <c r="I1065" s="66"/>
      <c r="J1065" s="66"/>
      <c r="K1065" s="66"/>
      <c r="L1065" s="66"/>
      <c r="M1065" s="66"/>
      <c r="N1065" s="66"/>
      <c r="O1065" s="19"/>
      <c r="P1065" s="22"/>
      <c r="Q1065" s="22"/>
      <c r="R1065" s="22"/>
    </row>
    <row r="1066" hidden="1">
      <c r="A1066" s="93"/>
      <c r="B1066" s="66"/>
      <c r="C1066" s="66"/>
      <c r="D1066" s="66"/>
      <c r="E1066" s="66"/>
      <c r="F1066" s="66"/>
      <c r="G1066" s="66"/>
      <c r="H1066" s="66"/>
      <c r="I1066" s="66"/>
      <c r="J1066" s="66"/>
      <c r="K1066" s="66"/>
      <c r="L1066" s="66"/>
      <c r="M1066" s="66"/>
      <c r="N1066" s="66"/>
      <c r="O1066" s="19"/>
      <c r="P1066" s="22"/>
      <c r="Q1066" s="22"/>
      <c r="R1066" s="22"/>
    </row>
    <row r="1067" hidden="1">
      <c r="A1067" s="93"/>
      <c r="B1067" s="66"/>
      <c r="C1067" s="66"/>
      <c r="D1067" s="66"/>
      <c r="E1067" s="66"/>
      <c r="F1067" s="66"/>
      <c r="G1067" s="66"/>
      <c r="H1067" s="66"/>
      <c r="I1067" s="66"/>
      <c r="J1067" s="66"/>
      <c r="K1067" s="66"/>
      <c r="L1067" s="66"/>
      <c r="M1067" s="66"/>
      <c r="N1067" s="66"/>
      <c r="O1067" s="19"/>
      <c r="P1067" s="22"/>
      <c r="Q1067" s="22"/>
      <c r="R1067" s="22"/>
    </row>
    <row r="1068" hidden="1">
      <c r="A1068" s="93"/>
      <c r="B1068" s="66"/>
      <c r="C1068" s="66"/>
      <c r="D1068" s="66"/>
      <c r="E1068" s="66"/>
      <c r="F1068" s="66"/>
      <c r="G1068" s="66"/>
      <c r="H1068" s="66"/>
      <c r="I1068" s="66"/>
      <c r="J1068" s="66"/>
      <c r="K1068" s="66"/>
      <c r="L1068" s="66"/>
      <c r="M1068" s="66"/>
      <c r="N1068" s="66"/>
      <c r="O1068" s="19"/>
      <c r="P1068" s="22"/>
      <c r="Q1068" s="22"/>
      <c r="R1068" s="22"/>
    </row>
    <row r="1069" hidden="1">
      <c r="A1069" s="93"/>
      <c r="B1069" s="66"/>
      <c r="C1069" s="66"/>
      <c r="D1069" s="66"/>
      <c r="E1069" s="66"/>
      <c r="F1069" s="66"/>
      <c r="G1069" s="66"/>
      <c r="H1069" s="66"/>
      <c r="I1069" s="66"/>
      <c r="J1069" s="66"/>
      <c r="K1069" s="66"/>
      <c r="L1069" s="66"/>
      <c r="M1069" s="66"/>
      <c r="N1069" s="66"/>
      <c r="O1069" s="19"/>
      <c r="P1069" s="22"/>
      <c r="Q1069" s="22"/>
      <c r="R1069" s="22"/>
    </row>
    <row r="1070" hidden="1">
      <c r="A1070" s="93"/>
      <c r="B1070" s="66"/>
      <c r="C1070" s="66"/>
      <c r="D1070" s="66"/>
      <c r="E1070" s="66"/>
      <c r="F1070" s="66"/>
      <c r="G1070" s="66"/>
      <c r="H1070" s="66"/>
      <c r="I1070" s="66"/>
      <c r="J1070" s="66"/>
      <c r="K1070" s="66"/>
      <c r="L1070" s="66"/>
      <c r="M1070" s="66"/>
      <c r="N1070" s="66"/>
      <c r="O1070" s="19"/>
      <c r="P1070" s="22"/>
      <c r="Q1070" s="22"/>
      <c r="R1070" s="22"/>
    </row>
    <row r="1071" hidden="1">
      <c r="A1071" s="93"/>
      <c r="B1071" s="66"/>
      <c r="C1071" s="66"/>
      <c r="D1071" s="66"/>
      <c r="E1071" s="66"/>
      <c r="F1071" s="66"/>
      <c r="G1071" s="66"/>
      <c r="H1071" s="66"/>
      <c r="I1071" s="66"/>
      <c r="J1071" s="66"/>
      <c r="K1071" s="66"/>
      <c r="L1071" s="66"/>
      <c r="M1071" s="66"/>
      <c r="N1071" s="66"/>
      <c r="O1071" s="19"/>
      <c r="P1071" s="22"/>
      <c r="Q1071" s="22"/>
      <c r="R1071" s="22"/>
    </row>
    <row r="1072" hidden="1">
      <c r="A1072" s="93"/>
      <c r="B1072" s="66"/>
      <c r="C1072" s="66"/>
      <c r="D1072" s="66"/>
      <c r="E1072" s="66"/>
      <c r="F1072" s="66"/>
      <c r="G1072" s="66"/>
      <c r="H1072" s="66"/>
      <c r="I1072" s="66"/>
      <c r="J1072" s="66"/>
      <c r="K1072" s="66"/>
      <c r="L1072" s="66"/>
      <c r="M1072" s="66"/>
      <c r="N1072" s="66"/>
      <c r="O1072" s="19"/>
      <c r="P1072" s="22"/>
      <c r="Q1072" s="22"/>
      <c r="R1072" s="22"/>
    </row>
    <row r="1073" hidden="1">
      <c r="A1073" s="93"/>
      <c r="B1073" s="66"/>
      <c r="C1073" s="66"/>
      <c r="D1073" s="66"/>
      <c r="E1073" s="66"/>
      <c r="F1073" s="66"/>
      <c r="G1073" s="66"/>
      <c r="H1073" s="66"/>
      <c r="I1073" s="66"/>
      <c r="J1073" s="66"/>
      <c r="K1073" s="66"/>
      <c r="L1073" s="66"/>
      <c r="M1073" s="66"/>
      <c r="N1073" s="66"/>
      <c r="O1073" s="19"/>
      <c r="P1073" s="22"/>
      <c r="Q1073" s="22"/>
      <c r="R1073" s="22"/>
    </row>
    <row r="1074" hidden="1">
      <c r="A1074" s="93"/>
      <c r="B1074" s="66"/>
      <c r="C1074" s="66"/>
      <c r="D1074" s="66"/>
      <c r="E1074" s="66"/>
      <c r="F1074" s="66"/>
      <c r="G1074" s="66"/>
      <c r="H1074" s="66"/>
      <c r="I1074" s="66"/>
      <c r="J1074" s="66"/>
      <c r="K1074" s="66"/>
      <c r="L1074" s="66"/>
      <c r="M1074" s="66"/>
      <c r="N1074" s="66"/>
      <c r="O1074" s="19"/>
      <c r="P1074" s="22"/>
      <c r="Q1074" s="22"/>
      <c r="R1074" s="22"/>
    </row>
    <row r="1075" hidden="1">
      <c r="A1075" s="93"/>
      <c r="B1075" s="66"/>
      <c r="C1075" s="66"/>
      <c r="D1075" s="66"/>
      <c r="E1075" s="66"/>
      <c r="F1075" s="66"/>
      <c r="G1075" s="66"/>
      <c r="H1075" s="66"/>
      <c r="I1075" s="66"/>
      <c r="J1075" s="66"/>
      <c r="K1075" s="66"/>
      <c r="L1075" s="66"/>
      <c r="M1075" s="66"/>
      <c r="N1075" s="66"/>
      <c r="O1075" s="19"/>
      <c r="P1075" s="22"/>
      <c r="Q1075" s="22"/>
      <c r="R1075" s="22"/>
    </row>
    <row r="1076" hidden="1">
      <c r="A1076" s="93"/>
      <c r="B1076" s="66"/>
      <c r="C1076" s="66"/>
      <c r="D1076" s="66"/>
      <c r="E1076" s="66"/>
      <c r="F1076" s="66"/>
      <c r="G1076" s="66"/>
      <c r="H1076" s="66"/>
      <c r="I1076" s="66"/>
      <c r="J1076" s="66"/>
      <c r="K1076" s="66"/>
      <c r="L1076" s="66"/>
      <c r="M1076" s="66"/>
      <c r="N1076" s="66"/>
      <c r="O1076" s="19"/>
      <c r="P1076" s="22"/>
      <c r="Q1076" s="22"/>
      <c r="R1076" s="22"/>
    </row>
    <row r="1077" hidden="1">
      <c r="A1077" s="93"/>
      <c r="B1077" s="66"/>
      <c r="C1077" s="66"/>
      <c r="D1077" s="66"/>
      <c r="E1077" s="66"/>
      <c r="F1077" s="66"/>
      <c r="G1077" s="66"/>
      <c r="H1077" s="66"/>
      <c r="I1077" s="66"/>
      <c r="J1077" s="66"/>
      <c r="K1077" s="66"/>
      <c r="L1077" s="66"/>
      <c r="M1077" s="66"/>
      <c r="N1077" s="66"/>
      <c r="O1077" s="19"/>
      <c r="P1077" s="22"/>
      <c r="Q1077" s="22"/>
      <c r="R1077" s="22"/>
    </row>
    <row r="1078" hidden="1">
      <c r="A1078" s="93"/>
      <c r="B1078" s="66"/>
      <c r="C1078" s="66"/>
      <c r="D1078" s="66"/>
      <c r="E1078" s="66"/>
      <c r="F1078" s="66"/>
      <c r="G1078" s="66"/>
      <c r="H1078" s="66"/>
      <c r="I1078" s="66"/>
      <c r="J1078" s="66"/>
      <c r="K1078" s="66"/>
      <c r="L1078" s="66"/>
      <c r="M1078" s="66"/>
      <c r="N1078" s="66"/>
      <c r="O1078" s="19"/>
      <c r="P1078" s="22"/>
      <c r="Q1078" s="22"/>
      <c r="R1078" s="22"/>
    </row>
    <row r="1079" hidden="1">
      <c r="A1079" s="93"/>
      <c r="B1079" s="66"/>
      <c r="C1079" s="66"/>
      <c r="D1079" s="66"/>
      <c r="E1079" s="66"/>
      <c r="F1079" s="66"/>
      <c r="G1079" s="66"/>
      <c r="H1079" s="66"/>
      <c r="I1079" s="66"/>
      <c r="J1079" s="66"/>
      <c r="K1079" s="66"/>
      <c r="L1079" s="66"/>
      <c r="M1079" s="66"/>
      <c r="N1079" s="66"/>
      <c r="O1079" s="19"/>
      <c r="P1079" s="22"/>
      <c r="Q1079" s="22"/>
      <c r="R1079" s="22"/>
    </row>
    <row r="1080" hidden="1">
      <c r="A1080" s="93"/>
      <c r="B1080" s="66"/>
      <c r="C1080" s="66"/>
      <c r="D1080" s="66"/>
      <c r="E1080" s="66"/>
      <c r="F1080" s="66"/>
      <c r="G1080" s="66"/>
      <c r="H1080" s="66"/>
      <c r="I1080" s="66"/>
      <c r="J1080" s="66"/>
      <c r="K1080" s="66"/>
      <c r="L1080" s="66"/>
      <c r="M1080" s="66"/>
      <c r="N1080" s="66"/>
      <c r="O1080" s="19"/>
      <c r="P1080" s="22"/>
      <c r="Q1080" s="22"/>
      <c r="R1080" s="22"/>
    </row>
    <row r="1081" hidden="1">
      <c r="A1081" s="93"/>
      <c r="B1081" s="66"/>
      <c r="C1081" s="66"/>
      <c r="D1081" s="66"/>
      <c r="E1081" s="66"/>
      <c r="F1081" s="66"/>
      <c r="G1081" s="66"/>
      <c r="H1081" s="66"/>
      <c r="I1081" s="66"/>
      <c r="J1081" s="66"/>
      <c r="K1081" s="66"/>
      <c r="L1081" s="66"/>
      <c r="M1081" s="66"/>
      <c r="N1081" s="66"/>
      <c r="O1081" s="19"/>
      <c r="P1081" s="22"/>
      <c r="Q1081" s="22"/>
      <c r="R1081" s="22"/>
    </row>
    <row r="1082" hidden="1">
      <c r="A1082" s="93"/>
      <c r="B1082" s="66"/>
      <c r="C1082" s="66"/>
      <c r="D1082" s="66"/>
      <c r="E1082" s="66"/>
      <c r="F1082" s="66"/>
      <c r="G1082" s="66"/>
      <c r="H1082" s="66"/>
      <c r="I1082" s="66"/>
      <c r="J1082" s="66"/>
      <c r="K1082" s="66"/>
      <c r="L1082" s="66"/>
      <c r="M1082" s="66"/>
      <c r="N1082" s="66"/>
      <c r="O1082" s="19"/>
      <c r="P1082" s="22"/>
      <c r="Q1082" s="22"/>
      <c r="R1082" s="22"/>
    </row>
    <row r="1083" hidden="1">
      <c r="A1083" s="93"/>
      <c r="B1083" s="66"/>
      <c r="C1083" s="66"/>
      <c r="D1083" s="66"/>
      <c r="E1083" s="66"/>
      <c r="F1083" s="66"/>
      <c r="G1083" s="66"/>
      <c r="H1083" s="66"/>
      <c r="I1083" s="66"/>
      <c r="J1083" s="66"/>
      <c r="K1083" s="66"/>
      <c r="L1083" s="66"/>
      <c r="M1083" s="66"/>
      <c r="N1083" s="66"/>
      <c r="O1083" s="19"/>
      <c r="P1083" s="22"/>
      <c r="Q1083" s="22"/>
      <c r="R1083" s="22"/>
    </row>
    <row r="1084" hidden="1">
      <c r="A1084" s="93"/>
      <c r="B1084" s="48"/>
      <c r="C1084" s="48"/>
      <c r="D1084" s="48"/>
      <c r="E1084" s="48"/>
      <c r="F1084" s="48"/>
      <c r="G1084" s="48"/>
      <c r="H1084" s="48"/>
      <c r="I1084" s="48"/>
      <c r="J1084" s="48"/>
      <c r="K1084" s="66"/>
      <c r="L1084" s="66"/>
      <c r="M1084" s="66"/>
      <c r="N1084" s="66"/>
      <c r="O1084" s="19"/>
      <c r="P1084" s="22"/>
      <c r="Q1084" s="22"/>
      <c r="R1084" s="22"/>
    </row>
    <row r="1085" hidden="1">
      <c r="A1085" s="93"/>
      <c r="B1085" s="48"/>
      <c r="C1085" s="48"/>
      <c r="D1085" s="48"/>
      <c r="E1085" s="48"/>
      <c r="F1085" s="48"/>
      <c r="G1085" s="48"/>
      <c r="H1085" s="48"/>
      <c r="I1085" s="48"/>
      <c r="J1085" s="48"/>
      <c r="K1085" s="66"/>
      <c r="L1085" s="66"/>
      <c r="M1085" s="66"/>
      <c r="N1085" s="66"/>
      <c r="O1085" s="19"/>
      <c r="P1085" s="22"/>
      <c r="Q1085" s="22"/>
      <c r="R1085" s="22"/>
    </row>
    <row r="1086" hidden="1">
      <c r="A1086" s="93"/>
      <c r="B1086" s="48"/>
      <c r="C1086" s="48"/>
      <c r="D1086" s="48"/>
      <c r="E1086" s="48"/>
      <c r="F1086" s="48"/>
      <c r="G1086" s="48"/>
      <c r="H1086" s="48"/>
      <c r="I1086" s="48"/>
      <c r="J1086" s="48"/>
      <c r="K1086" s="66"/>
      <c r="L1086" s="66"/>
      <c r="M1086" s="66"/>
      <c r="N1086" s="66"/>
      <c r="O1086" s="19"/>
      <c r="P1086" s="22"/>
      <c r="Q1086" s="22"/>
      <c r="R1086" s="22"/>
    </row>
  </sheetData>
  <mergeCells count="245">
    <mergeCell ref="K5:K7"/>
    <mergeCell ref="L5:L7"/>
    <mergeCell ref="M5:M7"/>
    <mergeCell ref="N5:N7"/>
    <mergeCell ref="I8:I10"/>
    <mergeCell ref="J8:J10"/>
    <mergeCell ref="K8:K10"/>
    <mergeCell ref="L8:L10"/>
    <mergeCell ref="M8:M10"/>
    <mergeCell ref="N8:N10"/>
    <mergeCell ref="H11:H13"/>
    <mergeCell ref="I11:I13"/>
    <mergeCell ref="J11:J13"/>
    <mergeCell ref="K11:K13"/>
    <mergeCell ref="L11:L13"/>
    <mergeCell ref="M11:M13"/>
    <mergeCell ref="N11:N13"/>
    <mergeCell ref="P11:Q11"/>
    <mergeCell ref="B5:B7"/>
    <mergeCell ref="E5:E7"/>
    <mergeCell ref="F5:F7"/>
    <mergeCell ref="G5:G7"/>
    <mergeCell ref="H5:H7"/>
    <mergeCell ref="I5:I7"/>
    <mergeCell ref="B8:B10"/>
    <mergeCell ref="E14:E16"/>
    <mergeCell ref="F14:F16"/>
    <mergeCell ref="H14:H16"/>
    <mergeCell ref="J14:J16"/>
    <mergeCell ref="K14:K16"/>
    <mergeCell ref="L14:L16"/>
    <mergeCell ref="M14:M16"/>
    <mergeCell ref="N14:N16"/>
    <mergeCell ref="M17:M19"/>
    <mergeCell ref="N17:N19"/>
    <mergeCell ref="D14:D16"/>
    <mergeCell ref="D17:D19"/>
    <mergeCell ref="F17:F19"/>
    <mergeCell ref="H17:H19"/>
    <mergeCell ref="J17:J19"/>
    <mergeCell ref="K17:K19"/>
    <mergeCell ref="L17:L19"/>
    <mergeCell ref="D20:D22"/>
    <mergeCell ref="F20:F22"/>
    <mergeCell ref="G20:G22"/>
    <mergeCell ref="H20:H22"/>
    <mergeCell ref="J20:J22"/>
    <mergeCell ref="L20:L22"/>
    <mergeCell ref="M20:M22"/>
    <mergeCell ref="N20:N22"/>
    <mergeCell ref="D5:D7"/>
    <mergeCell ref="D8:D10"/>
    <mergeCell ref="B11:B13"/>
    <mergeCell ref="D11:D13"/>
    <mergeCell ref="E11:E13"/>
    <mergeCell ref="B14:B16"/>
    <mergeCell ref="E17:E19"/>
    <mergeCell ref="H23:H25"/>
    <mergeCell ref="J23:J25"/>
    <mergeCell ref="K23:K25"/>
    <mergeCell ref="L23:L25"/>
    <mergeCell ref="M23:M25"/>
    <mergeCell ref="N23:N25"/>
    <mergeCell ref="M26:M28"/>
    <mergeCell ref="N26:N28"/>
    <mergeCell ref="E26:E28"/>
    <mergeCell ref="F26:F28"/>
    <mergeCell ref="H26:H28"/>
    <mergeCell ref="I26:I28"/>
    <mergeCell ref="J26:J28"/>
    <mergeCell ref="K26:K28"/>
    <mergeCell ref="L26:L28"/>
    <mergeCell ref="B29:B31"/>
    <mergeCell ref="D29:D31"/>
    <mergeCell ref="E29:E31"/>
    <mergeCell ref="I29:I31"/>
    <mergeCell ref="L29:L31"/>
    <mergeCell ref="M29:M31"/>
    <mergeCell ref="N29:N31"/>
    <mergeCell ref="K32:K34"/>
    <mergeCell ref="L32:L34"/>
    <mergeCell ref="M32:M34"/>
    <mergeCell ref="N32:N34"/>
    <mergeCell ref="F41:F43"/>
    <mergeCell ref="G41:G43"/>
    <mergeCell ref="H41:H43"/>
    <mergeCell ref="I41:I43"/>
    <mergeCell ref="K41:K43"/>
    <mergeCell ref="L41:L43"/>
    <mergeCell ref="M41:M43"/>
    <mergeCell ref="N41:N43"/>
    <mergeCell ref="D41:D43"/>
    <mergeCell ref="D44:D46"/>
    <mergeCell ref="F44:F46"/>
    <mergeCell ref="H44:H46"/>
    <mergeCell ref="I44:I46"/>
    <mergeCell ref="K44:K46"/>
    <mergeCell ref="L44:L46"/>
    <mergeCell ref="B17:B19"/>
    <mergeCell ref="B20:B22"/>
    <mergeCell ref="B23:B25"/>
    <mergeCell ref="E23:E25"/>
    <mergeCell ref="F23:F25"/>
    <mergeCell ref="G23:G25"/>
    <mergeCell ref="B26:B28"/>
    <mergeCell ref="J35:J37"/>
    <mergeCell ref="K35:K37"/>
    <mergeCell ref="L35:L37"/>
    <mergeCell ref="M35:M37"/>
    <mergeCell ref="N35:N37"/>
    <mergeCell ref="D23:D25"/>
    <mergeCell ref="D26:D28"/>
    <mergeCell ref="B32:B34"/>
    <mergeCell ref="E32:E34"/>
    <mergeCell ref="G32:G34"/>
    <mergeCell ref="J32:J34"/>
    <mergeCell ref="B35:B37"/>
    <mergeCell ref="K38:K40"/>
    <mergeCell ref="L38:L40"/>
    <mergeCell ref="M38:M40"/>
    <mergeCell ref="N38:N40"/>
    <mergeCell ref="E35:E37"/>
    <mergeCell ref="F35:F37"/>
    <mergeCell ref="E38:E40"/>
    <mergeCell ref="F38:F40"/>
    <mergeCell ref="H38:H40"/>
    <mergeCell ref="I38:I40"/>
    <mergeCell ref="J38:J40"/>
    <mergeCell ref="M44:M46"/>
    <mergeCell ref="N44:N46"/>
    <mergeCell ref="D32:D34"/>
    <mergeCell ref="D35:D37"/>
    <mergeCell ref="B38:B40"/>
    <mergeCell ref="D38:D40"/>
    <mergeCell ref="B41:B43"/>
    <mergeCell ref="E41:E43"/>
    <mergeCell ref="B44:B46"/>
    <mergeCell ref="F56:F58"/>
    <mergeCell ref="G56:G58"/>
    <mergeCell ref="J56:J58"/>
    <mergeCell ref="K56:K58"/>
    <mergeCell ref="L56:L58"/>
    <mergeCell ref="M56:M58"/>
    <mergeCell ref="N56:N58"/>
    <mergeCell ref="M59:M61"/>
    <mergeCell ref="N59:N61"/>
    <mergeCell ref="D56:D58"/>
    <mergeCell ref="D59:D61"/>
    <mergeCell ref="F59:F61"/>
    <mergeCell ref="G59:G61"/>
    <mergeCell ref="H59:H61"/>
    <mergeCell ref="I59:I61"/>
    <mergeCell ref="J59:J61"/>
    <mergeCell ref="D47:D49"/>
    <mergeCell ref="D50:D52"/>
    <mergeCell ref="B53:B55"/>
    <mergeCell ref="D53:D55"/>
    <mergeCell ref="B56:B58"/>
    <mergeCell ref="E56:E58"/>
    <mergeCell ref="E59:E61"/>
    <mergeCell ref="L68:L70"/>
    <mergeCell ref="M68:M70"/>
    <mergeCell ref="N68:N70"/>
    <mergeCell ref="L71:L73"/>
    <mergeCell ref="M71:M73"/>
    <mergeCell ref="N71:N73"/>
    <mergeCell ref="E68:E70"/>
    <mergeCell ref="F68:F70"/>
    <mergeCell ref="G68:G70"/>
    <mergeCell ref="H68:H70"/>
    <mergeCell ref="I68:I70"/>
    <mergeCell ref="J68:J70"/>
    <mergeCell ref="K68:K70"/>
    <mergeCell ref="D68:D70"/>
    <mergeCell ref="D71:D73"/>
    <mergeCell ref="G71:G73"/>
    <mergeCell ref="H71:H73"/>
    <mergeCell ref="I71:I73"/>
    <mergeCell ref="J71:J73"/>
    <mergeCell ref="B71:B73"/>
    <mergeCell ref="B74:B76"/>
    <mergeCell ref="D62:D64"/>
    <mergeCell ref="E62:E64"/>
    <mergeCell ref="B65:B67"/>
    <mergeCell ref="D65:D67"/>
    <mergeCell ref="E65:E67"/>
    <mergeCell ref="B68:B70"/>
    <mergeCell ref="E71:E73"/>
    <mergeCell ref="L74:L76"/>
    <mergeCell ref="M74:M76"/>
    <mergeCell ref="N74:N76"/>
    <mergeCell ref="D74:D76"/>
    <mergeCell ref="F74:F76"/>
    <mergeCell ref="G74:G76"/>
    <mergeCell ref="H74:H76"/>
    <mergeCell ref="I74:I76"/>
    <mergeCell ref="J74:J76"/>
    <mergeCell ref="K74:K76"/>
    <mergeCell ref="J62:J64"/>
    <mergeCell ref="J65:J67"/>
    <mergeCell ref="K65:K67"/>
    <mergeCell ref="L65:L67"/>
    <mergeCell ref="M65:M67"/>
    <mergeCell ref="N65:N67"/>
    <mergeCell ref="B59:B61"/>
    <mergeCell ref="B62:B64"/>
    <mergeCell ref="F62:F64"/>
    <mergeCell ref="G62:G64"/>
    <mergeCell ref="H62:H64"/>
    <mergeCell ref="I62:I64"/>
    <mergeCell ref="H65:H67"/>
    <mergeCell ref="K47:K49"/>
    <mergeCell ref="L47:L49"/>
    <mergeCell ref="M47:M49"/>
    <mergeCell ref="N47:N49"/>
    <mergeCell ref="I50:I52"/>
    <mergeCell ref="J50:J52"/>
    <mergeCell ref="K50:K52"/>
    <mergeCell ref="L50:L52"/>
    <mergeCell ref="M50:M52"/>
    <mergeCell ref="N50:N52"/>
    <mergeCell ref="B47:B49"/>
    <mergeCell ref="F47:F49"/>
    <mergeCell ref="H47:H49"/>
    <mergeCell ref="I47:I49"/>
    <mergeCell ref="J47:J49"/>
    <mergeCell ref="B50:B52"/>
    <mergeCell ref="E50:E52"/>
    <mergeCell ref="K53:K55"/>
    <mergeCell ref="L53:L55"/>
    <mergeCell ref="M53:M55"/>
    <mergeCell ref="N53:N55"/>
    <mergeCell ref="G47:G49"/>
    <mergeCell ref="G50:G52"/>
    <mergeCell ref="F53:F55"/>
    <mergeCell ref="G53:G55"/>
    <mergeCell ref="H53:H55"/>
    <mergeCell ref="I53:I55"/>
    <mergeCell ref="J53:J55"/>
    <mergeCell ref="K59:K61"/>
    <mergeCell ref="L59:L61"/>
    <mergeCell ref="K62:K64"/>
    <mergeCell ref="L62:L64"/>
    <mergeCell ref="M62:M64"/>
    <mergeCell ref="N62:N64"/>
  </mergeCells>
  <conditionalFormatting sqref="A3:R1086">
    <cfRule type="expression" dxfId="0" priority="1">
      <formula>($B3&lt;&gt;"")*($D3="")</formula>
    </cfRule>
  </conditionalFormatting>
  <conditionalFormatting sqref="N1:N76 E5:K76 O17:O22 N78:N83 L81:L83 I84:J84 N86:N1086 J88:J1086">
    <cfRule type="cellIs" dxfId="1" priority="2" operator="lessThan">
      <formula>0</formula>
    </cfRule>
  </conditionalFormatting>
  <conditionalFormatting sqref="N5:N76">
    <cfRule type="cellIs" dxfId="2" priority="3" operator="greaterThanOrEqual">
      <formula>0</formula>
    </cfRule>
  </conditionalFormatting>
  <hyperlinks>
    <hyperlink r:id="rId1" location="gid=1619821413" ref="B1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.13"/>
    <col customWidth="1" min="2" max="2" width="28.0"/>
    <col customWidth="1" min="3" max="3" width="5.75"/>
    <col customWidth="1" min="5" max="5" width="24.5"/>
    <col customWidth="1" min="6" max="6" width="25.0"/>
    <col customWidth="1" min="7" max="7" width="29.38"/>
    <col customWidth="1" min="8" max="8" width="27.63"/>
    <col customWidth="1" min="9" max="9" width="28.0"/>
    <col customWidth="1" min="10" max="10" width="28.75"/>
    <col customWidth="1" min="11" max="11" width="24.5"/>
    <col customWidth="1" min="12" max="12" width="20.25"/>
    <col customWidth="1" min="13" max="13" width="10.5"/>
    <col customWidth="1" min="14" max="14" width="15.88"/>
    <col customWidth="1" min="15" max="18" width="28.25"/>
  </cols>
  <sheetData>
    <row r="1">
      <c r="A1" s="1"/>
      <c r="B1" s="2" t="s">
        <v>0</v>
      </c>
      <c r="C1" s="3"/>
      <c r="D1" s="4"/>
      <c r="E1" s="4"/>
      <c r="F1" s="4"/>
      <c r="G1" s="4"/>
      <c r="H1" s="4"/>
      <c r="I1" s="4"/>
      <c r="J1" s="4"/>
      <c r="K1" s="4"/>
      <c r="L1" s="4"/>
      <c r="M1" s="5"/>
      <c r="N1" s="6"/>
      <c r="O1" s="4"/>
      <c r="P1" s="4"/>
      <c r="Q1" s="4"/>
      <c r="R1" s="4"/>
    </row>
    <row r="2">
      <c r="A2" s="4"/>
      <c r="B2" s="7" t="s">
        <v>1</v>
      </c>
      <c r="C2" s="7"/>
      <c r="D2" s="7" t="s">
        <v>2</v>
      </c>
      <c r="E2" s="8">
        <v>46160.0</v>
      </c>
      <c r="F2" s="8">
        <f t="shared" ref="F2:K2" si="1">E2+1</f>
        <v>46161</v>
      </c>
      <c r="G2" s="8">
        <f t="shared" si="1"/>
        <v>46162</v>
      </c>
      <c r="H2" s="8">
        <f t="shared" si="1"/>
        <v>46163</v>
      </c>
      <c r="I2" s="8">
        <f t="shared" si="1"/>
        <v>46164</v>
      </c>
      <c r="J2" s="8">
        <f t="shared" si="1"/>
        <v>46165</v>
      </c>
      <c r="K2" s="8">
        <f t="shared" si="1"/>
        <v>46166</v>
      </c>
      <c r="L2" s="7"/>
      <c r="M2" s="9" t="s">
        <v>3</v>
      </c>
      <c r="N2" s="10" t="s">
        <v>4</v>
      </c>
      <c r="O2" s="11" t="s">
        <v>5</v>
      </c>
      <c r="P2" s="11"/>
      <c r="Q2" s="11"/>
      <c r="R2" s="11"/>
    </row>
    <row r="3" ht="15.0" customHeight="1">
      <c r="A3" s="12"/>
      <c r="B3" s="13" t="s">
        <v>6</v>
      </c>
      <c r="C3" s="13"/>
      <c r="D3" s="14"/>
      <c r="E3" s="15" t="s">
        <v>7</v>
      </c>
      <c r="F3" s="15" t="s">
        <v>8</v>
      </c>
      <c r="G3" s="15" t="s">
        <v>9</v>
      </c>
      <c r="H3" s="15" t="s">
        <v>10</v>
      </c>
      <c r="I3" s="15" t="s">
        <v>11</v>
      </c>
      <c r="J3" s="15" t="s">
        <v>12</v>
      </c>
      <c r="K3" s="15" t="s">
        <v>13</v>
      </c>
      <c r="L3" s="14"/>
      <c r="M3" s="16"/>
      <c r="N3" s="16"/>
      <c r="O3" s="12"/>
      <c r="P3" s="12"/>
      <c r="Q3" s="12"/>
      <c r="R3" s="12"/>
    </row>
    <row r="4">
      <c r="A4" s="12"/>
      <c r="B4" s="17"/>
      <c r="C4" s="17"/>
      <c r="D4" s="18"/>
      <c r="E4" s="19"/>
      <c r="F4" s="19"/>
      <c r="G4" s="19"/>
      <c r="H4" s="19"/>
      <c r="I4" s="108" t="s">
        <v>14</v>
      </c>
      <c r="J4" s="108"/>
      <c r="K4" s="108"/>
      <c r="L4" s="21"/>
      <c r="M4" s="19"/>
      <c r="N4" s="19"/>
      <c r="O4" s="21"/>
      <c r="P4" s="22"/>
      <c r="Q4" s="22"/>
      <c r="R4" s="22"/>
    </row>
    <row r="5">
      <c r="A5" s="12"/>
      <c r="B5" s="23" t="s">
        <v>15</v>
      </c>
      <c r="C5" s="24" t="s">
        <v>16</v>
      </c>
      <c r="D5" s="25" t="s">
        <v>17</v>
      </c>
      <c r="E5" s="109">
        <v>1900.0</v>
      </c>
      <c r="F5" s="121" t="s">
        <v>71</v>
      </c>
      <c r="G5" s="109">
        <v>1650.0</v>
      </c>
      <c r="H5" s="109">
        <v>6000.0</v>
      </c>
      <c r="I5" s="109" t="s">
        <v>135</v>
      </c>
      <c r="J5" s="133" t="s">
        <v>556</v>
      </c>
      <c r="K5" s="133" t="s">
        <v>556</v>
      </c>
      <c r="L5" s="29" t="b">
        <v>0</v>
      </c>
      <c r="M5" s="30">
        <f>SUM(E5:L5)</f>
        <v>9550</v>
      </c>
      <c r="N5" s="31">
        <f>M5-8000</f>
        <v>1550</v>
      </c>
      <c r="O5" s="32"/>
      <c r="P5" s="33"/>
      <c r="Q5" s="34"/>
      <c r="R5" s="34"/>
    </row>
    <row r="6">
      <c r="A6" s="12"/>
      <c r="B6" s="35"/>
      <c r="C6" s="24" t="s">
        <v>5</v>
      </c>
      <c r="D6" s="36"/>
      <c r="E6" s="110">
        <f>30+450</f>
        <v>480</v>
      </c>
      <c r="G6" s="110">
        <v>531.0</v>
      </c>
      <c r="H6" s="110">
        <f>80+1169</f>
        <v>1249</v>
      </c>
      <c r="N6" s="36"/>
      <c r="O6" s="38">
        <f>SUM(E6:K6)</f>
        <v>2260</v>
      </c>
      <c r="P6" s="33"/>
      <c r="Q6" s="34"/>
      <c r="R6" s="34"/>
    </row>
    <row r="7">
      <c r="A7" s="12"/>
      <c r="B7" s="39"/>
      <c r="C7" s="24" t="s">
        <v>20</v>
      </c>
      <c r="D7" s="40"/>
      <c r="E7" s="42" t="s">
        <v>557</v>
      </c>
      <c r="F7" s="41"/>
      <c r="G7" s="42" t="s">
        <v>558</v>
      </c>
      <c r="H7" s="42" t="s">
        <v>559</v>
      </c>
      <c r="I7" s="41"/>
      <c r="J7" s="41"/>
      <c r="K7" s="41"/>
      <c r="L7" s="41"/>
      <c r="M7" s="41"/>
      <c r="N7" s="40"/>
      <c r="O7" s="43">
        <f>M5/O6</f>
        <v>4.225663717</v>
      </c>
      <c r="P7" s="33"/>
      <c r="Q7" s="34"/>
      <c r="R7" s="34"/>
    </row>
    <row r="8">
      <c r="A8" s="12"/>
      <c r="B8" s="23" t="s">
        <v>25</v>
      </c>
      <c r="C8" s="24" t="s">
        <v>16</v>
      </c>
      <c r="D8" s="25" t="s">
        <v>26</v>
      </c>
      <c r="E8" s="109" t="s">
        <v>135</v>
      </c>
      <c r="F8" s="109" t="s">
        <v>135</v>
      </c>
      <c r="G8" s="121" t="s">
        <v>27</v>
      </c>
      <c r="H8" s="121" t="s">
        <v>27</v>
      </c>
      <c r="I8" s="121" t="s">
        <v>27</v>
      </c>
      <c r="J8" s="121" t="s">
        <v>27</v>
      </c>
      <c r="K8" s="121" t="s">
        <v>27</v>
      </c>
      <c r="L8" s="29" t="b">
        <v>0</v>
      </c>
      <c r="M8" s="30">
        <f>SUM(E8:L8)</f>
        <v>0</v>
      </c>
      <c r="N8" s="31">
        <f>M8-7000</f>
        <v>-7000</v>
      </c>
      <c r="O8" s="32"/>
      <c r="P8" s="33"/>
      <c r="Q8" s="34"/>
      <c r="R8" s="34"/>
    </row>
    <row r="9">
      <c r="A9" s="12"/>
      <c r="B9" s="35"/>
      <c r="C9" s="24" t="s">
        <v>5</v>
      </c>
      <c r="D9" s="36"/>
      <c r="N9" s="36"/>
      <c r="O9" s="38">
        <f>SUM(E9:K9)</f>
        <v>0</v>
      </c>
      <c r="P9" s="33"/>
      <c r="Q9" s="34"/>
      <c r="R9" s="34"/>
    </row>
    <row r="10">
      <c r="A10" s="12"/>
      <c r="B10" s="39"/>
      <c r="C10" s="24" t="s">
        <v>20</v>
      </c>
      <c r="D10" s="40"/>
      <c r="E10" s="41"/>
      <c r="F10" s="41"/>
      <c r="G10" s="41"/>
      <c r="H10" s="41"/>
      <c r="I10" s="41"/>
      <c r="J10" s="41"/>
      <c r="K10" s="41"/>
      <c r="L10" s="41"/>
      <c r="M10" s="41"/>
      <c r="N10" s="40"/>
      <c r="O10" s="43" t="str">
        <f>M8/O9</f>
        <v>#DIV/0!</v>
      </c>
      <c r="P10" s="33"/>
      <c r="Q10" s="34"/>
      <c r="R10" s="34"/>
    </row>
    <row r="11">
      <c r="A11" s="12"/>
      <c r="B11" s="23" t="s">
        <v>29</v>
      </c>
      <c r="C11" s="24" t="s">
        <v>16</v>
      </c>
      <c r="D11" s="25" t="s">
        <v>30</v>
      </c>
      <c r="E11" s="109">
        <v>1900.0</v>
      </c>
      <c r="F11" s="109">
        <v>3700.0</v>
      </c>
      <c r="G11" s="109" t="s">
        <v>135</v>
      </c>
      <c r="H11" s="109">
        <v>2500.0</v>
      </c>
      <c r="I11" s="109" t="s">
        <v>135</v>
      </c>
      <c r="J11" s="109">
        <v>5900.0</v>
      </c>
      <c r="K11" s="109" t="s">
        <v>135</v>
      </c>
      <c r="L11" s="29" t="b">
        <v>0</v>
      </c>
      <c r="M11" s="30">
        <f>SUM(E11:L11)</f>
        <v>14000</v>
      </c>
      <c r="N11" s="31">
        <f>M11-7000</f>
        <v>7000</v>
      </c>
      <c r="O11" s="32"/>
      <c r="P11" s="45"/>
      <c r="R11" s="46"/>
    </row>
    <row r="12">
      <c r="A12" s="12"/>
      <c r="B12" s="35"/>
      <c r="C12" s="24" t="s">
        <v>5</v>
      </c>
      <c r="D12" s="36"/>
      <c r="E12" s="110">
        <f>26+450</f>
        <v>476</v>
      </c>
      <c r="F12" s="110">
        <f>46+1547</f>
        <v>1593</v>
      </c>
      <c r="H12" s="110">
        <f>69+706</f>
        <v>775</v>
      </c>
      <c r="J12" s="110">
        <f>266+2207</f>
        <v>2473</v>
      </c>
      <c r="N12" s="36"/>
      <c r="O12" s="38">
        <f>SUM(E12:K12)</f>
        <v>5317</v>
      </c>
      <c r="P12" s="47"/>
      <c r="Q12" s="46"/>
      <c r="R12" s="46"/>
    </row>
    <row r="13">
      <c r="A13" s="12"/>
      <c r="B13" s="39"/>
      <c r="C13" s="24" t="s">
        <v>20</v>
      </c>
      <c r="D13" s="40"/>
      <c r="E13" s="42" t="s">
        <v>560</v>
      </c>
      <c r="F13" s="42" t="s">
        <v>561</v>
      </c>
      <c r="G13" s="41"/>
      <c r="H13" s="42" t="s">
        <v>562</v>
      </c>
      <c r="I13" s="41"/>
      <c r="J13" s="42" t="s">
        <v>563</v>
      </c>
      <c r="K13" s="41"/>
      <c r="L13" s="41"/>
      <c r="M13" s="41"/>
      <c r="N13" s="40"/>
      <c r="O13" s="43">
        <f>M11/O12</f>
        <v>2.633063758</v>
      </c>
      <c r="P13" s="47"/>
      <c r="Q13" s="34"/>
      <c r="R13" s="34"/>
    </row>
    <row r="14">
      <c r="A14" s="12"/>
      <c r="B14" s="23" t="s">
        <v>34</v>
      </c>
      <c r="C14" s="24" t="s">
        <v>16</v>
      </c>
      <c r="D14" s="25" t="s">
        <v>35</v>
      </c>
      <c r="E14" s="109">
        <v>6800.0</v>
      </c>
      <c r="F14" s="109" t="s">
        <v>135</v>
      </c>
      <c r="G14" s="109" t="s">
        <v>135</v>
      </c>
      <c r="H14" s="109">
        <v>1400.0</v>
      </c>
      <c r="I14" s="109" t="s">
        <v>135</v>
      </c>
      <c r="J14" s="109">
        <v>3900.0</v>
      </c>
      <c r="K14" s="109" t="s">
        <v>135</v>
      </c>
      <c r="L14" s="29" t="b">
        <v>0</v>
      </c>
      <c r="M14" s="30">
        <f>SUM(E14:L14)</f>
        <v>12100</v>
      </c>
      <c r="N14" s="31">
        <f>M14-7000</f>
        <v>5100</v>
      </c>
      <c r="O14" s="32"/>
      <c r="P14" s="33"/>
      <c r="Q14" s="34"/>
      <c r="R14" s="34"/>
    </row>
    <row r="15">
      <c r="A15" s="12"/>
      <c r="B15" s="35"/>
      <c r="C15" s="24" t="s">
        <v>5</v>
      </c>
      <c r="D15" s="36"/>
      <c r="E15" s="110">
        <f>139+193+1630</f>
        <v>1962</v>
      </c>
      <c r="H15" s="110">
        <f>50+488</f>
        <v>538</v>
      </c>
      <c r="J15" s="110">
        <f>182+1211</f>
        <v>1393</v>
      </c>
      <c r="N15" s="36"/>
      <c r="O15" s="38">
        <f>SUM(E15:K15)</f>
        <v>3893</v>
      </c>
      <c r="P15" s="33"/>
      <c r="Q15" s="34"/>
      <c r="R15" s="34"/>
    </row>
    <row r="16">
      <c r="A16" s="12"/>
      <c r="B16" s="39"/>
      <c r="C16" s="24" t="s">
        <v>20</v>
      </c>
      <c r="D16" s="40"/>
      <c r="E16" s="116" t="s">
        <v>564</v>
      </c>
      <c r="F16" s="41"/>
      <c r="G16" s="41"/>
      <c r="H16" s="116" t="s">
        <v>565</v>
      </c>
      <c r="I16" s="41"/>
      <c r="J16" s="42" t="s">
        <v>566</v>
      </c>
      <c r="K16" s="41"/>
      <c r="L16" s="41"/>
      <c r="M16" s="41"/>
      <c r="N16" s="40"/>
      <c r="O16" s="43">
        <f>M14/O15</f>
        <v>3.10814282</v>
      </c>
      <c r="P16" s="33"/>
      <c r="Q16" s="34"/>
      <c r="R16" s="34"/>
    </row>
    <row r="17">
      <c r="A17" s="12"/>
      <c r="B17" s="23" t="s">
        <v>39</v>
      </c>
      <c r="C17" s="24" t="s">
        <v>16</v>
      </c>
      <c r="D17" s="25" t="s">
        <v>40</v>
      </c>
      <c r="E17" s="109" t="s">
        <v>135</v>
      </c>
      <c r="F17" s="109">
        <v>1200.0</v>
      </c>
      <c r="G17" s="109">
        <v>2800.0</v>
      </c>
      <c r="H17" s="133" t="s">
        <v>459</v>
      </c>
      <c r="I17" s="133" t="s">
        <v>459</v>
      </c>
      <c r="J17" s="109">
        <v>1200.0</v>
      </c>
      <c r="K17" s="109" t="s">
        <v>135</v>
      </c>
      <c r="L17" s="29" t="b">
        <v>0</v>
      </c>
      <c r="M17" s="30">
        <f>SUM(E17:L17)</f>
        <v>5200</v>
      </c>
      <c r="N17" s="31">
        <f>M17-7000</f>
        <v>-1800</v>
      </c>
      <c r="O17" s="32"/>
      <c r="P17" s="33"/>
      <c r="Q17" s="33"/>
      <c r="R17" s="34"/>
    </row>
    <row r="18">
      <c r="A18" s="12"/>
      <c r="B18" s="35"/>
      <c r="C18" s="24" t="s">
        <v>5</v>
      </c>
      <c r="D18" s="36"/>
      <c r="F18" s="110">
        <f>322</f>
        <v>322</v>
      </c>
      <c r="G18" s="110">
        <f>1386+132</f>
        <v>1518</v>
      </c>
      <c r="J18" s="110">
        <f>444+52</f>
        <v>496</v>
      </c>
      <c r="N18" s="36"/>
      <c r="O18" s="38">
        <f>SUM(E18:K18)</f>
        <v>2336</v>
      </c>
      <c r="P18" s="33"/>
      <c r="Q18" s="33"/>
      <c r="R18" s="34"/>
    </row>
    <row r="19">
      <c r="A19" s="12"/>
      <c r="B19" s="39"/>
      <c r="C19" s="24" t="s">
        <v>20</v>
      </c>
      <c r="D19" s="40"/>
      <c r="E19" s="41"/>
      <c r="F19" s="116" t="s">
        <v>567</v>
      </c>
      <c r="G19" s="116" t="s">
        <v>568</v>
      </c>
      <c r="H19" s="41"/>
      <c r="I19" s="41"/>
      <c r="J19" s="116" t="s">
        <v>569</v>
      </c>
      <c r="K19" s="41"/>
      <c r="L19" s="41"/>
      <c r="M19" s="41"/>
      <c r="N19" s="40"/>
      <c r="O19" s="43">
        <f>M17/O18</f>
        <v>2.226027397</v>
      </c>
      <c r="P19" s="48"/>
      <c r="Q19" s="33"/>
      <c r="R19" s="34"/>
    </row>
    <row r="20">
      <c r="A20" s="12"/>
      <c r="B20" s="23" t="s">
        <v>45</v>
      </c>
      <c r="C20" s="24" t="s">
        <v>16</v>
      </c>
      <c r="D20" s="25" t="s">
        <v>46</v>
      </c>
      <c r="E20" s="109">
        <v>3000.0</v>
      </c>
      <c r="F20" s="109" t="s">
        <v>135</v>
      </c>
      <c r="G20" s="109">
        <v>1593.0</v>
      </c>
      <c r="H20" s="109">
        <v>2200.0</v>
      </c>
      <c r="I20" s="109">
        <v>3700.0</v>
      </c>
      <c r="J20" s="109" t="s">
        <v>135</v>
      </c>
      <c r="K20" s="109" t="s">
        <v>135</v>
      </c>
      <c r="L20" s="29" t="b">
        <v>0</v>
      </c>
      <c r="M20" s="30">
        <f>SUM(E20:L20)</f>
        <v>10493</v>
      </c>
      <c r="N20" s="31">
        <f>M20-7000</f>
        <v>3493</v>
      </c>
      <c r="O20" s="32"/>
      <c r="P20" s="33"/>
      <c r="Q20" s="33"/>
      <c r="R20" s="34"/>
    </row>
    <row r="21">
      <c r="A21" s="12"/>
      <c r="B21" s="35"/>
      <c r="C21" s="24" t="s">
        <v>5</v>
      </c>
      <c r="D21" s="36"/>
      <c r="E21" s="110">
        <f>797+21</f>
        <v>818</v>
      </c>
      <c r="G21" s="110">
        <f>597+22</f>
        <v>619</v>
      </c>
      <c r="H21" s="110">
        <f>30+473</f>
        <v>503</v>
      </c>
      <c r="I21" s="110">
        <f>131+1821</f>
        <v>1952</v>
      </c>
      <c r="N21" s="36"/>
      <c r="O21" s="38">
        <f>SUM(E21:K21)</f>
        <v>3892</v>
      </c>
      <c r="P21" s="33"/>
      <c r="Q21" s="33"/>
      <c r="R21" s="34"/>
    </row>
    <row r="22">
      <c r="A22" s="12"/>
      <c r="B22" s="39"/>
      <c r="C22" s="24" t="s">
        <v>20</v>
      </c>
      <c r="D22" s="40"/>
      <c r="E22" s="116" t="s">
        <v>570</v>
      </c>
      <c r="F22" s="41"/>
      <c r="G22" s="116" t="s">
        <v>571</v>
      </c>
      <c r="H22" s="116" t="s">
        <v>572</v>
      </c>
      <c r="I22" s="116" t="s">
        <v>573</v>
      </c>
      <c r="J22" s="41"/>
      <c r="K22" s="41"/>
      <c r="L22" s="41"/>
      <c r="M22" s="41"/>
      <c r="N22" s="40"/>
      <c r="O22" s="43">
        <f>M20/O21</f>
        <v>2.696043165</v>
      </c>
      <c r="P22" s="48"/>
      <c r="Q22" s="33"/>
      <c r="R22" s="34"/>
    </row>
    <row r="23">
      <c r="A23" s="12"/>
      <c r="B23" s="23" t="s">
        <v>50</v>
      </c>
      <c r="C23" s="24" t="s">
        <v>16</v>
      </c>
      <c r="D23" s="25" t="s">
        <v>51</v>
      </c>
      <c r="E23" s="109" t="s">
        <v>135</v>
      </c>
      <c r="F23" s="121" t="s">
        <v>181</v>
      </c>
      <c r="G23" s="109">
        <v>1700.0</v>
      </c>
      <c r="H23" s="109">
        <v>3000.0</v>
      </c>
      <c r="I23" s="109" t="s">
        <v>135</v>
      </c>
      <c r="J23" s="109">
        <v>3100.0</v>
      </c>
      <c r="K23" s="109" t="s">
        <v>135</v>
      </c>
      <c r="L23" s="29" t="b">
        <v>0</v>
      </c>
      <c r="M23" s="30">
        <f>SUM(E23:L23)</f>
        <v>7800</v>
      </c>
      <c r="N23" s="31">
        <f>M23-7000</f>
        <v>800</v>
      </c>
      <c r="O23" s="32"/>
      <c r="P23" s="33"/>
      <c r="Q23" s="34"/>
      <c r="R23" s="34"/>
    </row>
    <row r="24">
      <c r="A24" s="12"/>
      <c r="B24" s="35"/>
      <c r="C24" s="24" t="s">
        <v>5</v>
      </c>
      <c r="D24" s="36"/>
      <c r="G24" s="110">
        <v>814.0</v>
      </c>
      <c r="H24" s="110">
        <v>1282.0</v>
      </c>
      <c r="J24" s="110">
        <v>1538.0</v>
      </c>
      <c r="N24" s="36"/>
      <c r="O24" s="38">
        <f>SUM(E24:K24)</f>
        <v>3634</v>
      </c>
      <c r="P24" s="48"/>
      <c r="Q24" s="34"/>
      <c r="R24" s="34"/>
    </row>
    <row r="25" ht="15.0" customHeight="1">
      <c r="A25" s="12"/>
      <c r="B25" s="39"/>
      <c r="C25" s="24" t="s">
        <v>20</v>
      </c>
      <c r="D25" s="40"/>
      <c r="E25" s="41"/>
      <c r="F25" s="41"/>
      <c r="G25" s="116" t="s">
        <v>574</v>
      </c>
      <c r="H25" s="116" t="s">
        <v>575</v>
      </c>
      <c r="I25" s="41"/>
      <c r="J25" s="116" t="s">
        <v>576</v>
      </c>
      <c r="K25" s="41"/>
      <c r="L25" s="41"/>
      <c r="M25" s="41"/>
      <c r="N25" s="40"/>
      <c r="O25" s="43">
        <f>M23/O24</f>
        <v>2.146395157</v>
      </c>
      <c r="P25" s="22"/>
      <c r="Q25" s="34"/>
      <c r="R25" s="34"/>
    </row>
    <row r="26">
      <c r="A26" s="12"/>
      <c r="B26" s="23" t="s">
        <v>56</v>
      </c>
      <c r="C26" s="24" t="s">
        <v>16</v>
      </c>
      <c r="D26" s="25" t="s">
        <v>57</v>
      </c>
      <c r="E26" s="109" t="s">
        <v>135</v>
      </c>
      <c r="F26" s="109" t="s">
        <v>135</v>
      </c>
      <c r="G26" s="109">
        <v>5600.0</v>
      </c>
      <c r="H26" s="109" t="s">
        <v>135</v>
      </c>
      <c r="I26" s="109">
        <v>3600.0</v>
      </c>
      <c r="J26" s="109" t="s">
        <v>135</v>
      </c>
      <c r="K26" s="109" t="s">
        <v>135</v>
      </c>
      <c r="L26" s="29" t="b">
        <v>0</v>
      </c>
      <c r="M26" s="30">
        <f>SUM(E26:L26)</f>
        <v>9200</v>
      </c>
      <c r="N26" s="31">
        <f>M26-7000</f>
        <v>2200</v>
      </c>
      <c r="O26" s="32"/>
      <c r="P26" s="33"/>
      <c r="Q26" s="34"/>
      <c r="R26" s="34"/>
    </row>
    <row r="27">
      <c r="A27" s="12"/>
      <c r="B27" s="35"/>
      <c r="C27" s="24" t="s">
        <v>5</v>
      </c>
      <c r="D27" s="36"/>
      <c r="G27" s="110">
        <f>17+1450</f>
        <v>1467</v>
      </c>
      <c r="I27" s="110">
        <f>34+1790</f>
        <v>1824</v>
      </c>
      <c r="N27" s="36"/>
      <c r="O27" s="38">
        <f>SUM(E27:K27)</f>
        <v>3291</v>
      </c>
      <c r="P27" s="33"/>
      <c r="Q27" s="34"/>
      <c r="R27" s="34"/>
    </row>
    <row r="28">
      <c r="A28" s="12"/>
      <c r="B28" s="39"/>
      <c r="C28" s="24" t="s">
        <v>20</v>
      </c>
      <c r="D28" s="40"/>
      <c r="E28" s="41"/>
      <c r="F28" s="41"/>
      <c r="G28" s="42" t="s">
        <v>577</v>
      </c>
      <c r="H28" s="41"/>
      <c r="I28" s="42" t="s">
        <v>578</v>
      </c>
      <c r="J28" s="41"/>
      <c r="K28" s="41"/>
      <c r="L28" s="41"/>
      <c r="M28" s="41"/>
      <c r="N28" s="40"/>
      <c r="O28" s="43">
        <f>M26/O27</f>
        <v>2.795502887</v>
      </c>
      <c r="P28" s="33"/>
      <c r="Q28" s="34"/>
      <c r="R28" s="34"/>
    </row>
    <row r="29">
      <c r="A29" s="12"/>
      <c r="B29" s="23" t="s">
        <v>60</v>
      </c>
      <c r="C29" s="24" t="s">
        <v>16</v>
      </c>
      <c r="D29" s="25" t="s">
        <v>61</v>
      </c>
      <c r="E29" s="109">
        <v>1950.0</v>
      </c>
      <c r="F29" s="109" t="s">
        <v>135</v>
      </c>
      <c r="G29" s="109">
        <v>1200.0</v>
      </c>
      <c r="H29" s="109">
        <v>1025.0</v>
      </c>
      <c r="I29" s="109">
        <v>1000.0</v>
      </c>
      <c r="J29" s="109">
        <v>1000.0</v>
      </c>
      <c r="K29" s="109">
        <v>700.0</v>
      </c>
      <c r="L29" s="29" t="b">
        <v>0</v>
      </c>
      <c r="M29" s="30">
        <f>SUM(E29:L29)</f>
        <v>6875</v>
      </c>
      <c r="N29" s="31">
        <f>M29-7000</f>
        <v>-125</v>
      </c>
      <c r="O29" s="32"/>
      <c r="P29" s="33"/>
      <c r="Q29" s="34"/>
      <c r="R29" s="34"/>
    </row>
    <row r="30">
      <c r="A30" s="12"/>
      <c r="B30" s="35"/>
      <c r="C30" s="24" t="s">
        <v>5</v>
      </c>
      <c r="D30" s="36"/>
      <c r="E30" s="110">
        <v>212.0</v>
      </c>
      <c r="G30" s="110">
        <v>120.0</v>
      </c>
      <c r="H30" s="110">
        <v>42.0</v>
      </c>
      <c r="I30" s="110">
        <v>42.0</v>
      </c>
      <c r="J30" s="110">
        <v>42.0</v>
      </c>
      <c r="K30" s="110">
        <v>27.0</v>
      </c>
      <c r="N30" s="36"/>
      <c r="O30" s="38">
        <f>SUM(E30:K30)</f>
        <v>485</v>
      </c>
      <c r="P30" s="33"/>
      <c r="Q30" s="34"/>
      <c r="R30" s="34"/>
    </row>
    <row r="31">
      <c r="A31" s="12"/>
      <c r="B31" s="39"/>
      <c r="C31" s="24" t="s">
        <v>20</v>
      </c>
      <c r="D31" s="40"/>
      <c r="E31" s="116" t="s">
        <v>579</v>
      </c>
      <c r="F31" s="41"/>
      <c r="G31" s="116" t="s">
        <v>580</v>
      </c>
      <c r="H31" s="116" t="s">
        <v>581</v>
      </c>
      <c r="I31" s="116" t="s">
        <v>582</v>
      </c>
      <c r="J31" s="116" t="s">
        <v>583</v>
      </c>
      <c r="K31" s="116" t="s">
        <v>584</v>
      </c>
      <c r="L31" s="41"/>
      <c r="M31" s="41"/>
      <c r="N31" s="40"/>
      <c r="O31" s="43">
        <f>M29/O30</f>
        <v>14.17525773</v>
      </c>
      <c r="P31" s="33"/>
      <c r="Q31" s="34"/>
      <c r="R31" s="34"/>
    </row>
    <row r="32">
      <c r="A32" s="12"/>
      <c r="B32" s="23" t="s">
        <v>219</v>
      </c>
      <c r="C32" s="24" t="s">
        <v>16</v>
      </c>
      <c r="D32" s="25" t="s">
        <v>220</v>
      </c>
      <c r="E32" s="109" t="s">
        <v>135</v>
      </c>
      <c r="F32" s="109">
        <v>1400.0</v>
      </c>
      <c r="G32" s="109">
        <v>2700.0</v>
      </c>
      <c r="H32" s="109" t="s">
        <v>135</v>
      </c>
      <c r="I32" s="109">
        <v>1900.0</v>
      </c>
      <c r="J32" s="109" t="s">
        <v>135</v>
      </c>
      <c r="K32" s="133" t="s">
        <v>62</v>
      </c>
      <c r="L32" s="29" t="b">
        <v>0</v>
      </c>
      <c r="M32" s="30">
        <f>SUM(E32:L32)</f>
        <v>6000</v>
      </c>
      <c r="N32" s="31">
        <f>M32-7000</f>
        <v>-1000</v>
      </c>
      <c r="O32" s="32"/>
      <c r="P32" s="33"/>
      <c r="Q32" s="34"/>
      <c r="R32" s="34"/>
    </row>
    <row r="33">
      <c r="A33" s="12"/>
      <c r="B33" s="35"/>
      <c r="C33" s="24" t="s">
        <v>5</v>
      </c>
      <c r="D33" s="36"/>
      <c r="F33" s="110">
        <v>428.0</v>
      </c>
      <c r="G33" s="110">
        <v>501.0</v>
      </c>
      <c r="I33" s="110">
        <v>524.0</v>
      </c>
      <c r="N33" s="36"/>
      <c r="O33" s="38">
        <f>SUM(E33:K33)</f>
        <v>1453</v>
      </c>
      <c r="P33" s="33"/>
      <c r="Q33" s="34"/>
      <c r="R33" s="34"/>
    </row>
    <row r="34">
      <c r="A34" s="12"/>
      <c r="B34" s="39"/>
      <c r="C34" s="24" t="s">
        <v>20</v>
      </c>
      <c r="D34" s="40"/>
      <c r="E34" s="41"/>
      <c r="F34" s="42" t="s">
        <v>585</v>
      </c>
      <c r="G34" s="42" t="s">
        <v>586</v>
      </c>
      <c r="H34" s="41"/>
      <c r="I34" s="42" t="s">
        <v>587</v>
      </c>
      <c r="J34" s="41"/>
      <c r="K34" s="41"/>
      <c r="L34" s="41"/>
      <c r="M34" s="41"/>
      <c r="N34" s="40"/>
      <c r="O34" s="43">
        <f>M32/O33</f>
        <v>4.129387474</v>
      </c>
      <c r="P34" s="33"/>
      <c r="Q34" s="34"/>
      <c r="R34" s="34"/>
    </row>
    <row r="35">
      <c r="A35" s="12"/>
      <c r="B35" s="23" t="s">
        <v>73</v>
      </c>
      <c r="C35" s="24" t="s">
        <v>16</v>
      </c>
      <c r="D35" s="25" t="s">
        <v>74</v>
      </c>
      <c r="E35" s="109">
        <v>1100.0</v>
      </c>
      <c r="F35" s="109" t="s">
        <v>135</v>
      </c>
      <c r="G35" s="109">
        <v>1200.0</v>
      </c>
      <c r="H35" s="133" t="s">
        <v>27</v>
      </c>
      <c r="I35" s="133" t="s">
        <v>27</v>
      </c>
      <c r="J35" s="133" t="s">
        <v>27</v>
      </c>
      <c r="K35" s="133" t="s">
        <v>27</v>
      </c>
      <c r="L35" s="29" t="b">
        <v>0</v>
      </c>
      <c r="M35" s="30">
        <f>SUM(E35:L35)</f>
        <v>2300</v>
      </c>
      <c r="N35" s="31">
        <f>M35-7000</f>
        <v>-4700</v>
      </c>
      <c r="O35" s="32"/>
      <c r="P35" s="33"/>
      <c r="Q35" s="34"/>
      <c r="R35" s="34"/>
    </row>
    <row r="36">
      <c r="A36" s="12"/>
      <c r="B36" s="35"/>
      <c r="C36" s="24" t="s">
        <v>5</v>
      </c>
      <c r="D36" s="36"/>
      <c r="E36" s="110">
        <v>305.0</v>
      </c>
      <c r="G36" s="110">
        <v>301.0</v>
      </c>
      <c r="N36" s="36"/>
      <c r="O36" s="38">
        <f>SUM(E36:K36)</f>
        <v>606</v>
      </c>
      <c r="P36" s="33"/>
      <c r="Q36" s="34"/>
      <c r="R36" s="34"/>
    </row>
    <row r="37">
      <c r="A37" s="12"/>
      <c r="B37" s="39"/>
      <c r="C37" s="24" t="s">
        <v>20</v>
      </c>
      <c r="D37" s="40"/>
      <c r="E37" s="42" t="s">
        <v>588</v>
      </c>
      <c r="F37" s="41"/>
      <c r="G37" s="42" t="s">
        <v>589</v>
      </c>
      <c r="H37" s="41"/>
      <c r="I37" s="41"/>
      <c r="J37" s="41"/>
      <c r="K37" s="41"/>
      <c r="L37" s="41"/>
      <c r="M37" s="41"/>
      <c r="N37" s="40"/>
      <c r="O37" s="43">
        <f>M35/O36</f>
        <v>3.795379538</v>
      </c>
      <c r="P37" s="33"/>
      <c r="Q37" s="34"/>
      <c r="R37" s="34"/>
    </row>
    <row r="38">
      <c r="A38" s="12"/>
      <c r="B38" s="23" t="s">
        <v>76</v>
      </c>
      <c r="C38" s="24" t="s">
        <v>16</v>
      </c>
      <c r="D38" s="25" t="s">
        <v>77</v>
      </c>
      <c r="E38" s="121" t="s">
        <v>590</v>
      </c>
      <c r="F38" s="121" t="s">
        <v>590</v>
      </c>
      <c r="G38" s="121" t="s">
        <v>590</v>
      </c>
      <c r="H38" s="121" t="s">
        <v>590</v>
      </c>
      <c r="I38" s="121" t="s">
        <v>590</v>
      </c>
      <c r="J38" s="121" t="s">
        <v>590</v>
      </c>
      <c r="K38" s="121" t="s">
        <v>590</v>
      </c>
      <c r="L38" s="29" t="b">
        <v>0</v>
      </c>
      <c r="M38" s="30">
        <f>SUM(E38:L38)</f>
        <v>0</v>
      </c>
      <c r="N38" s="31">
        <f>M38-7000</f>
        <v>-7000</v>
      </c>
      <c r="O38" s="32"/>
      <c r="P38" s="33"/>
      <c r="Q38" s="34"/>
      <c r="R38" s="34"/>
    </row>
    <row r="39">
      <c r="A39" s="12"/>
      <c r="B39" s="35"/>
      <c r="C39" s="24" t="s">
        <v>5</v>
      </c>
      <c r="D39" s="36"/>
      <c r="N39" s="36"/>
      <c r="O39" s="38">
        <f>SUM(E39:K39)</f>
        <v>0</v>
      </c>
      <c r="P39" s="33"/>
      <c r="Q39" s="34"/>
      <c r="R39" s="34"/>
    </row>
    <row r="40">
      <c r="A40" s="12"/>
      <c r="B40" s="39"/>
      <c r="C40" s="24" t="s">
        <v>20</v>
      </c>
      <c r="D40" s="40"/>
      <c r="E40" s="41"/>
      <c r="F40" s="41"/>
      <c r="G40" s="41"/>
      <c r="H40" s="41"/>
      <c r="I40" s="41"/>
      <c r="J40" s="41"/>
      <c r="K40" s="41"/>
      <c r="L40" s="41"/>
      <c r="M40" s="41"/>
      <c r="N40" s="40"/>
      <c r="O40" s="43" t="str">
        <f>M38/O39</f>
        <v>#DIV/0!</v>
      </c>
      <c r="P40" s="33"/>
      <c r="Q40" s="34"/>
      <c r="R40" s="34"/>
    </row>
    <row r="41">
      <c r="A41" s="12"/>
      <c r="B41" s="23" t="s">
        <v>82</v>
      </c>
      <c r="C41" s="24" t="s">
        <v>16</v>
      </c>
      <c r="D41" s="25" t="s">
        <v>83</v>
      </c>
      <c r="E41" s="109">
        <v>2900.0</v>
      </c>
      <c r="F41" s="109" t="s">
        <v>135</v>
      </c>
      <c r="G41" s="109" t="s">
        <v>135</v>
      </c>
      <c r="H41" s="133" t="s">
        <v>62</v>
      </c>
      <c r="I41" s="109">
        <v>3200.0</v>
      </c>
      <c r="J41" s="109" t="s">
        <v>135</v>
      </c>
      <c r="K41" s="109" t="s">
        <v>135</v>
      </c>
      <c r="L41" s="29" t="b">
        <v>0</v>
      </c>
      <c r="M41" s="30">
        <f>SUM(E41:L41)</f>
        <v>6100</v>
      </c>
      <c r="N41" s="31">
        <f>M41-7000</f>
        <v>-900</v>
      </c>
      <c r="O41" s="32"/>
      <c r="P41" s="33"/>
      <c r="Q41" s="34"/>
      <c r="R41" s="34"/>
    </row>
    <row r="42">
      <c r="A42" s="12"/>
      <c r="B42" s="35"/>
      <c r="C42" s="24" t="s">
        <v>5</v>
      </c>
      <c r="D42" s="36"/>
      <c r="E42" s="110">
        <f>103+1005</f>
        <v>1108</v>
      </c>
      <c r="I42" s="110">
        <f>7+1239</f>
        <v>1246</v>
      </c>
      <c r="N42" s="36"/>
      <c r="O42" s="38">
        <f>SUM(E42:K42)</f>
        <v>2354</v>
      </c>
      <c r="P42" s="33"/>
      <c r="Q42" s="34"/>
      <c r="R42" s="34"/>
    </row>
    <row r="43">
      <c r="A43" s="12"/>
      <c r="B43" s="39"/>
      <c r="C43" s="24" t="s">
        <v>20</v>
      </c>
      <c r="D43" s="40"/>
      <c r="E43" s="116" t="s">
        <v>591</v>
      </c>
      <c r="F43" s="41"/>
      <c r="G43" s="41"/>
      <c r="H43" s="41"/>
      <c r="I43" s="116" t="s">
        <v>592</v>
      </c>
      <c r="J43" s="41"/>
      <c r="K43" s="41"/>
      <c r="L43" s="41"/>
      <c r="M43" s="41"/>
      <c r="N43" s="40"/>
      <c r="O43" s="43">
        <f>M41/O42</f>
        <v>2.5913339</v>
      </c>
      <c r="P43" s="33"/>
      <c r="Q43" s="34"/>
      <c r="R43" s="34"/>
    </row>
    <row r="44">
      <c r="A44" s="12"/>
      <c r="B44" s="23" t="s">
        <v>86</v>
      </c>
      <c r="C44" s="24" t="s">
        <v>16</v>
      </c>
      <c r="D44" s="25" t="s">
        <v>87</v>
      </c>
      <c r="E44" s="109">
        <v>3370.0</v>
      </c>
      <c r="F44" s="109" t="s">
        <v>135</v>
      </c>
      <c r="G44" s="109">
        <v>6750.0</v>
      </c>
      <c r="H44" s="109" t="s">
        <v>135</v>
      </c>
      <c r="I44" s="109" t="s">
        <v>135</v>
      </c>
      <c r="J44" s="109" t="s">
        <v>135</v>
      </c>
      <c r="K44" s="133" t="s">
        <v>62</v>
      </c>
      <c r="L44" s="29" t="b">
        <v>0</v>
      </c>
      <c r="M44" s="30">
        <f>SUM(E44:L44)</f>
        <v>10120</v>
      </c>
      <c r="N44" s="31">
        <f>M44-7000</f>
        <v>3120</v>
      </c>
      <c r="O44" s="32"/>
      <c r="P44" s="33"/>
      <c r="Q44" s="34"/>
      <c r="R44" s="34"/>
    </row>
    <row r="45">
      <c r="A45" s="12"/>
      <c r="B45" s="35"/>
      <c r="C45" s="24" t="s">
        <v>5</v>
      </c>
      <c r="D45" s="36"/>
      <c r="E45" s="110">
        <v>1403.0</v>
      </c>
      <c r="G45" s="110">
        <v>2499.0</v>
      </c>
      <c r="N45" s="36"/>
      <c r="O45" s="38">
        <f>SUM(E45:K45)</f>
        <v>3902</v>
      </c>
      <c r="P45" s="33"/>
      <c r="Q45" s="34"/>
      <c r="R45" s="34"/>
    </row>
    <row r="46">
      <c r="A46" s="12"/>
      <c r="B46" s="39"/>
      <c r="C46" s="24" t="s">
        <v>20</v>
      </c>
      <c r="D46" s="40"/>
      <c r="E46" s="116" t="s">
        <v>593</v>
      </c>
      <c r="F46" s="41"/>
      <c r="G46" s="116" t="s">
        <v>594</v>
      </c>
      <c r="H46" s="41"/>
      <c r="I46" s="41"/>
      <c r="J46" s="41"/>
      <c r="K46" s="41"/>
      <c r="L46" s="41"/>
      <c r="M46" s="41"/>
      <c r="N46" s="40"/>
      <c r="O46" s="43">
        <f>M44/O45</f>
        <v>2.593541773</v>
      </c>
      <c r="P46" s="33"/>
      <c r="Q46" s="34"/>
      <c r="R46" s="34"/>
    </row>
    <row r="47">
      <c r="A47" s="12"/>
      <c r="B47" s="23" t="s">
        <v>94</v>
      </c>
      <c r="C47" s="24" t="s">
        <v>16</v>
      </c>
      <c r="D47" s="25" t="s">
        <v>95</v>
      </c>
      <c r="E47" s="133" t="s">
        <v>27</v>
      </c>
      <c r="F47" s="109">
        <v>3500.0</v>
      </c>
      <c r="G47" s="109" t="s">
        <v>135</v>
      </c>
      <c r="H47" s="121" t="s">
        <v>71</v>
      </c>
      <c r="I47" s="121" t="s">
        <v>71</v>
      </c>
      <c r="J47" s="121" t="s">
        <v>71</v>
      </c>
      <c r="K47" s="121" t="s">
        <v>71</v>
      </c>
      <c r="L47" s="29" t="b">
        <v>0</v>
      </c>
      <c r="M47" s="30">
        <f>SUM(E47:L47)</f>
        <v>3500</v>
      </c>
      <c r="N47" s="31">
        <f>M47-7000</f>
        <v>-3500</v>
      </c>
      <c r="O47" s="32"/>
      <c r="P47" s="33"/>
      <c r="Q47" s="34"/>
      <c r="R47" s="34"/>
    </row>
    <row r="48">
      <c r="A48" s="12"/>
      <c r="B48" s="35"/>
      <c r="C48" s="24" t="s">
        <v>5</v>
      </c>
      <c r="D48" s="36"/>
      <c r="F48" s="110">
        <v>938.0</v>
      </c>
      <c r="N48" s="36"/>
      <c r="O48" s="38">
        <f>SUM(E48:K48)</f>
        <v>938</v>
      </c>
      <c r="P48" s="33"/>
      <c r="Q48" s="34"/>
      <c r="R48" s="34"/>
    </row>
    <row r="49">
      <c r="A49" s="12"/>
      <c r="B49" s="39"/>
      <c r="C49" s="24" t="s">
        <v>20</v>
      </c>
      <c r="D49" s="40"/>
      <c r="E49" s="41"/>
      <c r="F49" s="116" t="s">
        <v>595</v>
      </c>
      <c r="G49" s="41"/>
      <c r="H49" s="41"/>
      <c r="I49" s="41"/>
      <c r="J49" s="41"/>
      <c r="K49" s="41"/>
      <c r="L49" s="41"/>
      <c r="M49" s="41"/>
      <c r="N49" s="40"/>
      <c r="O49" s="43">
        <f>M47/O48</f>
        <v>3.731343284</v>
      </c>
      <c r="P49" s="33"/>
      <c r="Q49" s="34"/>
      <c r="R49" s="34"/>
    </row>
    <row r="50">
      <c r="A50" s="12"/>
      <c r="B50" s="23" t="s">
        <v>98</v>
      </c>
      <c r="C50" s="24" t="s">
        <v>16</v>
      </c>
      <c r="D50" s="25" t="s">
        <v>99</v>
      </c>
      <c r="E50" s="109">
        <v>8000.0</v>
      </c>
      <c r="F50" s="109" t="s">
        <v>135</v>
      </c>
      <c r="G50" s="109" t="s">
        <v>135</v>
      </c>
      <c r="H50" s="109" t="s">
        <v>135</v>
      </c>
      <c r="I50" s="109">
        <v>4400.0</v>
      </c>
      <c r="J50" s="109" t="s">
        <v>135</v>
      </c>
      <c r="K50" s="109" t="s">
        <v>135</v>
      </c>
      <c r="L50" s="29" t="b">
        <v>0</v>
      </c>
      <c r="M50" s="30">
        <f>SUM(E50:L50)</f>
        <v>12400</v>
      </c>
      <c r="N50" s="31">
        <f>M50-7000</f>
        <v>5400</v>
      </c>
      <c r="O50" s="32"/>
      <c r="P50" s="33"/>
      <c r="Q50" s="34"/>
      <c r="R50" s="34"/>
    </row>
    <row r="51">
      <c r="A51" s="12"/>
      <c r="B51" s="35"/>
      <c r="C51" s="24" t="s">
        <v>5</v>
      </c>
      <c r="D51" s="36"/>
      <c r="E51" s="110">
        <v>2497.0</v>
      </c>
      <c r="I51" s="110">
        <v>2177.0</v>
      </c>
      <c r="N51" s="36"/>
      <c r="O51" s="38">
        <f>SUM(E51:K51)</f>
        <v>4674</v>
      </c>
      <c r="P51" s="33"/>
      <c r="Q51" s="34"/>
      <c r="R51" s="34"/>
    </row>
    <row r="52">
      <c r="A52" s="12"/>
      <c r="B52" s="39"/>
      <c r="C52" s="24" t="s">
        <v>20</v>
      </c>
      <c r="D52" s="40"/>
      <c r="E52" s="116" t="s">
        <v>596</v>
      </c>
      <c r="F52" s="41"/>
      <c r="G52" s="41"/>
      <c r="H52" s="41"/>
      <c r="I52" s="116" t="s">
        <v>597</v>
      </c>
      <c r="J52" s="41"/>
      <c r="K52" s="41"/>
      <c r="L52" s="41"/>
      <c r="M52" s="41"/>
      <c r="N52" s="40"/>
      <c r="O52" s="43">
        <f>M50/O51</f>
        <v>2.652973898</v>
      </c>
      <c r="P52" s="33"/>
      <c r="Q52" s="34"/>
      <c r="R52" s="34"/>
    </row>
    <row r="53">
      <c r="A53" s="12"/>
      <c r="B53" s="23" t="s">
        <v>104</v>
      </c>
      <c r="C53" s="24" t="s">
        <v>16</v>
      </c>
      <c r="D53" s="25" t="s">
        <v>105</v>
      </c>
      <c r="E53" s="133" t="s">
        <v>27</v>
      </c>
      <c r="F53" s="133" t="s">
        <v>27</v>
      </c>
      <c r="G53" s="133" t="s">
        <v>27</v>
      </c>
      <c r="H53" s="133" t="s">
        <v>27</v>
      </c>
      <c r="I53" s="133" t="s">
        <v>27</v>
      </c>
      <c r="J53" s="133" t="s">
        <v>27</v>
      </c>
      <c r="K53" s="133" t="s">
        <v>27</v>
      </c>
      <c r="L53" s="29" t="b">
        <v>0</v>
      </c>
      <c r="M53" s="30">
        <f>SUM(E53:L53)</f>
        <v>0</v>
      </c>
      <c r="N53" s="31">
        <f>M53-7000</f>
        <v>-7000</v>
      </c>
      <c r="O53" s="32"/>
      <c r="P53" s="33"/>
      <c r="Q53" s="34"/>
      <c r="R53" s="34"/>
    </row>
    <row r="54">
      <c r="A54" s="12"/>
      <c r="B54" s="35"/>
      <c r="C54" s="24" t="s">
        <v>5</v>
      </c>
      <c r="D54" s="36"/>
      <c r="N54" s="36"/>
      <c r="O54" s="38">
        <f>SUM(E54:K54)</f>
        <v>0</v>
      </c>
      <c r="P54" s="33"/>
      <c r="Q54" s="34"/>
      <c r="R54" s="34"/>
    </row>
    <row r="55">
      <c r="A55" s="12"/>
      <c r="B55" s="39"/>
      <c r="C55" s="24" t="s">
        <v>20</v>
      </c>
      <c r="D55" s="40"/>
      <c r="E55" s="41"/>
      <c r="F55" s="41"/>
      <c r="G55" s="41"/>
      <c r="H55" s="41"/>
      <c r="I55" s="41"/>
      <c r="J55" s="41"/>
      <c r="K55" s="41"/>
      <c r="L55" s="41"/>
      <c r="M55" s="41"/>
      <c r="N55" s="40"/>
      <c r="O55" s="43" t="str">
        <f>M53/O54</f>
        <v>#DIV/0!</v>
      </c>
      <c r="P55" s="33"/>
      <c r="Q55" s="34"/>
      <c r="R55" s="34"/>
    </row>
    <row r="56">
      <c r="A56" s="12"/>
      <c r="B56" s="23" t="s">
        <v>108</v>
      </c>
      <c r="C56" s="24" t="s">
        <v>16</v>
      </c>
      <c r="D56" s="25" t="s">
        <v>109</v>
      </c>
      <c r="E56" s="109">
        <v>2700.0</v>
      </c>
      <c r="F56" s="109" t="s">
        <v>135</v>
      </c>
      <c r="G56" s="133" t="s">
        <v>459</v>
      </c>
      <c r="H56" s="133" t="s">
        <v>459</v>
      </c>
      <c r="I56" s="109">
        <v>1700.0</v>
      </c>
      <c r="J56" s="109" t="s">
        <v>135</v>
      </c>
      <c r="K56" s="133" t="s">
        <v>62</v>
      </c>
      <c r="L56" s="29" t="b">
        <v>0</v>
      </c>
      <c r="M56" s="30">
        <f>SUM(E56:L56)</f>
        <v>4400</v>
      </c>
      <c r="N56" s="31">
        <f>M56-7000</f>
        <v>-2600</v>
      </c>
      <c r="O56" s="32"/>
      <c r="P56" s="33"/>
      <c r="Q56" s="34"/>
      <c r="R56" s="34"/>
    </row>
    <row r="57">
      <c r="A57" s="12"/>
      <c r="B57" s="35"/>
      <c r="C57" s="24" t="s">
        <v>5</v>
      </c>
      <c r="D57" s="36"/>
      <c r="E57" s="110">
        <f>1134+20</f>
        <v>1154</v>
      </c>
      <c r="I57" s="110">
        <f>610+124</f>
        <v>734</v>
      </c>
      <c r="N57" s="36"/>
      <c r="O57" s="38">
        <f>SUM(E57:K57)</f>
        <v>1888</v>
      </c>
      <c r="P57" s="33"/>
      <c r="Q57" s="34"/>
      <c r="R57" s="34"/>
    </row>
    <row r="58">
      <c r="A58" s="12"/>
      <c r="B58" s="39"/>
      <c r="C58" s="24" t="s">
        <v>20</v>
      </c>
      <c r="D58" s="40"/>
      <c r="E58" s="116" t="s">
        <v>598</v>
      </c>
      <c r="F58" s="41"/>
      <c r="G58" s="41"/>
      <c r="H58" s="41"/>
      <c r="I58" s="116" t="s">
        <v>599</v>
      </c>
      <c r="J58" s="41"/>
      <c r="K58" s="41"/>
      <c r="L58" s="41"/>
      <c r="M58" s="41"/>
      <c r="N58" s="40"/>
      <c r="O58" s="43">
        <f>M56/O57</f>
        <v>2.330508475</v>
      </c>
      <c r="P58" s="33"/>
      <c r="Q58" s="34"/>
      <c r="R58" s="34"/>
    </row>
    <row r="59">
      <c r="A59" s="12"/>
      <c r="B59" s="23" t="s">
        <v>249</v>
      </c>
      <c r="C59" s="24" t="s">
        <v>16</v>
      </c>
      <c r="D59" s="25" t="s">
        <v>250</v>
      </c>
      <c r="E59" s="109">
        <v>4100.0</v>
      </c>
      <c r="F59" s="109" t="s">
        <v>135</v>
      </c>
      <c r="G59" s="109">
        <v>1850.0</v>
      </c>
      <c r="H59" s="109">
        <v>1650.0</v>
      </c>
      <c r="I59" s="109">
        <v>3250.0</v>
      </c>
      <c r="J59" s="109" t="s">
        <v>135</v>
      </c>
      <c r="K59" s="109" t="s">
        <v>135</v>
      </c>
      <c r="L59" s="29" t="b">
        <v>0</v>
      </c>
      <c r="M59" s="30">
        <f>SUM(E59:L59)</f>
        <v>10850</v>
      </c>
      <c r="N59" s="31">
        <f>M59-7000</f>
        <v>3850</v>
      </c>
      <c r="O59" s="32"/>
      <c r="P59" s="33"/>
      <c r="Q59" s="34"/>
      <c r="R59" s="34"/>
    </row>
    <row r="60">
      <c r="A60" s="12"/>
      <c r="B60" s="35"/>
      <c r="C60" s="24" t="s">
        <v>5</v>
      </c>
      <c r="D60" s="36"/>
      <c r="E60" s="110">
        <v>1297.0</v>
      </c>
      <c r="G60" s="110">
        <v>570.0</v>
      </c>
      <c r="H60" s="110">
        <v>586.0</v>
      </c>
      <c r="I60" s="110">
        <v>1065.0</v>
      </c>
      <c r="N60" s="36"/>
      <c r="O60" s="38">
        <f>SUM(E60:K60)</f>
        <v>3518</v>
      </c>
      <c r="P60" s="33"/>
      <c r="Q60" s="34"/>
      <c r="R60" s="34"/>
    </row>
    <row r="61">
      <c r="A61" s="12"/>
      <c r="B61" s="39"/>
      <c r="C61" s="24" t="s">
        <v>20</v>
      </c>
      <c r="D61" s="40"/>
      <c r="E61" s="116" t="s">
        <v>600</v>
      </c>
      <c r="F61" s="41"/>
      <c r="G61" s="116" t="s">
        <v>601</v>
      </c>
      <c r="H61" s="116" t="s">
        <v>602</v>
      </c>
      <c r="I61" s="116" t="s">
        <v>603</v>
      </c>
      <c r="J61" s="41"/>
      <c r="K61" s="41"/>
      <c r="L61" s="41"/>
      <c r="M61" s="41"/>
      <c r="N61" s="40"/>
      <c r="O61" s="43">
        <f>M59/O60</f>
        <v>3.084138715</v>
      </c>
      <c r="P61" s="33"/>
      <c r="Q61" s="34"/>
      <c r="R61" s="34"/>
    </row>
    <row r="62" ht="16.5" customHeight="1">
      <c r="A62" s="12"/>
      <c r="B62" s="23" t="s">
        <v>308</v>
      </c>
      <c r="C62" s="24" t="s">
        <v>16</v>
      </c>
      <c r="D62" s="25" t="s">
        <v>309</v>
      </c>
      <c r="E62" s="133" t="s">
        <v>27</v>
      </c>
      <c r="F62" s="133" t="s">
        <v>27</v>
      </c>
      <c r="G62" s="133" t="s">
        <v>27</v>
      </c>
      <c r="H62" s="133" t="s">
        <v>27</v>
      </c>
      <c r="I62" s="109">
        <v>3800.0</v>
      </c>
      <c r="J62" s="109" t="s">
        <v>135</v>
      </c>
      <c r="K62" s="109" t="s">
        <v>135</v>
      </c>
      <c r="L62" s="29" t="b">
        <v>0</v>
      </c>
      <c r="M62" s="30">
        <f>SUM(E62:L62)</f>
        <v>3800</v>
      </c>
      <c r="N62" s="31">
        <f>M62-7000</f>
        <v>-3200</v>
      </c>
      <c r="O62" s="32"/>
      <c r="P62" s="33"/>
      <c r="Q62" s="34"/>
      <c r="R62" s="34"/>
    </row>
    <row r="63" ht="16.5" customHeight="1">
      <c r="A63" s="12"/>
      <c r="B63" s="35"/>
      <c r="C63" s="24" t="s">
        <v>5</v>
      </c>
      <c r="D63" s="36"/>
      <c r="I63" s="110">
        <v>1606.0</v>
      </c>
      <c r="N63" s="36"/>
      <c r="O63" s="38">
        <f>SUM(E63:K63)</f>
        <v>1606</v>
      </c>
      <c r="P63" s="33"/>
      <c r="Q63" s="34"/>
      <c r="R63" s="34"/>
    </row>
    <row r="64" ht="16.5" customHeight="1">
      <c r="A64" s="12"/>
      <c r="B64" s="39"/>
      <c r="C64" s="24" t="s">
        <v>20</v>
      </c>
      <c r="D64" s="40"/>
      <c r="E64" s="41"/>
      <c r="F64" s="41"/>
      <c r="G64" s="41"/>
      <c r="H64" s="41"/>
      <c r="I64" s="116" t="s">
        <v>604</v>
      </c>
      <c r="J64" s="41"/>
      <c r="K64" s="41"/>
      <c r="L64" s="41"/>
      <c r="M64" s="41"/>
      <c r="N64" s="40"/>
      <c r="O64" s="43">
        <f>M62/O63</f>
        <v>2.366127024</v>
      </c>
      <c r="P64" s="33"/>
      <c r="Q64" s="34"/>
      <c r="R64" s="34"/>
    </row>
    <row r="65" ht="16.5" customHeight="1">
      <c r="A65" s="12"/>
      <c r="B65" s="23" t="s">
        <v>448</v>
      </c>
      <c r="C65" s="24" t="s">
        <v>16</v>
      </c>
      <c r="D65" s="25" t="s">
        <v>449</v>
      </c>
      <c r="E65" s="109">
        <v>4200.0</v>
      </c>
      <c r="F65" s="109" t="s">
        <v>135</v>
      </c>
      <c r="G65" s="109" t="s">
        <v>135</v>
      </c>
      <c r="H65" s="109" t="s">
        <v>135</v>
      </c>
      <c r="I65" s="109">
        <v>5200.0</v>
      </c>
      <c r="J65" s="109" t="s">
        <v>135</v>
      </c>
      <c r="K65" s="109" t="s">
        <v>135</v>
      </c>
      <c r="L65" s="29" t="b">
        <v>0</v>
      </c>
      <c r="M65" s="30">
        <f>SUM(E65:L65)</f>
        <v>9400</v>
      </c>
      <c r="N65" s="31">
        <f>M65-7000</f>
        <v>2400</v>
      </c>
      <c r="O65" s="32"/>
      <c r="P65" s="33"/>
      <c r="Q65" s="34"/>
      <c r="R65" s="34"/>
    </row>
    <row r="66" ht="16.5" customHeight="1">
      <c r="A66" s="12"/>
      <c r="B66" s="35"/>
      <c r="C66" s="24" t="s">
        <v>5</v>
      </c>
      <c r="D66" s="36"/>
      <c r="E66" s="110">
        <v>1058.0</v>
      </c>
      <c r="I66" s="110">
        <v>2566.0</v>
      </c>
      <c r="N66" s="36"/>
      <c r="O66" s="38">
        <f>SUM(E66:K66)</f>
        <v>3624</v>
      </c>
      <c r="P66" s="33"/>
      <c r="Q66" s="34"/>
      <c r="R66" s="34"/>
    </row>
    <row r="67" ht="16.5" customHeight="1">
      <c r="A67" s="12"/>
      <c r="B67" s="39"/>
      <c r="C67" s="24" t="s">
        <v>20</v>
      </c>
      <c r="D67" s="40"/>
      <c r="E67" s="42" t="s">
        <v>605</v>
      </c>
      <c r="F67" s="41"/>
      <c r="G67" s="41"/>
      <c r="H67" s="41"/>
      <c r="I67" s="42" t="s">
        <v>606</v>
      </c>
      <c r="J67" s="41"/>
      <c r="K67" s="41"/>
      <c r="L67" s="41"/>
      <c r="M67" s="41"/>
      <c r="N67" s="40"/>
      <c r="O67" s="43">
        <f>M65/O66</f>
        <v>2.593818985</v>
      </c>
      <c r="P67" s="33"/>
      <c r="Q67" s="34"/>
      <c r="R67" s="34"/>
    </row>
    <row r="68" ht="16.5" customHeight="1">
      <c r="A68" s="12"/>
      <c r="B68" s="23" t="s">
        <v>452</v>
      </c>
      <c r="C68" s="24" t="s">
        <v>16</v>
      </c>
      <c r="D68" s="25" t="s">
        <v>504</v>
      </c>
      <c r="E68" s="121" t="s">
        <v>71</v>
      </c>
      <c r="F68" s="121" t="s">
        <v>71</v>
      </c>
      <c r="G68" s="121" t="s">
        <v>71</v>
      </c>
      <c r="H68" s="121" t="s">
        <v>71</v>
      </c>
      <c r="I68" s="121" t="s">
        <v>71</v>
      </c>
      <c r="J68" s="121" t="s">
        <v>71</v>
      </c>
      <c r="K68" s="121" t="s">
        <v>71</v>
      </c>
      <c r="L68" s="29" t="b">
        <v>0</v>
      </c>
      <c r="M68" s="30">
        <f>SUM(F68:L68)</f>
        <v>0</v>
      </c>
      <c r="N68" s="31">
        <f>M68-7000</f>
        <v>-7000</v>
      </c>
      <c r="O68" s="32"/>
      <c r="P68" s="33"/>
      <c r="Q68" s="34"/>
      <c r="R68" s="34"/>
    </row>
    <row r="69" ht="16.5" customHeight="1">
      <c r="A69" s="12"/>
      <c r="B69" s="35"/>
      <c r="C69" s="24" t="s">
        <v>5</v>
      </c>
      <c r="D69" s="36"/>
      <c r="N69" s="36"/>
      <c r="O69" s="38">
        <f>SUM(F69:K69)</f>
        <v>0</v>
      </c>
      <c r="P69" s="33"/>
      <c r="Q69" s="34"/>
      <c r="R69" s="34"/>
    </row>
    <row r="70" ht="16.5" customHeight="1">
      <c r="A70" s="12"/>
      <c r="B70" s="39"/>
      <c r="C70" s="24" t="s">
        <v>20</v>
      </c>
      <c r="D70" s="40"/>
      <c r="E70" s="41"/>
      <c r="F70" s="41"/>
      <c r="G70" s="41"/>
      <c r="H70" s="41"/>
      <c r="I70" s="41"/>
      <c r="J70" s="41"/>
      <c r="K70" s="41"/>
      <c r="L70" s="41"/>
      <c r="M70" s="41"/>
      <c r="N70" s="40"/>
      <c r="O70" s="43" t="str">
        <f>M68/O69</f>
        <v>#DIV/0!</v>
      </c>
      <c r="P70" s="33"/>
      <c r="Q70" s="34"/>
      <c r="R70" s="34"/>
    </row>
    <row r="71" ht="16.5" customHeight="1">
      <c r="A71" s="12"/>
      <c r="B71" s="23" t="s">
        <v>549</v>
      </c>
      <c r="C71" s="24" t="s">
        <v>16</v>
      </c>
      <c r="D71" s="25" t="s">
        <v>550</v>
      </c>
      <c r="E71" s="109" t="s">
        <v>135</v>
      </c>
      <c r="F71" s="109" t="s">
        <v>135</v>
      </c>
      <c r="G71" s="133" t="s">
        <v>607</v>
      </c>
      <c r="H71" s="133" t="s">
        <v>608</v>
      </c>
      <c r="I71" s="109">
        <v>3000.0</v>
      </c>
      <c r="J71" s="109" t="s">
        <v>135</v>
      </c>
      <c r="K71" s="109" t="s">
        <v>135</v>
      </c>
      <c r="L71" s="29" t="b">
        <v>0</v>
      </c>
      <c r="M71" s="30">
        <f>SUM(F71:L71)</f>
        <v>3000</v>
      </c>
      <c r="N71" s="31">
        <f>M71-7000</f>
        <v>-4000</v>
      </c>
      <c r="O71" s="32"/>
      <c r="P71" s="33"/>
      <c r="Q71" s="34"/>
      <c r="R71" s="34"/>
    </row>
    <row r="72" ht="16.5" customHeight="1">
      <c r="A72" s="12"/>
      <c r="B72" s="35"/>
      <c r="C72" s="24" t="s">
        <v>5</v>
      </c>
      <c r="D72" s="36"/>
      <c r="I72" s="110">
        <v>1187.0</v>
      </c>
      <c r="N72" s="36"/>
      <c r="O72" s="38">
        <f>SUM(F72:K72)</f>
        <v>1187</v>
      </c>
      <c r="P72" s="33"/>
      <c r="Q72" s="34"/>
      <c r="R72" s="34"/>
    </row>
    <row r="73" ht="16.5" customHeight="1">
      <c r="A73" s="12"/>
      <c r="B73" s="39"/>
      <c r="C73" s="24" t="s">
        <v>20</v>
      </c>
      <c r="D73" s="40"/>
      <c r="E73" s="41"/>
      <c r="F73" s="41"/>
      <c r="G73" s="41"/>
      <c r="H73" s="41"/>
      <c r="I73" s="116" t="s">
        <v>609</v>
      </c>
      <c r="J73" s="41"/>
      <c r="K73" s="41"/>
      <c r="L73" s="41"/>
      <c r="M73" s="41"/>
      <c r="N73" s="40"/>
      <c r="O73" s="43">
        <f>M71/O72</f>
        <v>2.527379949</v>
      </c>
      <c r="P73" s="33"/>
      <c r="Q73" s="34"/>
      <c r="R73" s="34"/>
    </row>
    <row r="74" ht="16.5" customHeight="1">
      <c r="A74" s="12"/>
      <c r="B74" s="23" t="s">
        <v>114</v>
      </c>
      <c r="C74" s="24" t="s">
        <v>16</v>
      </c>
      <c r="D74" s="25" t="s">
        <v>115</v>
      </c>
      <c r="E74" s="109">
        <v>1800.0</v>
      </c>
      <c r="F74" s="109">
        <v>1900.0</v>
      </c>
      <c r="G74" s="109">
        <v>2500.0</v>
      </c>
      <c r="H74" s="109">
        <v>2031.0</v>
      </c>
      <c r="I74" s="109" t="s">
        <v>135</v>
      </c>
      <c r="J74" s="109">
        <v>2300.0</v>
      </c>
      <c r="K74" s="133" t="s">
        <v>62</v>
      </c>
      <c r="L74" s="29" t="b">
        <v>0</v>
      </c>
      <c r="M74" s="30">
        <f>SUM(E74:L74)</f>
        <v>10531</v>
      </c>
      <c r="N74" s="31">
        <f>M74-7000</f>
        <v>3531</v>
      </c>
      <c r="O74" s="32"/>
      <c r="P74" s="33"/>
      <c r="Q74" s="34"/>
      <c r="R74" s="34"/>
    </row>
    <row r="75">
      <c r="A75" s="12"/>
      <c r="B75" s="35"/>
      <c r="C75" s="24" t="s">
        <v>5</v>
      </c>
      <c r="D75" s="36"/>
      <c r="E75" s="110">
        <f>964+53</f>
        <v>1017</v>
      </c>
      <c r="F75" s="110">
        <f>545+29</f>
        <v>574</v>
      </c>
      <c r="G75" s="110">
        <f>27+512</f>
        <v>539</v>
      </c>
      <c r="H75" s="110">
        <f>991+26</f>
        <v>1017</v>
      </c>
      <c r="J75" s="110">
        <f>646+85</f>
        <v>731</v>
      </c>
      <c r="N75" s="36"/>
      <c r="O75" s="38">
        <f>SUM(E75:K75)</f>
        <v>3878</v>
      </c>
      <c r="P75" s="33"/>
      <c r="Q75" s="34"/>
      <c r="R75" s="34"/>
    </row>
    <row r="76">
      <c r="A76" s="12"/>
      <c r="B76" s="39"/>
      <c r="C76" s="24" t="s">
        <v>20</v>
      </c>
      <c r="D76" s="40"/>
      <c r="E76" s="116" t="s">
        <v>610</v>
      </c>
      <c r="F76" s="116" t="s">
        <v>611</v>
      </c>
      <c r="G76" s="116" t="s">
        <v>612</v>
      </c>
      <c r="H76" s="116" t="s">
        <v>613</v>
      </c>
      <c r="I76" s="41"/>
      <c r="J76" s="116" t="s">
        <v>614</v>
      </c>
      <c r="K76" s="41"/>
      <c r="L76" s="41"/>
      <c r="M76" s="41"/>
      <c r="N76" s="40"/>
      <c r="O76" s="43">
        <f>M74/O75</f>
        <v>2.715575039</v>
      </c>
      <c r="P76" s="33"/>
      <c r="Q76" s="34"/>
      <c r="R76" s="34"/>
    </row>
    <row r="77" ht="14.25" customHeight="1">
      <c r="A77" s="51"/>
      <c r="B77" s="52"/>
      <c r="C77" s="53"/>
      <c r="D77" s="54">
        <f>counta(D5:D76)</f>
        <v>24</v>
      </c>
      <c r="E77" s="37">
        <f t="shared" ref="E77:K77" si="2">$D$77-(COUNTIF(E5:E76, "TRUCK ISSUE") + COUNTIF(E5:E76, "NEW DRIVER") + COUNTIF(E5:E76, "LEFT") + COUNTIF(E5:E76, "YARD"))</f>
        <v>22</v>
      </c>
      <c r="F77" s="37">
        <f t="shared" si="2"/>
        <v>21</v>
      </c>
      <c r="G77" s="37">
        <f t="shared" si="2"/>
        <v>22</v>
      </c>
      <c r="H77" s="37">
        <f t="shared" si="2"/>
        <v>21</v>
      </c>
      <c r="I77" s="37">
        <f t="shared" si="2"/>
        <v>21</v>
      </c>
      <c r="J77" s="37">
        <f t="shared" si="2"/>
        <v>21</v>
      </c>
      <c r="K77" s="37">
        <f t="shared" si="2"/>
        <v>21</v>
      </c>
      <c r="L77" s="55"/>
      <c r="M77" s="55"/>
      <c r="N77" s="55"/>
      <c r="O77" s="55"/>
      <c r="P77" s="55"/>
      <c r="Q77" s="56"/>
      <c r="R77" s="56"/>
    </row>
    <row r="78" ht="14.25" customHeight="1">
      <c r="A78" s="51"/>
      <c r="B78" s="55"/>
      <c r="C78" s="55"/>
      <c r="D78" s="48"/>
      <c r="E78" s="48"/>
      <c r="F78" s="48"/>
      <c r="G78" s="48"/>
      <c r="H78" s="48"/>
      <c r="I78" s="48"/>
      <c r="J78" s="48"/>
      <c r="K78" s="48"/>
      <c r="L78" s="55"/>
      <c r="M78" s="55"/>
      <c r="N78" s="55"/>
      <c r="O78" s="55"/>
      <c r="P78" s="55"/>
      <c r="Q78" s="56"/>
      <c r="R78" s="56"/>
    </row>
    <row r="79">
      <c r="A79" s="12"/>
      <c r="B79" s="57" t="s">
        <v>120</v>
      </c>
      <c r="C79" s="58"/>
      <c r="D79" s="59" t="s">
        <v>121</v>
      </c>
      <c r="E79" s="60">
        <f t="shared" ref="E79:J79" si="3">SUM(E74,E56,E53,E50,E47,E44,E41,E38,E35,E32,E29,E26,E23,E20,E17,E14,E11,E8,E5,E59,E65,E62,E68,E71)</f>
        <v>43720</v>
      </c>
      <c r="F79" s="60">
        <f t="shared" si="3"/>
        <v>11700</v>
      </c>
      <c r="G79" s="60">
        <f t="shared" si="3"/>
        <v>29543</v>
      </c>
      <c r="H79" s="60">
        <f t="shared" si="3"/>
        <v>19806</v>
      </c>
      <c r="I79" s="60">
        <f t="shared" si="3"/>
        <v>34750</v>
      </c>
      <c r="J79" s="60">
        <f t="shared" si="3"/>
        <v>17400</v>
      </c>
      <c r="K79" s="60">
        <f>SUM(K74,K56,K53,K50,K47,K44,K41,K39,K35,K32,K29,K26,K23,K20,K17,K14,K11,K8,K5,K59,K65,K62,K68,K71)</f>
        <v>700</v>
      </c>
      <c r="L79" s="61" t="s">
        <v>122</v>
      </c>
      <c r="M79" s="62">
        <f>SUM(E79:L79)</f>
        <v>157619</v>
      </c>
      <c r="N79" s="63"/>
      <c r="O79" s="64" t="s">
        <v>123</v>
      </c>
      <c r="P79" s="65">
        <f>COUNTIF(E5:K76, "No loads")</f>
        <v>0</v>
      </c>
      <c r="Q79" s="66"/>
      <c r="R79" s="66"/>
    </row>
    <row r="80">
      <c r="A80" s="12"/>
      <c r="B80" s="67">
        <f>D77</f>
        <v>24</v>
      </c>
      <c r="C80" s="68"/>
      <c r="D80" s="69" t="s">
        <v>124</v>
      </c>
      <c r="E80" s="70">
        <f t="shared" ref="E80:K80" si="4">E77</f>
        <v>22</v>
      </c>
      <c r="F80" s="70">
        <f t="shared" si="4"/>
        <v>21</v>
      </c>
      <c r="G80" s="70">
        <f t="shared" si="4"/>
        <v>22</v>
      </c>
      <c r="H80" s="70">
        <f t="shared" si="4"/>
        <v>21</v>
      </c>
      <c r="I80" s="70">
        <f t="shared" si="4"/>
        <v>21</v>
      </c>
      <c r="J80" s="70">
        <f t="shared" si="4"/>
        <v>21</v>
      </c>
      <c r="K80" s="70">
        <f t="shared" si="4"/>
        <v>21</v>
      </c>
      <c r="L80" s="71" t="s">
        <v>125</v>
      </c>
      <c r="M80" s="72">
        <f t="shared" ref="M80:M81" si="6">AVERAGE(E80:L80)</f>
        <v>21.28571429</v>
      </c>
      <c r="N80" s="63"/>
      <c r="O80" s="73" t="s">
        <v>27</v>
      </c>
      <c r="P80" s="74">
        <f>COUNTIF(E5:K76, "Home")</f>
        <v>21</v>
      </c>
      <c r="Q80" s="66"/>
      <c r="R80" s="66"/>
    </row>
    <row r="81">
      <c r="A81" s="12"/>
      <c r="B81" s="75"/>
      <c r="C81" s="75"/>
      <c r="D81" s="69" t="s">
        <v>124</v>
      </c>
      <c r="E81" s="76">
        <f t="shared" ref="E81:J81" si="5">$D$77-(COUNTIF(E5:E76, "TRUCK ISSUE") + COUNTIF(E5:E76, "NEW DRIVER") + COUNTIF(E5:E76, "LEFT") + COUNTIF(E5:E76, "YARD")+ COUNTIF(E5:E76, "HOME"))</f>
        <v>19</v>
      </c>
      <c r="F81" s="76">
        <f t="shared" si="5"/>
        <v>19</v>
      </c>
      <c r="G81" s="76">
        <f t="shared" si="5"/>
        <v>19</v>
      </c>
      <c r="H81" s="76">
        <f t="shared" si="5"/>
        <v>17</v>
      </c>
      <c r="I81" s="76">
        <f t="shared" si="5"/>
        <v>18</v>
      </c>
      <c r="J81" s="76">
        <f t="shared" si="5"/>
        <v>18</v>
      </c>
      <c r="K81" s="76">
        <f>$D$77-(COUNTIF(K5:K76, "TRUCK ISSUE") + COUNTIF(K5:K76, "NEW DRIVER") + COUNTIF(K5:K76, "LEFT") + COUNTIF(K5:K76, "YARD")+ COUNTIF(K5:K76, "HOME")+COUNTIF(K5:K76, "REST"))</f>
        <v>14</v>
      </c>
      <c r="L81" s="71" t="s">
        <v>126</v>
      </c>
      <c r="M81" s="72">
        <f t="shared" si="6"/>
        <v>17.71428571</v>
      </c>
      <c r="N81" s="66"/>
      <c r="O81" s="77" t="s">
        <v>62</v>
      </c>
      <c r="P81" s="74">
        <f>COUNTIF(E6:K77, "Rest")</f>
        <v>5</v>
      </c>
      <c r="Q81" s="66"/>
      <c r="R81" s="66"/>
    </row>
    <row r="82" ht="24.75" customHeight="1">
      <c r="A82" s="12"/>
      <c r="B82" s="75"/>
      <c r="C82" s="75"/>
      <c r="D82" s="78" t="s">
        <v>127</v>
      </c>
      <c r="E82" s="79">
        <f t="shared" ref="E82:H82" si="7">SUM(E75,E57,E54,E51,E48,E45,E42,E39,E36,E33,E30,E27,E24,E21,E18,E15,E12,E9, E63, E66, E6,E60,E69,E72)</f>
        <v>13787</v>
      </c>
      <c r="F82" s="79">
        <f t="shared" si="7"/>
        <v>3855</v>
      </c>
      <c r="G82" s="79">
        <f t="shared" si="7"/>
        <v>9479</v>
      </c>
      <c r="H82" s="79">
        <f t="shared" si="7"/>
        <v>5992</v>
      </c>
      <c r="I82" s="79">
        <f>SUM(I75,I57,I54,I51,I48,I45,I42,I39,I36,I34,I30,I27,I24,I21,I18,I15,I12,I9, I63, I66, I6,I60,I69,I72)</f>
        <v>14399</v>
      </c>
      <c r="J82" s="79">
        <f>SUM(J75,J57,J54,J51,J48,J45,J42,J39,J36,J33,J30,J27,J24,J21,J18,J15,J12,J9, J63, J66, J6,J60,J69,J72)</f>
        <v>6673</v>
      </c>
      <c r="K82" s="79">
        <f>SUM(K75,K57,K54,K51,K48,K45,K42,K40,K36,K33,K30,K27,K24,K21,K18,K15,K12,K9, K63, K66, K6,K60,K69,K72)</f>
        <v>27</v>
      </c>
      <c r="L82" s="80" t="s">
        <v>128</v>
      </c>
      <c r="M82" s="81">
        <f>SUM(E82:K82)</f>
        <v>54212</v>
      </c>
      <c r="N82" s="66"/>
      <c r="O82" s="82" t="s">
        <v>88</v>
      </c>
      <c r="P82" s="74">
        <f>COUNTIF(E5:K76, "TRUCK ISSUE")</f>
        <v>0</v>
      </c>
      <c r="Q82" s="75"/>
      <c r="R82" s="75"/>
    </row>
    <row r="83">
      <c r="A83" s="12"/>
      <c r="B83" s="75"/>
      <c r="C83" s="75"/>
      <c r="D83" s="78" t="s">
        <v>129</v>
      </c>
      <c r="E83" s="83">
        <f t="shared" ref="E83:K83" si="8">E79/E82</f>
        <v>3.171103213</v>
      </c>
      <c r="F83" s="83">
        <f t="shared" si="8"/>
        <v>3.035019455</v>
      </c>
      <c r="G83" s="83">
        <f t="shared" si="8"/>
        <v>3.116678975</v>
      </c>
      <c r="H83" s="83">
        <f t="shared" si="8"/>
        <v>3.30540721</v>
      </c>
      <c r="I83" s="83">
        <f t="shared" si="8"/>
        <v>2.413362039</v>
      </c>
      <c r="J83" s="83">
        <f t="shared" si="8"/>
        <v>2.607522853</v>
      </c>
      <c r="K83" s="83">
        <f t="shared" si="8"/>
        <v>25.92592593</v>
      </c>
      <c r="L83" s="80" t="s">
        <v>130</v>
      </c>
      <c r="M83" s="84">
        <f>M79/M82</f>
        <v>2.907455914</v>
      </c>
      <c r="N83" s="63"/>
      <c r="O83" s="82" t="s">
        <v>71</v>
      </c>
      <c r="P83" s="74">
        <f>COUNTIF(E5:K76, "YARD")</f>
        <v>12</v>
      </c>
      <c r="Q83" s="66"/>
      <c r="R83" s="66"/>
    </row>
    <row r="84">
      <c r="A84" s="12"/>
      <c r="B84" s="75"/>
      <c r="C84" s="75"/>
      <c r="D84" s="85" t="s">
        <v>131</v>
      </c>
      <c r="E84" s="86">
        <f t="shared" ref="E84:K84" si="9">E79/E80</f>
        <v>1987.272727</v>
      </c>
      <c r="F84" s="86">
        <f t="shared" si="9"/>
        <v>557.1428571</v>
      </c>
      <c r="G84" s="86">
        <f t="shared" si="9"/>
        <v>1342.863636</v>
      </c>
      <c r="H84" s="86">
        <f t="shared" si="9"/>
        <v>943.1428571</v>
      </c>
      <c r="I84" s="86">
        <f t="shared" si="9"/>
        <v>1654.761905</v>
      </c>
      <c r="J84" s="86">
        <f t="shared" si="9"/>
        <v>828.5714286</v>
      </c>
      <c r="K84" s="86">
        <f t="shared" si="9"/>
        <v>33.33333333</v>
      </c>
      <c r="L84" s="80" t="s">
        <v>132</v>
      </c>
      <c r="M84" s="84">
        <f>M79/M80</f>
        <v>7404.919463</v>
      </c>
      <c r="N84" s="63"/>
      <c r="O84" s="87" t="s">
        <v>133</v>
      </c>
      <c r="P84" s="88">
        <f>COUNTIF(E5:K76, "MISSED APPT")+COUNTIF(E5:K76, "CANCELLED")</f>
        <v>1</v>
      </c>
      <c r="Q84" s="48"/>
      <c r="R84" s="48"/>
    </row>
    <row r="85">
      <c r="A85" s="12"/>
      <c r="B85" s="66"/>
      <c r="C85" s="66"/>
      <c r="D85" s="66"/>
      <c r="E85" s="66"/>
      <c r="F85" s="66"/>
      <c r="G85" s="66"/>
      <c r="H85" s="66"/>
      <c r="I85" s="66"/>
      <c r="J85" s="54" t="s">
        <v>555</v>
      </c>
      <c r="K85" s="89"/>
      <c r="L85" s="90" t="s">
        <v>134</v>
      </c>
      <c r="M85" s="91">
        <f>M79/M81</f>
        <v>8897.846774</v>
      </c>
      <c r="N85" s="92"/>
      <c r="O85" s="92"/>
      <c r="P85" s="92"/>
      <c r="Q85" s="48"/>
      <c r="R85" s="48"/>
    </row>
    <row r="86">
      <c r="A86" s="93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>
        <f>SUM(M5:M76)</f>
        <v>157619</v>
      </c>
      <c r="N86" s="66"/>
      <c r="O86" s="63"/>
      <c r="P86" s="92"/>
      <c r="Q86" s="22"/>
      <c r="R86" s="22"/>
    </row>
    <row r="87">
      <c r="A87" s="93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19"/>
      <c r="P87" s="22"/>
      <c r="Q87" s="22"/>
      <c r="R87" s="22"/>
    </row>
    <row r="88">
      <c r="A88" s="93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19"/>
      <c r="P88" s="22"/>
      <c r="Q88" s="22"/>
      <c r="R88" s="22"/>
    </row>
    <row r="89" hidden="1">
      <c r="A89" s="93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19"/>
      <c r="P89" s="22"/>
      <c r="Q89" s="22"/>
      <c r="R89" s="22"/>
    </row>
    <row r="90" hidden="1">
      <c r="A90" s="93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19"/>
      <c r="P90" s="22"/>
      <c r="Q90" s="22"/>
      <c r="R90" s="22"/>
    </row>
    <row r="91" hidden="1">
      <c r="A91" s="93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19"/>
      <c r="P91" s="22"/>
      <c r="Q91" s="22"/>
      <c r="R91" s="22"/>
    </row>
    <row r="92" hidden="1">
      <c r="A92" s="93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19"/>
      <c r="P92" s="22"/>
      <c r="Q92" s="22"/>
      <c r="R92" s="22"/>
    </row>
    <row r="93" hidden="1">
      <c r="A93" s="93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19"/>
      <c r="P93" s="22"/>
      <c r="Q93" s="22"/>
      <c r="R93" s="22"/>
    </row>
    <row r="94" hidden="1">
      <c r="A94" s="93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19"/>
      <c r="P94" s="22"/>
      <c r="Q94" s="22"/>
      <c r="R94" s="22"/>
    </row>
    <row r="95" hidden="1">
      <c r="A95" s="93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19"/>
      <c r="P95" s="22"/>
      <c r="Q95" s="22"/>
      <c r="R95" s="22"/>
    </row>
    <row r="96" hidden="1">
      <c r="A96" s="93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19"/>
      <c r="P96" s="22"/>
      <c r="Q96" s="22"/>
      <c r="R96" s="22"/>
    </row>
    <row r="97" hidden="1">
      <c r="A97" s="93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19"/>
      <c r="P97" s="22"/>
      <c r="Q97" s="22"/>
      <c r="R97" s="22"/>
    </row>
    <row r="98" hidden="1">
      <c r="A98" s="93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19"/>
      <c r="P98" s="22"/>
      <c r="Q98" s="22"/>
      <c r="R98" s="22"/>
    </row>
    <row r="99" hidden="1">
      <c r="A99" s="93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19"/>
      <c r="P99" s="22"/>
      <c r="Q99" s="22"/>
      <c r="R99" s="22"/>
    </row>
    <row r="100" hidden="1">
      <c r="A100" s="93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19"/>
      <c r="P100" s="22"/>
      <c r="Q100" s="22"/>
      <c r="R100" s="22"/>
    </row>
    <row r="101" hidden="1">
      <c r="A101" s="93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19"/>
      <c r="P101" s="22"/>
      <c r="Q101" s="22"/>
      <c r="R101" s="22"/>
    </row>
    <row r="102" hidden="1">
      <c r="A102" s="93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19"/>
      <c r="P102" s="22"/>
      <c r="Q102" s="22"/>
      <c r="R102" s="22"/>
    </row>
    <row r="103" hidden="1">
      <c r="A103" s="93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19"/>
      <c r="P103" s="22"/>
      <c r="Q103" s="22"/>
      <c r="R103" s="22"/>
    </row>
    <row r="104" hidden="1">
      <c r="A104" s="93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19"/>
      <c r="P104" s="22"/>
      <c r="Q104" s="22"/>
      <c r="R104" s="22"/>
    </row>
    <row r="105" hidden="1">
      <c r="A105" s="93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19"/>
      <c r="P105" s="22"/>
      <c r="Q105" s="22"/>
      <c r="R105" s="22"/>
    </row>
    <row r="106" hidden="1">
      <c r="A106" s="93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19"/>
      <c r="P106" s="22"/>
      <c r="Q106" s="22"/>
      <c r="R106" s="22"/>
    </row>
    <row r="107" hidden="1">
      <c r="A107" s="93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19"/>
      <c r="P107" s="22"/>
      <c r="Q107" s="22"/>
      <c r="R107" s="22"/>
    </row>
    <row r="108" hidden="1">
      <c r="A108" s="93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19"/>
      <c r="P108" s="22"/>
      <c r="Q108" s="22"/>
      <c r="R108" s="22"/>
    </row>
    <row r="109" hidden="1">
      <c r="A109" s="93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19"/>
      <c r="P109" s="22"/>
      <c r="Q109" s="22"/>
      <c r="R109" s="22"/>
    </row>
    <row r="110" hidden="1">
      <c r="A110" s="93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19"/>
      <c r="P110" s="22"/>
      <c r="Q110" s="22"/>
      <c r="R110" s="22"/>
    </row>
    <row r="111" hidden="1">
      <c r="A111" s="93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19"/>
      <c r="P111" s="22"/>
      <c r="Q111" s="22"/>
      <c r="R111" s="22"/>
    </row>
    <row r="112" hidden="1">
      <c r="A112" s="93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19"/>
      <c r="P112" s="22"/>
      <c r="Q112" s="22"/>
      <c r="R112" s="22"/>
    </row>
    <row r="113" hidden="1">
      <c r="A113" s="93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19"/>
      <c r="P113" s="22"/>
      <c r="Q113" s="22"/>
      <c r="R113" s="22"/>
    </row>
    <row r="114" hidden="1">
      <c r="A114" s="93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19"/>
      <c r="P114" s="22"/>
      <c r="Q114" s="22"/>
      <c r="R114" s="22"/>
    </row>
    <row r="115" hidden="1">
      <c r="A115" s="93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19"/>
      <c r="P115" s="22"/>
      <c r="Q115" s="22"/>
      <c r="R115" s="22"/>
    </row>
    <row r="116" hidden="1">
      <c r="A116" s="93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19"/>
      <c r="P116" s="22"/>
      <c r="Q116" s="22"/>
      <c r="R116" s="22"/>
    </row>
    <row r="117" hidden="1">
      <c r="A117" s="93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19"/>
      <c r="P117" s="22"/>
      <c r="Q117" s="22"/>
      <c r="R117" s="22"/>
    </row>
    <row r="118" hidden="1">
      <c r="A118" s="93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19"/>
      <c r="P118" s="22"/>
      <c r="Q118" s="22"/>
      <c r="R118" s="22"/>
    </row>
    <row r="119" hidden="1">
      <c r="A119" s="93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19"/>
      <c r="P119" s="22"/>
      <c r="Q119" s="22"/>
      <c r="R119" s="22"/>
    </row>
    <row r="120" hidden="1">
      <c r="A120" s="93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19"/>
      <c r="P120" s="22"/>
      <c r="Q120" s="22"/>
      <c r="R120" s="22"/>
    </row>
    <row r="121" hidden="1">
      <c r="A121" s="93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19"/>
      <c r="P121" s="22"/>
      <c r="Q121" s="22"/>
      <c r="R121" s="22"/>
    </row>
    <row r="122" hidden="1">
      <c r="A122" s="93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19"/>
      <c r="P122" s="22"/>
      <c r="Q122" s="22"/>
      <c r="R122" s="22"/>
    </row>
    <row r="123" hidden="1">
      <c r="A123" s="93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19"/>
      <c r="P123" s="22"/>
      <c r="Q123" s="22"/>
      <c r="R123" s="22"/>
    </row>
    <row r="124" hidden="1">
      <c r="A124" s="93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19"/>
      <c r="P124" s="22"/>
      <c r="Q124" s="22"/>
      <c r="R124" s="22"/>
    </row>
    <row r="125" hidden="1">
      <c r="A125" s="93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19"/>
      <c r="P125" s="22"/>
      <c r="Q125" s="22"/>
      <c r="R125" s="22"/>
    </row>
    <row r="126" hidden="1">
      <c r="A126" s="93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19"/>
      <c r="P126" s="22"/>
      <c r="Q126" s="22"/>
      <c r="R126" s="22"/>
    </row>
    <row r="127" hidden="1">
      <c r="A127" s="93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19"/>
      <c r="P127" s="22"/>
      <c r="Q127" s="22"/>
      <c r="R127" s="22"/>
    </row>
    <row r="128" hidden="1">
      <c r="A128" s="93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19"/>
      <c r="P128" s="22"/>
      <c r="Q128" s="22"/>
      <c r="R128" s="22"/>
    </row>
    <row r="129" hidden="1">
      <c r="A129" s="93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19"/>
      <c r="P129" s="22"/>
      <c r="Q129" s="22"/>
      <c r="R129" s="22"/>
    </row>
    <row r="130" hidden="1">
      <c r="A130" s="93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19"/>
      <c r="P130" s="22"/>
      <c r="Q130" s="22"/>
      <c r="R130" s="22"/>
    </row>
    <row r="131" hidden="1">
      <c r="A131" s="93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19"/>
      <c r="P131" s="22"/>
      <c r="Q131" s="22"/>
      <c r="R131" s="22"/>
    </row>
    <row r="132" hidden="1">
      <c r="A132" s="93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19"/>
      <c r="P132" s="22"/>
      <c r="Q132" s="22"/>
      <c r="R132" s="22"/>
    </row>
    <row r="133" hidden="1">
      <c r="A133" s="93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19"/>
      <c r="P133" s="22"/>
      <c r="Q133" s="22"/>
      <c r="R133" s="22"/>
    </row>
    <row r="134" hidden="1">
      <c r="A134" s="93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19"/>
      <c r="P134" s="22"/>
      <c r="Q134" s="22"/>
      <c r="R134" s="22"/>
    </row>
    <row r="135" hidden="1">
      <c r="A135" s="93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19"/>
      <c r="P135" s="22"/>
      <c r="Q135" s="22"/>
      <c r="R135" s="22"/>
    </row>
    <row r="136" hidden="1">
      <c r="A136" s="93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19"/>
      <c r="P136" s="22"/>
      <c r="Q136" s="22"/>
      <c r="R136" s="22"/>
    </row>
    <row r="137" hidden="1">
      <c r="A137" s="93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19"/>
      <c r="P137" s="22"/>
      <c r="Q137" s="22"/>
      <c r="R137" s="22"/>
    </row>
    <row r="138" hidden="1">
      <c r="A138" s="93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19"/>
      <c r="P138" s="22"/>
      <c r="Q138" s="22"/>
      <c r="R138" s="22"/>
    </row>
    <row r="139" hidden="1">
      <c r="A139" s="93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19"/>
      <c r="P139" s="22"/>
      <c r="Q139" s="22"/>
      <c r="R139" s="22"/>
    </row>
    <row r="140" hidden="1">
      <c r="A140" s="93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19"/>
      <c r="P140" s="22"/>
      <c r="Q140" s="22"/>
      <c r="R140" s="22"/>
    </row>
    <row r="141" hidden="1">
      <c r="A141" s="93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19"/>
      <c r="P141" s="22"/>
      <c r="Q141" s="22"/>
      <c r="R141" s="22"/>
    </row>
    <row r="142" hidden="1">
      <c r="A142" s="93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19"/>
      <c r="P142" s="22"/>
      <c r="Q142" s="22"/>
      <c r="R142" s="22"/>
    </row>
    <row r="143" hidden="1">
      <c r="A143" s="93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19"/>
      <c r="P143" s="22"/>
      <c r="Q143" s="22"/>
      <c r="R143" s="22"/>
    </row>
    <row r="144" hidden="1">
      <c r="A144" s="93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19"/>
      <c r="P144" s="22"/>
      <c r="Q144" s="22"/>
      <c r="R144" s="22"/>
    </row>
    <row r="145" hidden="1">
      <c r="A145" s="93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19"/>
      <c r="P145" s="22"/>
      <c r="Q145" s="22"/>
      <c r="R145" s="22"/>
    </row>
    <row r="146" hidden="1">
      <c r="A146" s="93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19"/>
      <c r="P146" s="22"/>
      <c r="Q146" s="22"/>
      <c r="R146" s="22"/>
    </row>
    <row r="147" hidden="1">
      <c r="A147" s="93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19"/>
      <c r="P147" s="22"/>
      <c r="Q147" s="22"/>
      <c r="R147" s="22"/>
    </row>
    <row r="148" hidden="1">
      <c r="A148" s="93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19"/>
      <c r="P148" s="22"/>
      <c r="Q148" s="22"/>
      <c r="R148" s="22"/>
    </row>
    <row r="149" hidden="1">
      <c r="A149" s="93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19"/>
      <c r="P149" s="22"/>
      <c r="Q149" s="22"/>
      <c r="R149" s="22"/>
    </row>
    <row r="150" hidden="1">
      <c r="A150" s="93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19"/>
      <c r="P150" s="22"/>
      <c r="Q150" s="22"/>
      <c r="R150" s="22"/>
    </row>
    <row r="151" hidden="1">
      <c r="A151" s="93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19"/>
      <c r="P151" s="22"/>
      <c r="Q151" s="22"/>
      <c r="R151" s="22"/>
    </row>
    <row r="152" hidden="1">
      <c r="A152" s="93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19"/>
      <c r="P152" s="22"/>
      <c r="Q152" s="22"/>
      <c r="R152" s="22"/>
    </row>
    <row r="153" hidden="1">
      <c r="A153" s="93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19"/>
      <c r="P153" s="22"/>
      <c r="Q153" s="22"/>
      <c r="R153" s="22"/>
    </row>
    <row r="154" hidden="1">
      <c r="A154" s="93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19"/>
      <c r="P154" s="22"/>
      <c r="Q154" s="22"/>
      <c r="R154" s="22"/>
    </row>
    <row r="155" hidden="1">
      <c r="A155" s="93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19"/>
      <c r="P155" s="22"/>
      <c r="Q155" s="22"/>
      <c r="R155" s="22"/>
    </row>
    <row r="156" hidden="1">
      <c r="A156" s="93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19"/>
      <c r="P156" s="22"/>
      <c r="Q156" s="22"/>
      <c r="R156" s="22"/>
    </row>
    <row r="157" hidden="1">
      <c r="A157" s="93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19"/>
      <c r="P157" s="22"/>
      <c r="Q157" s="22"/>
      <c r="R157" s="22"/>
    </row>
    <row r="158" hidden="1">
      <c r="A158" s="93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19"/>
      <c r="P158" s="22"/>
      <c r="Q158" s="22"/>
      <c r="R158" s="22"/>
    </row>
    <row r="159" hidden="1">
      <c r="A159" s="93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19"/>
      <c r="P159" s="22"/>
      <c r="Q159" s="22"/>
      <c r="R159" s="22"/>
    </row>
    <row r="160" hidden="1">
      <c r="A160" s="93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19"/>
      <c r="P160" s="22"/>
      <c r="Q160" s="22"/>
      <c r="R160" s="22"/>
    </row>
    <row r="161" hidden="1">
      <c r="A161" s="93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19"/>
      <c r="P161" s="22"/>
      <c r="Q161" s="22"/>
      <c r="R161" s="22"/>
    </row>
    <row r="162" hidden="1">
      <c r="A162" s="93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19"/>
      <c r="P162" s="22"/>
      <c r="Q162" s="22"/>
      <c r="R162" s="22"/>
    </row>
    <row r="163" hidden="1">
      <c r="A163" s="93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19"/>
      <c r="P163" s="22"/>
      <c r="Q163" s="22"/>
      <c r="R163" s="22"/>
    </row>
    <row r="164" hidden="1">
      <c r="A164" s="93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19"/>
      <c r="P164" s="22"/>
      <c r="Q164" s="22"/>
      <c r="R164" s="22"/>
    </row>
    <row r="165" hidden="1">
      <c r="A165" s="93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19"/>
      <c r="P165" s="22"/>
      <c r="Q165" s="22"/>
      <c r="R165" s="22"/>
    </row>
    <row r="166" hidden="1">
      <c r="A166" s="93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19"/>
      <c r="P166" s="22"/>
      <c r="Q166" s="22"/>
      <c r="R166" s="22"/>
    </row>
    <row r="167" hidden="1">
      <c r="A167" s="93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19"/>
      <c r="P167" s="22"/>
      <c r="Q167" s="22"/>
      <c r="R167" s="22"/>
    </row>
    <row r="168" hidden="1">
      <c r="A168" s="93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19"/>
      <c r="P168" s="22"/>
      <c r="Q168" s="22"/>
      <c r="R168" s="22"/>
    </row>
    <row r="169" hidden="1">
      <c r="A169" s="93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19"/>
      <c r="P169" s="22"/>
      <c r="Q169" s="22"/>
      <c r="R169" s="22"/>
    </row>
    <row r="170" hidden="1">
      <c r="A170" s="93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19"/>
      <c r="P170" s="22"/>
      <c r="Q170" s="22"/>
      <c r="R170" s="22"/>
    </row>
    <row r="171" hidden="1">
      <c r="A171" s="93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19"/>
      <c r="P171" s="22"/>
      <c r="Q171" s="22"/>
      <c r="R171" s="22"/>
    </row>
    <row r="172" hidden="1">
      <c r="A172" s="93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19"/>
      <c r="P172" s="22"/>
      <c r="Q172" s="22"/>
      <c r="R172" s="22"/>
    </row>
    <row r="173" hidden="1">
      <c r="A173" s="93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19"/>
      <c r="P173" s="22"/>
      <c r="Q173" s="22"/>
      <c r="R173" s="22"/>
    </row>
    <row r="174" hidden="1">
      <c r="A174" s="93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19"/>
      <c r="P174" s="22"/>
      <c r="Q174" s="22"/>
      <c r="R174" s="22"/>
    </row>
    <row r="175" hidden="1">
      <c r="A175" s="93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19"/>
      <c r="P175" s="22"/>
      <c r="Q175" s="22"/>
      <c r="R175" s="22"/>
    </row>
    <row r="176" hidden="1">
      <c r="A176" s="93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19"/>
      <c r="P176" s="22"/>
      <c r="Q176" s="22"/>
      <c r="R176" s="22"/>
    </row>
    <row r="177" hidden="1">
      <c r="A177" s="93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19"/>
      <c r="P177" s="22"/>
      <c r="Q177" s="22"/>
      <c r="R177" s="22"/>
    </row>
    <row r="178" hidden="1">
      <c r="A178" s="93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19"/>
      <c r="P178" s="22"/>
      <c r="Q178" s="22"/>
      <c r="R178" s="22"/>
    </row>
    <row r="179" hidden="1">
      <c r="A179" s="93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19"/>
      <c r="P179" s="22"/>
      <c r="Q179" s="22"/>
      <c r="R179" s="22"/>
    </row>
    <row r="180" hidden="1">
      <c r="A180" s="93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19"/>
      <c r="P180" s="22"/>
      <c r="Q180" s="22"/>
      <c r="R180" s="22"/>
    </row>
    <row r="181" hidden="1">
      <c r="A181" s="93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19"/>
      <c r="P181" s="22"/>
      <c r="Q181" s="22"/>
      <c r="R181" s="22"/>
    </row>
    <row r="182" hidden="1">
      <c r="A182" s="93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19"/>
      <c r="P182" s="22"/>
      <c r="Q182" s="22"/>
      <c r="R182" s="22"/>
    </row>
    <row r="183" hidden="1">
      <c r="A183" s="93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19"/>
      <c r="P183" s="22"/>
      <c r="Q183" s="22"/>
      <c r="R183" s="22"/>
    </row>
    <row r="184" hidden="1">
      <c r="A184" s="93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19"/>
      <c r="P184" s="22"/>
      <c r="Q184" s="22"/>
      <c r="R184" s="22"/>
    </row>
    <row r="185" hidden="1">
      <c r="A185" s="93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19"/>
      <c r="P185" s="22"/>
      <c r="Q185" s="22"/>
      <c r="R185" s="22"/>
    </row>
    <row r="186" hidden="1">
      <c r="A186" s="93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19"/>
      <c r="P186" s="22"/>
      <c r="Q186" s="22"/>
      <c r="R186" s="22"/>
    </row>
    <row r="187" hidden="1">
      <c r="A187" s="93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19"/>
      <c r="P187" s="22"/>
      <c r="Q187" s="22"/>
      <c r="R187" s="22"/>
    </row>
    <row r="188" hidden="1">
      <c r="A188" s="93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19"/>
      <c r="P188" s="22"/>
      <c r="Q188" s="22"/>
      <c r="R188" s="22"/>
    </row>
    <row r="189" hidden="1">
      <c r="A189" s="93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19"/>
      <c r="P189" s="22"/>
      <c r="Q189" s="22"/>
      <c r="R189" s="22"/>
    </row>
    <row r="190" hidden="1">
      <c r="A190" s="93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19"/>
      <c r="P190" s="22"/>
      <c r="Q190" s="22"/>
      <c r="R190" s="22"/>
    </row>
    <row r="191" hidden="1">
      <c r="A191" s="93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19"/>
      <c r="P191" s="22"/>
      <c r="Q191" s="22"/>
      <c r="R191" s="22"/>
    </row>
    <row r="192" hidden="1">
      <c r="A192" s="93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19"/>
      <c r="P192" s="22"/>
      <c r="Q192" s="22"/>
      <c r="R192" s="22"/>
    </row>
    <row r="193" hidden="1">
      <c r="A193" s="93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19"/>
      <c r="P193" s="22"/>
      <c r="Q193" s="22"/>
      <c r="R193" s="22"/>
    </row>
    <row r="194" hidden="1">
      <c r="A194" s="93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19"/>
      <c r="P194" s="22"/>
      <c r="Q194" s="22"/>
      <c r="R194" s="22"/>
    </row>
    <row r="195" hidden="1">
      <c r="A195" s="93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19"/>
      <c r="P195" s="22"/>
      <c r="Q195" s="22"/>
      <c r="R195" s="22"/>
    </row>
    <row r="196" hidden="1">
      <c r="A196" s="93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19"/>
      <c r="P196" s="22"/>
      <c r="Q196" s="22"/>
      <c r="R196" s="22"/>
    </row>
    <row r="197" hidden="1">
      <c r="A197" s="93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19"/>
      <c r="P197" s="22"/>
      <c r="Q197" s="22"/>
      <c r="R197" s="22"/>
    </row>
    <row r="198" hidden="1">
      <c r="A198" s="93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19"/>
      <c r="P198" s="22"/>
      <c r="Q198" s="22"/>
      <c r="R198" s="22"/>
    </row>
    <row r="199" hidden="1">
      <c r="A199" s="93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19"/>
      <c r="P199" s="22"/>
      <c r="Q199" s="22"/>
      <c r="R199" s="22"/>
    </row>
    <row r="200" hidden="1">
      <c r="A200" s="93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19"/>
      <c r="P200" s="22"/>
      <c r="Q200" s="22"/>
      <c r="R200" s="22"/>
    </row>
    <row r="201" hidden="1">
      <c r="A201" s="93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19"/>
      <c r="P201" s="22"/>
      <c r="Q201" s="22"/>
      <c r="R201" s="22"/>
    </row>
    <row r="202" hidden="1">
      <c r="A202" s="93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19"/>
      <c r="P202" s="22"/>
      <c r="Q202" s="22"/>
      <c r="R202" s="22"/>
    </row>
    <row r="203" hidden="1">
      <c r="A203" s="93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19"/>
      <c r="P203" s="22"/>
      <c r="Q203" s="22"/>
      <c r="R203" s="22"/>
    </row>
    <row r="204" hidden="1">
      <c r="A204" s="93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19"/>
      <c r="P204" s="22"/>
      <c r="Q204" s="22"/>
      <c r="R204" s="22"/>
    </row>
    <row r="205" hidden="1">
      <c r="A205" s="93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19"/>
      <c r="P205" s="22"/>
      <c r="Q205" s="22"/>
      <c r="R205" s="22"/>
    </row>
    <row r="206" hidden="1">
      <c r="A206" s="93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19"/>
      <c r="P206" s="22"/>
      <c r="Q206" s="22"/>
      <c r="R206" s="22"/>
    </row>
    <row r="207" hidden="1">
      <c r="A207" s="93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19"/>
      <c r="P207" s="22"/>
      <c r="Q207" s="22"/>
      <c r="R207" s="22"/>
    </row>
    <row r="208" hidden="1">
      <c r="A208" s="93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19"/>
      <c r="P208" s="22"/>
      <c r="Q208" s="22"/>
      <c r="R208" s="22"/>
    </row>
    <row r="209" hidden="1">
      <c r="A209" s="93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19"/>
      <c r="P209" s="22"/>
      <c r="Q209" s="22"/>
      <c r="R209" s="22"/>
    </row>
    <row r="210" hidden="1">
      <c r="A210" s="93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19"/>
      <c r="P210" s="22"/>
      <c r="Q210" s="22"/>
      <c r="R210" s="22"/>
    </row>
    <row r="211" hidden="1">
      <c r="A211" s="93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19"/>
      <c r="P211" s="22"/>
      <c r="Q211" s="22"/>
      <c r="R211" s="22"/>
    </row>
    <row r="212" hidden="1">
      <c r="A212" s="93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19"/>
      <c r="P212" s="22"/>
      <c r="Q212" s="22"/>
      <c r="R212" s="22"/>
    </row>
    <row r="213" hidden="1">
      <c r="A213" s="93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19"/>
      <c r="P213" s="22"/>
      <c r="Q213" s="22"/>
      <c r="R213" s="22"/>
    </row>
    <row r="214" hidden="1">
      <c r="A214" s="93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19"/>
      <c r="P214" s="22"/>
      <c r="Q214" s="22"/>
      <c r="R214" s="22"/>
    </row>
    <row r="215" hidden="1">
      <c r="A215" s="93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19"/>
      <c r="P215" s="22"/>
      <c r="Q215" s="22"/>
      <c r="R215" s="22"/>
    </row>
    <row r="216" hidden="1">
      <c r="A216" s="93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19"/>
      <c r="P216" s="22"/>
      <c r="Q216" s="22"/>
      <c r="R216" s="22"/>
    </row>
    <row r="217" hidden="1">
      <c r="A217" s="93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19"/>
      <c r="P217" s="22"/>
      <c r="Q217" s="22"/>
      <c r="R217" s="22"/>
    </row>
    <row r="218" hidden="1">
      <c r="A218" s="93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19"/>
      <c r="P218" s="22"/>
      <c r="Q218" s="22"/>
      <c r="R218" s="22"/>
    </row>
    <row r="219" hidden="1">
      <c r="A219" s="93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19"/>
      <c r="P219" s="22"/>
      <c r="Q219" s="22"/>
      <c r="R219" s="22"/>
    </row>
    <row r="220" hidden="1">
      <c r="A220" s="93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19"/>
      <c r="P220" s="22"/>
      <c r="Q220" s="22"/>
      <c r="R220" s="22"/>
    </row>
    <row r="221" hidden="1">
      <c r="A221" s="93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19"/>
      <c r="P221" s="22"/>
      <c r="Q221" s="22"/>
      <c r="R221" s="22"/>
    </row>
    <row r="222" hidden="1">
      <c r="A222" s="93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19"/>
      <c r="P222" s="22"/>
      <c r="Q222" s="22"/>
      <c r="R222" s="22"/>
    </row>
    <row r="223" hidden="1">
      <c r="A223" s="93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19"/>
      <c r="P223" s="22"/>
      <c r="Q223" s="22"/>
      <c r="R223" s="22"/>
    </row>
    <row r="224" hidden="1">
      <c r="A224" s="93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19"/>
      <c r="P224" s="22"/>
      <c r="Q224" s="22"/>
      <c r="R224" s="22"/>
    </row>
    <row r="225" hidden="1">
      <c r="A225" s="93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19"/>
      <c r="P225" s="22"/>
      <c r="Q225" s="22"/>
      <c r="R225" s="22"/>
    </row>
    <row r="226" hidden="1">
      <c r="A226" s="93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19"/>
      <c r="P226" s="22"/>
      <c r="Q226" s="22"/>
      <c r="R226" s="22"/>
    </row>
    <row r="227" hidden="1">
      <c r="A227" s="93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19"/>
      <c r="P227" s="22"/>
      <c r="Q227" s="22"/>
      <c r="R227" s="22"/>
    </row>
    <row r="228" hidden="1">
      <c r="A228" s="93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19"/>
      <c r="P228" s="22"/>
      <c r="Q228" s="22"/>
      <c r="R228" s="22"/>
    </row>
    <row r="229" hidden="1">
      <c r="A229" s="93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19"/>
      <c r="P229" s="22"/>
      <c r="Q229" s="22"/>
      <c r="R229" s="22"/>
    </row>
    <row r="230" hidden="1">
      <c r="A230" s="93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19"/>
      <c r="P230" s="22"/>
      <c r="Q230" s="22"/>
      <c r="R230" s="22"/>
    </row>
    <row r="231" hidden="1">
      <c r="A231" s="93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19"/>
      <c r="P231" s="22"/>
      <c r="Q231" s="22"/>
      <c r="R231" s="22"/>
    </row>
    <row r="232" hidden="1">
      <c r="A232" s="93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19"/>
      <c r="P232" s="22"/>
      <c r="Q232" s="22"/>
      <c r="R232" s="22"/>
    </row>
    <row r="233" hidden="1">
      <c r="A233" s="93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19"/>
      <c r="P233" s="22"/>
      <c r="Q233" s="22"/>
      <c r="R233" s="22"/>
    </row>
    <row r="234" hidden="1">
      <c r="A234" s="93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19"/>
      <c r="P234" s="22"/>
      <c r="Q234" s="22"/>
      <c r="R234" s="22"/>
    </row>
    <row r="235" hidden="1">
      <c r="A235" s="93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19"/>
      <c r="P235" s="22"/>
      <c r="Q235" s="22"/>
      <c r="R235" s="22"/>
    </row>
    <row r="236" hidden="1">
      <c r="A236" s="93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19"/>
      <c r="P236" s="22"/>
      <c r="Q236" s="22"/>
      <c r="R236" s="22"/>
    </row>
    <row r="237" hidden="1">
      <c r="A237" s="93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19"/>
      <c r="P237" s="22"/>
      <c r="Q237" s="22"/>
      <c r="R237" s="22"/>
    </row>
    <row r="238" hidden="1">
      <c r="A238" s="93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19"/>
      <c r="P238" s="22"/>
      <c r="Q238" s="22"/>
      <c r="R238" s="22"/>
    </row>
    <row r="239" hidden="1">
      <c r="A239" s="93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19"/>
      <c r="P239" s="22"/>
      <c r="Q239" s="22"/>
      <c r="R239" s="22"/>
    </row>
    <row r="240" hidden="1">
      <c r="A240" s="93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19"/>
      <c r="P240" s="22"/>
      <c r="Q240" s="22"/>
      <c r="R240" s="22"/>
    </row>
    <row r="241" hidden="1">
      <c r="A241" s="93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19"/>
      <c r="P241" s="22"/>
      <c r="Q241" s="22"/>
      <c r="R241" s="22"/>
    </row>
    <row r="242" hidden="1">
      <c r="A242" s="93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19"/>
      <c r="P242" s="22"/>
      <c r="Q242" s="22"/>
      <c r="R242" s="22"/>
    </row>
    <row r="243" hidden="1">
      <c r="A243" s="93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19"/>
      <c r="P243" s="22"/>
      <c r="Q243" s="22"/>
      <c r="R243" s="22"/>
    </row>
    <row r="244" hidden="1">
      <c r="A244" s="93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19"/>
      <c r="P244" s="22"/>
      <c r="Q244" s="22"/>
      <c r="R244" s="22"/>
    </row>
    <row r="245" hidden="1">
      <c r="A245" s="93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19"/>
      <c r="P245" s="22"/>
      <c r="Q245" s="22"/>
      <c r="R245" s="22"/>
    </row>
    <row r="246" hidden="1">
      <c r="A246" s="93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19"/>
      <c r="P246" s="22"/>
      <c r="Q246" s="22"/>
      <c r="R246" s="22"/>
    </row>
    <row r="247" hidden="1">
      <c r="A247" s="93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19"/>
      <c r="P247" s="22"/>
      <c r="Q247" s="22"/>
      <c r="R247" s="22"/>
    </row>
    <row r="248" hidden="1">
      <c r="A248" s="93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19"/>
      <c r="P248" s="22"/>
      <c r="Q248" s="22"/>
      <c r="R248" s="22"/>
    </row>
    <row r="249" hidden="1">
      <c r="A249" s="93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19"/>
      <c r="P249" s="22"/>
      <c r="Q249" s="22"/>
      <c r="R249" s="22"/>
    </row>
    <row r="250" hidden="1">
      <c r="A250" s="93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19"/>
      <c r="P250" s="22"/>
      <c r="Q250" s="22"/>
      <c r="R250" s="22"/>
    </row>
    <row r="251" hidden="1">
      <c r="A251" s="93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19"/>
      <c r="P251" s="22"/>
      <c r="Q251" s="22"/>
      <c r="R251" s="22"/>
    </row>
    <row r="252" hidden="1">
      <c r="A252" s="93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19"/>
      <c r="P252" s="22"/>
      <c r="Q252" s="22"/>
      <c r="R252" s="22"/>
    </row>
    <row r="253" hidden="1">
      <c r="A253" s="93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19"/>
      <c r="P253" s="22"/>
      <c r="Q253" s="22"/>
      <c r="R253" s="22"/>
    </row>
    <row r="254" hidden="1">
      <c r="A254" s="93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19"/>
      <c r="P254" s="22"/>
      <c r="Q254" s="22"/>
      <c r="R254" s="22"/>
    </row>
    <row r="255" hidden="1">
      <c r="A255" s="93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19"/>
      <c r="P255" s="22"/>
      <c r="Q255" s="22"/>
      <c r="R255" s="22"/>
    </row>
    <row r="256" hidden="1">
      <c r="A256" s="93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19"/>
      <c r="P256" s="22"/>
      <c r="Q256" s="22"/>
      <c r="R256" s="22"/>
    </row>
    <row r="257" hidden="1">
      <c r="A257" s="93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19"/>
      <c r="P257" s="22"/>
      <c r="Q257" s="22"/>
      <c r="R257" s="22"/>
    </row>
    <row r="258" hidden="1">
      <c r="A258" s="93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19"/>
      <c r="P258" s="22"/>
      <c r="Q258" s="22"/>
      <c r="R258" s="22"/>
    </row>
    <row r="259" hidden="1">
      <c r="A259" s="93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19"/>
      <c r="P259" s="22"/>
      <c r="Q259" s="22"/>
      <c r="R259" s="22"/>
    </row>
    <row r="260" hidden="1">
      <c r="A260" s="93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19"/>
      <c r="P260" s="22"/>
      <c r="Q260" s="22"/>
      <c r="R260" s="22"/>
    </row>
    <row r="261" hidden="1">
      <c r="A261" s="93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19"/>
      <c r="P261" s="22"/>
      <c r="Q261" s="22"/>
      <c r="R261" s="22"/>
    </row>
    <row r="262" hidden="1">
      <c r="A262" s="93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19"/>
      <c r="P262" s="22"/>
      <c r="Q262" s="22"/>
      <c r="R262" s="22"/>
    </row>
    <row r="263" hidden="1">
      <c r="A263" s="93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19"/>
      <c r="P263" s="22"/>
      <c r="Q263" s="22"/>
      <c r="R263" s="22"/>
    </row>
    <row r="264" hidden="1">
      <c r="A264" s="93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19"/>
      <c r="P264" s="22"/>
      <c r="Q264" s="22"/>
      <c r="R264" s="22"/>
    </row>
    <row r="265" hidden="1">
      <c r="A265" s="93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19"/>
      <c r="P265" s="22"/>
      <c r="Q265" s="22"/>
      <c r="R265" s="22"/>
    </row>
    <row r="266" hidden="1">
      <c r="A266" s="93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19"/>
      <c r="P266" s="22"/>
      <c r="Q266" s="22"/>
      <c r="R266" s="22"/>
    </row>
    <row r="267" hidden="1">
      <c r="A267" s="93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19"/>
      <c r="P267" s="22"/>
      <c r="Q267" s="22"/>
      <c r="R267" s="22"/>
    </row>
    <row r="268" hidden="1">
      <c r="A268" s="93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19"/>
      <c r="P268" s="22"/>
      <c r="Q268" s="22"/>
      <c r="R268" s="22"/>
    </row>
    <row r="269" hidden="1">
      <c r="A269" s="93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19"/>
      <c r="P269" s="22"/>
      <c r="Q269" s="22"/>
      <c r="R269" s="22"/>
    </row>
    <row r="270" hidden="1">
      <c r="A270" s="93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19"/>
      <c r="P270" s="22"/>
      <c r="Q270" s="22"/>
      <c r="R270" s="22"/>
    </row>
    <row r="271" hidden="1">
      <c r="A271" s="93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19"/>
      <c r="P271" s="22"/>
      <c r="Q271" s="22"/>
      <c r="R271" s="22"/>
    </row>
    <row r="272" hidden="1">
      <c r="A272" s="93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19"/>
      <c r="P272" s="22"/>
      <c r="Q272" s="22"/>
      <c r="R272" s="22"/>
    </row>
    <row r="273" hidden="1">
      <c r="A273" s="93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19"/>
      <c r="P273" s="22"/>
      <c r="Q273" s="22"/>
      <c r="R273" s="22"/>
    </row>
    <row r="274" hidden="1">
      <c r="A274" s="93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19"/>
      <c r="P274" s="22"/>
      <c r="Q274" s="22"/>
      <c r="R274" s="22"/>
    </row>
    <row r="275" hidden="1">
      <c r="A275" s="93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19"/>
      <c r="P275" s="22"/>
      <c r="Q275" s="22"/>
      <c r="R275" s="22"/>
    </row>
    <row r="276" hidden="1">
      <c r="A276" s="93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19"/>
      <c r="P276" s="22"/>
      <c r="Q276" s="22"/>
      <c r="R276" s="22"/>
    </row>
    <row r="277" hidden="1">
      <c r="A277" s="93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19"/>
      <c r="P277" s="22"/>
      <c r="Q277" s="22"/>
      <c r="R277" s="22"/>
    </row>
    <row r="278" hidden="1">
      <c r="A278" s="93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19"/>
      <c r="P278" s="22"/>
      <c r="Q278" s="22"/>
      <c r="R278" s="22"/>
    </row>
    <row r="279" hidden="1">
      <c r="A279" s="93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19"/>
      <c r="P279" s="22"/>
      <c r="Q279" s="22"/>
      <c r="R279" s="22"/>
    </row>
    <row r="280" hidden="1">
      <c r="A280" s="93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19"/>
      <c r="P280" s="22"/>
      <c r="Q280" s="22"/>
      <c r="R280" s="22"/>
    </row>
    <row r="281" hidden="1">
      <c r="A281" s="93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19"/>
      <c r="P281" s="22"/>
      <c r="Q281" s="22"/>
      <c r="R281" s="22"/>
    </row>
    <row r="282" hidden="1">
      <c r="A282" s="93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19"/>
      <c r="P282" s="22"/>
      <c r="Q282" s="22"/>
      <c r="R282" s="22"/>
    </row>
    <row r="283" hidden="1">
      <c r="A283" s="93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19"/>
      <c r="P283" s="22"/>
      <c r="Q283" s="22"/>
      <c r="R283" s="22"/>
    </row>
    <row r="284" hidden="1">
      <c r="A284" s="93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19"/>
      <c r="P284" s="22"/>
      <c r="Q284" s="22"/>
      <c r="R284" s="22"/>
    </row>
    <row r="285" hidden="1">
      <c r="A285" s="93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19"/>
      <c r="P285" s="22"/>
      <c r="Q285" s="22"/>
      <c r="R285" s="22"/>
    </row>
    <row r="286" hidden="1">
      <c r="A286" s="93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19"/>
      <c r="P286" s="22"/>
      <c r="Q286" s="22"/>
      <c r="R286" s="22"/>
    </row>
    <row r="287" hidden="1">
      <c r="A287" s="93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19"/>
      <c r="P287" s="22"/>
      <c r="Q287" s="22"/>
      <c r="R287" s="22"/>
    </row>
    <row r="288" hidden="1">
      <c r="A288" s="93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19"/>
      <c r="P288" s="22"/>
      <c r="Q288" s="22"/>
      <c r="R288" s="22"/>
    </row>
    <row r="289" hidden="1">
      <c r="A289" s="93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19"/>
      <c r="P289" s="22"/>
      <c r="Q289" s="22"/>
      <c r="R289" s="22"/>
    </row>
    <row r="290" hidden="1">
      <c r="A290" s="93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19"/>
      <c r="P290" s="22"/>
      <c r="Q290" s="22"/>
      <c r="R290" s="22"/>
    </row>
    <row r="291" hidden="1">
      <c r="A291" s="93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19"/>
      <c r="P291" s="22"/>
      <c r="Q291" s="22"/>
      <c r="R291" s="22"/>
    </row>
    <row r="292" hidden="1">
      <c r="A292" s="93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19"/>
      <c r="P292" s="22"/>
      <c r="Q292" s="22"/>
      <c r="R292" s="22"/>
    </row>
    <row r="293" hidden="1">
      <c r="A293" s="93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19"/>
      <c r="P293" s="22"/>
      <c r="Q293" s="22"/>
      <c r="R293" s="22"/>
    </row>
    <row r="294" hidden="1">
      <c r="A294" s="93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19"/>
      <c r="P294" s="22"/>
      <c r="Q294" s="22"/>
      <c r="R294" s="22"/>
    </row>
    <row r="295" hidden="1">
      <c r="A295" s="93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19"/>
      <c r="P295" s="22"/>
      <c r="Q295" s="22"/>
      <c r="R295" s="22"/>
    </row>
    <row r="296" hidden="1">
      <c r="A296" s="93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19"/>
      <c r="P296" s="22"/>
      <c r="Q296" s="22"/>
      <c r="R296" s="22"/>
    </row>
    <row r="297" hidden="1">
      <c r="A297" s="93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19"/>
      <c r="P297" s="22"/>
      <c r="Q297" s="22"/>
      <c r="R297" s="22"/>
    </row>
    <row r="298" hidden="1">
      <c r="A298" s="93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19"/>
      <c r="P298" s="22"/>
      <c r="Q298" s="22"/>
      <c r="R298" s="22"/>
    </row>
    <row r="299" hidden="1">
      <c r="A299" s="93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19"/>
      <c r="P299" s="22"/>
      <c r="Q299" s="22"/>
      <c r="R299" s="22"/>
    </row>
    <row r="300" hidden="1">
      <c r="A300" s="93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19"/>
      <c r="P300" s="22"/>
      <c r="Q300" s="22"/>
      <c r="R300" s="22"/>
    </row>
    <row r="301" hidden="1">
      <c r="A301" s="93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19"/>
      <c r="P301" s="22"/>
      <c r="Q301" s="22"/>
      <c r="R301" s="22"/>
    </row>
    <row r="302" hidden="1">
      <c r="A302" s="93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19"/>
      <c r="P302" s="22"/>
      <c r="Q302" s="22"/>
      <c r="R302" s="22"/>
    </row>
    <row r="303" hidden="1">
      <c r="A303" s="93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19"/>
      <c r="P303" s="22"/>
      <c r="Q303" s="22"/>
      <c r="R303" s="22"/>
    </row>
    <row r="304" hidden="1">
      <c r="A304" s="93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19"/>
      <c r="P304" s="22"/>
      <c r="Q304" s="22"/>
      <c r="R304" s="22"/>
    </row>
    <row r="305" hidden="1">
      <c r="A305" s="93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19"/>
      <c r="P305" s="22"/>
      <c r="Q305" s="22"/>
      <c r="R305" s="22"/>
    </row>
    <row r="306" hidden="1">
      <c r="A306" s="93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19"/>
      <c r="P306" s="22"/>
      <c r="Q306" s="22"/>
      <c r="R306" s="22"/>
    </row>
    <row r="307" hidden="1">
      <c r="A307" s="93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19"/>
      <c r="P307" s="22"/>
      <c r="Q307" s="22"/>
      <c r="R307" s="22"/>
    </row>
    <row r="308" hidden="1">
      <c r="A308" s="93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19"/>
      <c r="P308" s="22"/>
      <c r="Q308" s="22"/>
      <c r="R308" s="22"/>
    </row>
    <row r="309" hidden="1">
      <c r="A309" s="93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19"/>
      <c r="P309" s="22"/>
      <c r="Q309" s="22"/>
      <c r="R309" s="22"/>
    </row>
    <row r="310" hidden="1">
      <c r="A310" s="93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19"/>
      <c r="P310" s="22"/>
      <c r="Q310" s="22"/>
      <c r="R310" s="22"/>
    </row>
    <row r="311" hidden="1">
      <c r="A311" s="93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19"/>
      <c r="P311" s="22"/>
      <c r="Q311" s="22"/>
      <c r="R311" s="22"/>
    </row>
    <row r="312" hidden="1">
      <c r="A312" s="93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19"/>
      <c r="P312" s="22"/>
      <c r="Q312" s="22"/>
      <c r="R312" s="22"/>
    </row>
    <row r="313" hidden="1">
      <c r="A313" s="93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19"/>
      <c r="P313" s="22"/>
      <c r="Q313" s="22"/>
      <c r="R313" s="22"/>
    </row>
    <row r="314" hidden="1">
      <c r="A314" s="93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19"/>
      <c r="P314" s="22"/>
      <c r="Q314" s="22"/>
      <c r="R314" s="22"/>
    </row>
    <row r="315" hidden="1">
      <c r="A315" s="93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19"/>
      <c r="P315" s="22"/>
      <c r="Q315" s="22"/>
      <c r="R315" s="22"/>
    </row>
    <row r="316" hidden="1">
      <c r="A316" s="93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19"/>
      <c r="P316" s="22"/>
      <c r="Q316" s="22"/>
      <c r="R316" s="22"/>
    </row>
    <row r="317" hidden="1">
      <c r="A317" s="93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19"/>
      <c r="P317" s="22"/>
      <c r="Q317" s="22"/>
      <c r="R317" s="22"/>
    </row>
    <row r="318" hidden="1">
      <c r="A318" s="93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19"/>
      <c r="P318" s="22"/>
      <c r="Q318" s="22"/>
      <c r="R318" s="22"/>
    </row>
    <row r="319" hidden="1">
      <c r="A319" s="93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19"/>
      <c r="P319" s="22"/>
      <c r="Q319" s="22"/>
      <c r="R319" s="22"/>
    </row>
    <row r="320" hidden="1">
      <c r="A320" s="93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19"/>
      <c r="P320" s="22"/>
      <c r="Q320" s="22"/>
      <c r="R320" s="22"/>
    </row>
    <row r="321" hidden="1">
      <c r="A321" s="93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19"/>
      <c r="P321" s="22"/>
      <c r="Q321" s="22"/>
      <c r="R321" s="22"/>
    </row>
    <row r="322" hidden="1">
      <c r="A322" s="93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19"/>
      <c r="P322" s="22"/>
      <c r="Q322" s="22"/>
      <c r="R322" s="22"/>
    </row>
    <row r="323" hidden="1">
      <c r="A323" s="93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19"/>
      <c r="P323" s="22"/>
      <c r="Q323" s="22"/>
      <c r="R323" s="22"/>
    </row>
    <row r="324" hidden="1">
      <c r="A324" s="93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19"/>
      <c r="P324" s="22"/>
      <c r="Q324" s="22"/>
      <c r="R324" s="22"/>
    </row>
    <row r="325" hidden="1">
      <c r="A325" s="93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19"/>
      <c r="P325" s="22"/>
      <c r="Q325" s="22"/>
      <c r="R325" s="22"/>
    </row>
    <row r="326" hidden="1">
      <c r="A326" s="93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19"/>
      <c r="P326" s="22"/>
      <c r="Q326" s="22"/>
      <c r="R326" s="22"/>
    </row>
    <row r="327" hidden="1">
      <c r="A327" s="93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19"/>
      <c r="P327" s="22"/>
      <c r="Q327" s="22"/>
      <c r="R327" s="22"/>
    </row>
    <row r="328" hidden="1">
      <c r="A328" s="93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19"/>
      <c r="P328" s="22"/>
      <c r="Q328" s="22"/>
      <c r="R328" s="22"/>
    </row>
    <row r="329" hidden="1">
      <c r="A329" s="93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19"/>
      <c r="P329" s="22"/>
      <c r="Q329" s="22"/>
      <c r="R329" s="22"/>
    </row>
    <row r="330" hidden="1">
      <c r="A330" s="93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19"/>
      <c r="P330" s="22"/>
      <c r="Q330" s="22"/>
      <c r="R330" s="22"/>
    </row>
    <row r="331" hidden="1">
      <c r="A331" s="93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19"/>
      <c r="P331" s="22"/>
      <c r="Q331" s="22"/>
      <c r="R331" s="22"/>
    </row>
    <row r="332" hidden="1">
      <c r="A332" s="93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19"/>
      <c r="P332" s="22"/>
      <c r="Q332" s="22"/>
      <c r="R332" s="22"/>
    </row>
    <row r="333" hidden="1">
      <c r="A333" s="93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19"/>
      <c r="P333" s="22"/>
      <c r="Q333" s="22"/>
      <c r="R333" s="22"/>
    </row>
    <row r="334" hidden="1">
      <c r="A334" s="93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19"/>
      <c r="P334" s="22"/>
      <c r="Q334" s="22"/>
      <c r="R334" s="22"/>
    </row>
    <row r="335" hidden="1">
      <c r="A335" s="93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19"/>
      <c r="P335" s="22"/>
      <c r="Q335" s="22"/>
      <c r="R335" s="22"/>
    </row>
    <row r="336" hidden="1">
      <c r="A336" s="93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19"/>
      <c r="P336" s="22"/>
      <c r="Q336" s="22"/>
      <c r="R336" s="22"/>
    </row>
    <row r="337" hidden="1">
      <c r="A337" s="93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19"/>
      <c r="P337" s="22"/>
      <c r="Q337" s="22"/>
      <c r="R337" s="22"/>
    </row>
    <row r="338" hidden="1">
      <c r="A338" s="93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19"/>
      <c r="P338" s="22"/>
      <c r="Q338" s="22"/>
      <c r="R338" s="22"/>
    </row>
    <row r="339" hidden="1">
      <c r="A339" s="93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19"/>
      <c r="P339" s="22"/>
      <c r="Q339" s="22"/>
      <c r="R339" s="22"/>
    </row>
    <row r="340" hidden="1">
      <c r="A340" s="93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19"/>
      <c r="P340" s="22"/>
      <c r="Q340" s="22"/>
      <c r="R340" s="22"/>
    </row>
    <row r="341" hidden="1">
      <c r="A341" s="93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19"/>
      <c r="P341" s="22"/>
      <c r="Q341" s="22"/>
      <c r="R341" s="22"/>
    </row>
    <row r="342" hidden="1">
      <c r="A342" s="93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19"/>
      <c r="P342" s="22"/>
      <c r="Q342" s="22"/>
      <c r="R342" s="22"/>
    </row>
    <row r="343" hidden="1">
      <c r="A343" s="93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19"/>
      <c r="P343" s="22"/>
      <c r="Q343" s="22"/>
      <c r="R343" s="22"/>
    </row>
    <row r="344" hidden="1">
      <c r="A344" s="93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19"/>
      <c r="P344" s="22"/>
      <c r="Q344" s="22"/>
      <c r="R344" s="22"/>
    </row>
    <row r="345" hidden="1">
      <c r="A345" s="93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19"/>
      <c r="P345" s="22"/>
      <c r="Q345" s="22"/>
      <c r="R345" s="22"/>
    </row>
    <row r="346" hidden="1">
      <c r="A346" s="93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19"/>
      <c r="P346" s="22"/>
      <c r="Q346" s="22"/>
      <c r="R346" s="22"/>
    </row>
    <row r="347" hidden="1">
      <c r="A347" s="93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19"/>
      <c r="P347" s="22"/>
      <c r="Q347" s="22"/>
      <c r="R347" s="22"/>
    </row>
    <row r="348" hidden="1">
      <c r="A348" s="93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19"/>
      <c r="P348" s="22"/>
      <c r="Q348" s="22"/>
      <c r="R348" s="22"/>
    </row>
    <row r="349" hidden="1">
      <c r="A349" s="93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19"/>
      <c r="P349" s="22"/>
      <c r="Q349" s="22"/>
      <c r="R349" s="22"/>
    </row>
    <row r="350" hidden="1">
      <c r="A350" s="93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19"/>
      <c r="P350" s="22"/>
      <c r="Q350" s="22"/>
      <c r="R350" s="22"/>
    </row>
    <row r="351" hidden="1">
      <c r="A351" s="93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19"/>
      <c r="P351" s="22"/>
      <c r="Q351" s="22"/>
      <c r="R351" s="22"/>
    </row>
    <row r="352" hidden="1">
      <c r="A352" s="93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19"/>
      <c r="P352" s="22"/>
      <c r="Q352" s="22"/>
      <c r="R352" s="22"/>
    </row>
    <row r="353" hidden="1">
      <c r="A353" s="93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19"/>
      <c r="P353" s="22"/>
      <c r="Q353" s="22"/>
      <c r="R353" s="22"/>
    </row>
    <row r="354" hidden="1">
      <c r="A354" s="93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19"/>
      <c r="P354" s="22"/>
      <c r="Q354" s="22"/>
      <c r="R354" s="22"/>
    </row>
    <row r="355" hidden="1">
      <c r="A355" s="93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19"/>
      <c r="P355" s="22"/>
      <c r="Q355" s="22"/>
      <c r="R355" s="22"/>
    </row>
    <row r="356" hidden="1">
      <c r="A356" s="93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19"/>
      <c r="P356" s="22"/>
      <c r="Q356" s="22"/>
      <c r="R356" s="22"/>
    </row>
    <row r="357" hidden="1">
      <c r="A357" s="93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19"/>
      <c r="P357" s="22"/>
      <c r="Q357" s="22"/>
      <c r="R357" s="22"/>
    </row>
    <row r="358" hidden="1">
      <c r="A358" s="93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19"/>
      <c r="P358" s="22"/>
      <c r="Q358" s="22"/>
      <c r="R358" s="22"/>
    </row>
    <row r="359" hidden="1">
      <c r="A359" s="93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19"/>
      <c r="P359" s="22"/>
      <c r="Q359" s="22"/>
      <c r="R359" s="22"/>
    </row>
    <row r="360" hidden="1">
      <c r="A360" s="93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19"/>
      <c r="P360" s="22"/>
      <c r="Q360" s="22"/>
      <c r="R360" s="22"/>
    </row>
    <row r="361" hidden="1">
      <c r="A361" s="93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19"/>
      <c r="P361" s="22"/>
      <c r="Q361" s="22"/>
      <c r="R361" s="22"/>
    </row>
    <row r="362" hidden="1">
      <c r="A362" s="93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19"/>
      <c r="P362" s="22"/>
      <c r="Q362" s="22"/>
      <c r="R362" s="22"/>
    </row>
    <row r="363" hidden="1">
      <c r="A363" s="93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19"/>
      <c r="P363" s="22"/>
      <c r="Q363" s="22"/>
      <c r="R363" s="22"/>
    </row>
    <row r="364" hidden="1">
      <c r="A364" s="93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19"/>
      <c r="P364" s="22"/>
      <c r="Q364" s="22"/>
      <c r="R364" s="22"/>
    </row>
    <row r="365" hidden="1">
      <c r="A365" s="93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19"/>
      <c r="P365" s="22"/>
      <c r="Q365" s="22"/>
      <c r="R365" s="22"/>
    </row>
    <row r="366" hidden="1">
      <c r="A366" s="93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19"/>
      <c r="P366" s="22"/>
      <c r="Q366" s="22"/>
      <c r="R366" s="22"/>
    </row>
    <row r="367" hidden="1">
      <c r="A367" s="93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19"/>
      <c r="P367" s="22"/>
      <c r="Q367" s="22"/>
      <c r="R367" s="22"/>
    </row>
    <row r="368" hidden="1">
      <c r="A368" s="93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19"/>
      <c r="P368" s="22"/>
      <c r="Q368" s="22"/>
      <c r="R368" s="22"/>
    </row>
    <row r="369" hidden="1">
      <c r="A369" s="93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19"/>
      <c r="P369" s="22"/>
      <c r="Q369" s="22"/>
      <c r="R369" s="22"/>
    </row>
    <row r="370" hidden="1">
      <c r="A370" s="93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19"/>
      <c r="P370" s="22"/>
      <c r="Q370" s="22"/>
      <c r="R370" s="22"/>
    </row>
    <row r="371" hidden="1">
      <c r="A371" s="93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19"/>
      <c r="P371" s="22"/>
      <c r="Q371" s="22"/>
      <c r="R371" s="22"/>
    </row>
    <row r="372" hidden="1">
      <c r="A372" s="93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19"/>
      <c r="P372" s="22"/>
      <c r="Q372" s="22"/>
      <c r="R372" s="22"/>
    </row>
    <row r="373" hidden="1">
      <c r="A373" s="93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19"/>
      <c r="P373" s="22"/>
      <c r="Q373" s="22"/>
      <c r="R373" s="22"/>
    </row>
    <row r="374" hidden="1">
      <c r="A374" s="93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19"/>
      <c r="P374" s="22"/>
      <c r="Q374" s="22"/>
      <c r="R374" s="22"/>
    </row>
    <row r="375" hidden="1">
      <c r="A375" s="93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19"/>
      <c r="P375" s="22"/>
      <c r="Q375" s="22"/>
      <c r="R375" s="22"/>
    </row>
    <row r="376" hidden="1">
      <c r="A376" s="93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19"/>
      <c r="P376" s="22"/>
      <c r="Q376" s="22"/>
      <c r="R376" s="22"/>
    </row>
    <row r="377" hidden="1">
      <c r="A377" s="93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19"/>
      <c r="P377" s="22"/>
      <c r="Q377" s="22"/>
      <c r="R377" s="22"/>
    </row>
    <row r="378" hidden="1">
      <c r="A378" s="93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19"/>
      <c r="P378" s="22"/>
      <c r="Q378" s="22"/>
      <c r="R378" s="22"/>
    </row>
    <row r="379" hidden="1">
      <c r="A379" s="93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19"/>
      <c r="P379" s="22"/>
      <c r="Q379" s="22"/>
      <c r="R379" s="22"/>
    </row>
    <row r="380" hidden="1">
      <c r="A380" s="93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19"/>
      <c r="P380" s="22"/>
      <c r="Q380" s="22"/>
      <c r="R380" s="22"/>
    </row>
    <row r="381" hidden="1">
      <c r="A381" s="93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19"/>
      <c r="P381" s="22"/>
      <c r="Q381" s="22"/>
      <c r="R381" s="22"/>
    </row>
    <row r="382" hidden="1">
      <c r="A382" s="93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19"/>
      <c r="P382" s="22"/>
      <c r="Q382" s="22"/>
      <c r="R382" s="22"/>
    </row>
    <row r="383" hidden="1">
      <c r="A383" s="93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19"/>
      <c r="P383" s="22"/>
      <c r="Q383" s="22"/>
      <c r="R383" s="22"/>
    </row>
    <row r="384" hidden="1">
      <c r="A384" s="93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19"/>
      <c r="P384" s="22"/>
      <c r="Q384" s="22"/>
      <c r="R384" s="22"/>
    </row>
    <row r="385" hidden="1">
      <c r="A385" s="93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19"/>
      <c r="P385" s="22"/>
      <c r="Q385" s="22"/>
      <c r="R385" s="22"/>
    </row>
    <row r="386" hidden="1">
      <c r="A386" s="93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19"/>
      <c r="P386" s="22"/>
      <c r="Q386" s="22"/>
      <c r="R386" s="22"/>
    </row>
    <row r="387" hidden="1">
      <c r="A387" s="93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19"/>
      <c r="P387" s="22"/>
      <c r="Q387" s="22"/>
      <c r="R387" s="22"/>
    </row>
    <row r="388" hidden="1">
      <c r="A388" s="93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19"/>
      <c r="P388" s="22"/>
      <c r="Q388" s="22"/>
      <c r="R388" s="22"/>
    </row>
    <row r="389" hidden="1">
      <c r="A389" s="93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19"/>
      <c r="P389" s="22"/>
      <c r="Q389" s="22"/>
      <c r="R389" s="22"/>
    </row>
    <row r="390" hidden="1">
      <c r="A390" s="93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19"/>
      <c r="P390" s="22"/>
      <c r="Q390" s="22"/>
      <c r="R390" s="22"/>
    </row>
    <row r="391" hidden="1">
      <c r="A391" s="93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19"/>
      <c r="P391" s="22"/>
      <c r="Q391" s="22"/>
      <c r="R391" s="22"/>
    </row>
    <row r="392" hidden="1">
      <c r="A392" s="93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19"/>
      <c r="P392" s="22"/>
      <c r="Q392" s="22"/>
      <c r="R392" s="22"/>
    </row>
    <row r="393" hidden="1">
      <c r="A393" s="93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19"/>
      <c r="P393" s="22"/>
      <c r="Q393" s="22"/>
      <c r="R393" s="22"/>
    </row>
    <row r="394" hidden="1">
      <c r="A394" s="93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19"/>
      <c r="P394" s="22"/>
      <c r="Q394" s="22"/>
      <c r="R394" s="22"/>
    </row>
    <row r="395" hidden="1">
      <c r="A395" s="93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19"/>
      <c r="P395" s="22"/>
      <c r="Q395" s="22"/>
      <c r="R395" s="22"/>
    </row>
    <row r="396" hidden="1">
      <c r="A396" s="93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19"/>
      <c r="P396" s="22"/>
      <c r="Q396" s="22"/>
      <c r="R396" s="22"/>
    </row>
    <row r="397" hidden="1">
      <c r="A397" s="93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19"/>
      <c r="P397" s="22"/>
      <c r="Q397" s="22"/>
      <c r="R397" s="22"/>
    </row>
    <row r="398" hidden="1">
      <c r="A398" s="93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19"/>
      <c r="P398" s="22"/>
      <c r="Q398" s="22"/>
      <c r="R398" s="22"/>
    </row>
    <row r="399" hidden="1">
      <c r="A399" s="93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19"/>
      <c r="P399" s="22"/>
      <c r="Q399" s="22"/>
      <c r="R399" s="22"/>
    </row>
    <row r="400" hidden="1">
      <c r="A400" s="93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19"/>
      <c r="P400" s="22"/>
      <c r="Q400" s="22"/>
      <c r="R400" s="22"/>
    </row>
    <row r="401" hidden="1">
      <c r="A401" s="93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19"/>
      <c r="P401" s="22"/>
      <c r="Q401" s="22"/>
      <c r="R401" s="22"/>
    </row>
    <row r="402" hidden="1">
      <c r="A402" s="93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19"/>
      <c r="P402" s="22"/>
      <c r="Q402" s="22"/>
      <c r="R402" s="22"/>
    </row>
    <row r="403" hidden="1">
      <c r="A403" s="93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19"/>
      <c r="P403" s="22"/>
      <c r="Q403" s="22"/>
      <c r="R403" s="22"/>
    </row>
    <row r="404" hidden="1">
      <c r="A404" s="93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19"/>
      <c r="P404" s="22"/>
      <c r="Q404" s="22"/>
      <c r="R404" s="22"/>
    </row>
    <row r="405" hidden="1">
      <c r="A405" s="93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19"/>
      <c r="P405" s="22"/>
      <c r="Q405" s="22"/>
      <c r="R405" s="22"/>
    </row>
    <row r="406" hidden="1">
      <c r="A406" s="93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19"/>
      <c r="P406" s="22"/>
      <c r="Q406" s="22"/>
      <c r="R406" s="22"/>
    </row>
    <row r="407" hidden="1">
      <c r="A407" s="93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19"/>
      <c r="P407" s="22"/>
      <c r="Q407" s="22"/>
      <c r="R407" s="22"/>
    </row>
    <row r="408" hidden="1">
      <c r="A408" s="93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19"/>
      <c r="P408" s="22"/>
      <c r="Q408" s="22"/>
      <c r="R408" s="22"/>
    </row>
    <row r="409" hidden="1">
      <c r="A409" s="93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19"/>
      <c r="P409" s="22"/>
      <c r="Q409" s="22"/>
      <c r="R409" s="22"/>
    </row>
    <row r="410" hidden="1">
      <c r="A410" s="93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19"/>
      <c r="P410" s="22"/>
      <c r="Q410" s="22"/>
      <c r="R410" s="22"/>
    </row>
    <row r="411" hidden="1">
      <c r="A411" s="93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19"/>
      <c r="P411" s="22"/>
      <c r="Q411" s="22"/>
      <c r="R411" s="22"/>
    </row>
    <row r="412" hidden="1">
      <c r="A412" s="93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19"/>
      <c r="P412" s="22"/>
      <c r="Q412" s="22"/>
      <c r="R412" s="22"/>
    </row>
    <row r="413" hidden="1">
      <c r="A413" s="93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19"/>
      <c r="P413" s="22"/>
      <c r="Q413" s="22"/>
      <c r="R413" s="22"/>
    </row>
    <row r="414" hidden="1">
      <c r="A414" s="93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19"/>
      <c r="P414" s="22"/>
      <c r="Q414" s="22"/>
      <c r="R414" s="22"/>
    </row>
    <row r="415" hidden="1">
      <c r="A415" s="93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19"/>
      <c r="P415" s="22"/>
      <c r="Q415" s="22"/>
      <c r="R415" s="22"/>
    </row>
    <row r="416" hidden="1">
      <c r="A416" s="93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19"/>
      <c r="P416" s="22"/>
      <c r="Q416" s="22"/>
      <c r="R416" s="22"/>
    </row>
    <row r="417" hidden="1">
      <c r="A417" s="93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19"/>
      <c r="P417" s="22"/>
      <c r="Q417" s="22"/>
      <c r="R417" s="22"/>
    </row>
    <row r="418" hidden="1">
      <c r="A418" s="93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19"/>
      <c r="P418" s="22"/>
      <c r="Q418" s="22"/>
      <c r="R418" s="22"/>
    </row>
    <row r="419" hidden="1">
      <c r="A419" s="93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19"/>
      <c r="P419" s="22"/>
      <c r="Q419" s="22"/>
      <c r="R419" s="22"/>
    </row>
    <row r="420" hidden="1">
      <c r="A420" s="93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19"/>
      <c r="P420" s="22"/>
      <c r="Q420" s="22"/>
      <c r="R420" s="22"/>
    </row>
    <row r="421" hidden="1">
      <c r="A421" s="93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19"/>
      <c r="P421" s="22"/>
      <c r="Q421" s="22"/>
      <c r="R421" s="22"/>
    </row>
    <row r="422" hidden="1">
      <c r="A422" s="93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19"/>
      <c r="P422" s="22"/>
      <c r="Q422" s="22"/>
      <c r="R422" s="22"/>
    </row>
    <row r="423" hidden="1">
      <c r="A423" s="93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19"/>
      <c r="P423" s="22"/>
      <c r="Q423" s="22"/>
      <c r="R423" s="22"/>
    </row>
    <row r="424" hidden="1">
      <c r="A424" s="93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19"/>
      <c r="P424" s="22"/>
      <c r="Q424" s="22"/>
      <c r="R424" s="22"/>
    </row>
    <row r="425" hidden="1">
      <c r="A425" s="93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19"/>
      <c r="P425" s="22"/>
      <c r="Q425" s="22"/>
      <c r="R425" s="22"/>
    </row>
    <row r="426" hidden="1">
      <c r="A426" s="93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19"/>
      <c r="P426" s="22"/>
      <c r="Q426" s="22"/>
      <c r="R426" s="22"/>
    </row>
    <row r="427" hidden="1">
      <c r="A427" s="93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19"/>
      <c r="P427" s="22"/>
      <c r="Q427" s="22"/>
      <c r="R427" s="22"/>
    </row>
    <row r="428" hidden="1">
      <c r="A428" s="93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19"/>
      <c r="P428" s="22"/>
      <c r="Q428" s="22"/>
      <c r="R428" s="22"/>
    </row>
    <row r="429" hidden="1">
      <c r="A429" s="93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19"/>
      <c r="P429" s="22"/>
      <c r="Q429" s="22"/>
      <c r="R429" s="22"/>
    </row>
    <row r="430" hidden="1">
      <c r="A430" s="93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19"/>
      <c r="P430" s="22"/>
      <c r="Q430" s="22"/>
      <c r="R430" s="22"/>
    </row>
    <row r="431" hidden="1">
      <c r="A431" s="93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19"/>
      <c r="P431" s="22"/>
      <c r="Q431" s="22"/>
      <c r="R431" s="22"/>
    </row>
    <row r="432" hidden="1">
      <c r="A432" s="93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19"/>
      <c r="P432" s="22"/>
      <c r="Q432" s="22"/>
      <c r="R432" s="22"/>
    </row>
    <row r="433" hidden="1">
      <c r="A433" s="93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19"/>
      <c r="P433" s="22"/>
      <c r="Q433" s="22"/>
      <c r="R433" s="22"/>
    </row>
    <row r="434" hidden="1">
      <c r="A434" s="93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19"/>
      <c r="P434" s="22"/>
      <c r="Q434" s="22"/>
      <c r="R434" s="22"/>
    </row>
    <row r="435" hidden="1">
      <c r="A435" s="93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19"/>
      <c r="P435" s="22"/>
      <c r="Q435" s="22"/>
      <c r="R435" s="22"/>
    </row>
    <row r="436" hidden="1">
      <c r="A436" s="93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19"/>
      <c r="P436" s="22"/>
      <c r="Q436" s="22"/>
      <c r="R436" s="22"/>
    </row>
    <row r="437" hidden="1">
      <c r="A437" s="93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19"/>
      <c r="P437" s="22"/>
      <c r="Q437" s="22"/>
      <c r="R437" s="22"/>
    </row>
    <row r="438" hidden="1">
      <c r="A438" s="93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19"/>
      <c r="P438" s="22"/>
      <c r="Q438" s="22"/>
      <c r="R438" s="22"/>
    </row>
    <row r="439" hidden="1">
      <c r="A439" s="93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19"/>
      <c r="P439" s="22"/>
      <c r="Q439" s="22"/>
      <c r="R439" s="22"/>
    </row>
    <row r="440" hidden="1">
      <c r="A440" s="93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19"/>
      <c r="P440" s="22"/>
      <c r="Q440" s="22"/>
      <c r="R440" s="22"/>
    </row>
    <row r="441" hidden="1">
      <c r="A441" s="93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19"/>
      <c r="P441" s="22"/>
      <c r="Q441" s="22"/>
      <c r="R441" s="22"/>
    </row>
    <row r="442" hidden="1">
      <c r="A442" s="93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19"/>
      <c r="P442" s="22"/>
      <c r="Q442" s="22"/>
      <c r="R442" s="22"/>
    </row>
    <row r="443" hidden="1">
      <c r="A443" s="93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19"/>
      <c r="P443" s="22"/>
      <c r="Q443" s="22"/>
      <c r="R443" s="22"/>
    </row>
    <row r="444" hidden="1">
      <c r="A444" s="93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19"/>
      <c r="P444" s="22"/>
      <c r="Q444" s="22"/>
      <c r="R444" s="22"/>
    </row>
    <row r="445" hidden="1">
      <c r="A445" s="93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19"/>
      <c r="P445" s="22"/>
      <c r="Q445" s="22"/>
      <c r="R445" s="22"/>
    </row>
    <row r="446" hidden="1">
      <c r="A446" s="93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19"/>
      <c r="P446" s="22"/>
      <c r="Q446" s="22"/>
      <c r="R446" s="22"/>
    </row>
    <row r="447" hidden="1">
      <c r="A447" s="93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19"/>
      <c r="P447" s="22"/>
      <c r="Q447" s="22"/>
      <c r="R447" s="22"/>
    </row>
    <row r="448" hidden="1">
      <c r="A448" s="93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19"/>
      <c r="P448" s="22"/>
      <c r="Q448" s="22"/>
      <c r="R448" s="22"/>
    </row>
    <row r="449" hidden="1">
      <c r="A449" s="93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19"/>
      <c r="P449" s="22"/>
      <c r="Q449" s="22"/>
      <c r="R449" s="22"/>
    </row>
    <row r="450" hidden="1">
      <c r="A450" s="93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19"/>
      <c r="P450" s="22"/>
      <c r="Q450" s="22"/>
      <c r="R450" s="22"/>
    </row>
    <row r="451" hidden="1">
      <c r="A451" s="93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19"/>
      <c r="P451" s="22"/>
      <c r="Q451" s="22"/>
      <c r="R451" s="22"/>
    </row>
    <row r="452" hidden="1">
      <c r="A452" s="93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19"/>
      <c r="P452" s="22"/>
      <c r="Q452" s="22"/>
      <c r="R452" s="22"/>
    </row>
    <row r="453" hidden="1">
      <c r="A453" s="93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19"/>
      <c r="P453" s="22"/>
      <c r="Q453" s="22"/>
      <c r="R453" s="22"/>
    </row>
    <row r="454" hidden="1">
      <c r="A454" s="93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19"/>
      <c r="P454" s="22"/>
      <c r="Q454" s="22"/>
      <c r="R454" s="22"/>
    </row>
    <row r="455" hidden="1">
      <c r="A455" s="93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19"/>
      <c r="P455" s="22"/>
      <c r="Q455" s="22"/>
      <c r="R455" s="22"/>
    </row>
    <row r="456" hidden="1">
      <c r="A456" s="93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19"/>
      <c r="P456" s="22"/>
      <c r="Q456" s="22"/>
      <c r="R456" s="22"/>
    </row>
    <row r="457" hidden="1">
      <c r="A457" s="93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19"/>
      <c r="P457" s="22"/>
      <c r="Q457" s="22"/>
      <c r="R457" s="22"/>
    </row>
    <row r="458" hidden="1">
      <c r="A458" s="93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19"/>
      <c r="P458" s="22"/>
      <c r="Q458" s="22"/>
      <c r="R458" s="22"/>
    </row>
    <row r="459" hidden="1">
      <c r="A459" s="93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19"/>
      <c r="P459" s="22"/>
      <c r="Q459" s="22"/>
      <c r="R459" s="22"/>
    </row>
    <row r="460" hidden="1">
      <c r="A460" s="93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19"/>
      <c r="P460" s="22"/>
      <c r="Q460" s="22"/>
      <c r="R460" s="22"/>
    </row>
    <row r="461" hidden="1">
      <c r="A461" s="93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19"/>
      <c r="P461" s="22"/>
      <c r="Q461" s="22"/>
      <c r="R461" s="22"/>
    </row>
    <row r="462" hidden="1">
      <c r="A462" s="93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19"/>
      <c r="P462" s="22"/>
      <c r="Q462" s="22"/>
      <c r="R462" s="22"/>
    </row>
    <row r="463" hidden="1">
      <c r="A463" s="93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19"/>
      <c r="P463" s="22"/>
      <c r="Q463" s="22"/>
      <c r="R463" s="22"/>
    </row>
    <row r="464" hidden="1">
      <c r="A464" s="93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19"/>
      <c r="P464" s="22"/>
      <c r="Q464" s="22"/>
      <c r="R464" s="22"/>
    </row>
    <row r="465" hidden="1">
      <c r="A465" s="93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19"/>
      <c r="P465" s="22"/>
      <c r="Q465" s="22"/>
      <c r="R465" s="22"/>
    </row>
    <row r="466" hidden="1">
      <c r="A466" s="93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19"/>
      <c r="P466" s="22"/>
      <c r="Q466" s="22"/>
      <c r="R466" s="22"/>
    </row>
    <row r="467" hidden="1">
      <c r="A467" s="93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19"/>
      <c r="P467" s="22"/>
      <c r="Q467" s="22"/>
      <c r="R467" s="22"/>
    </row>
    <row r="468" hidden="1">
      <c r="A468" s="93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19"/>
      <c r="P468" s="22"/>
      <c r="Q468" s="22"/>
      <c r="R468" s="22"/>
    </row>
    <row r="469" hidden="1">
      <c r="A469" s="93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19"/>
      <c r="P469" s="22"/>
      <c r="Q469" s="22"/>
      <c r="R469" s="22"/>
    </row>
    <row r="470" hidden="1">
      <c r="A470" s="93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19"/>
      <c r="P470" s="22"/>
      <c r="Q470" s="22"/>
      <c r="R470" s="22"/>
    </row>
    <row r="471" hidden="1">
      <c r="A471" s="93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19"/>
      <c r="P471" s="22"/>
      <c r="Q471" s="22"/>
      <c r="R471" s="22"/>
    </row>
    <row r="472" hidden="1">
      <c r="A472" s="93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19"/>
      <c r="P472" s="22"/>
      <c r="Q472" s="22"/>
      <c r="R472" s="22"/>
    </row>
    <row r="473" hidden="1">
      <c r="A473" s="93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19"/>
      <c r="P473" s="22"/>
      <c r="Q473" s="22"/>
      <c r="R473" s="22"/>
    </row>
    <row r="474" hidden="1">
      <c r="A474" s="93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19"/>
      <c r="P474" s="22"/>
      <c r="Q474" s="22"/>
      <c r="R474" s="22"/>
    </row>
    <row r="475" hidden="1">
      <c r="A475" s="93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19"/>
      <c r="P475" s="22"/>
      <c r="Q475" s="22"/>
      <c r="R475" s="22"/>
    </row>
    <row r="476" hidden="1">
      <c r="A476" s="93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19"/>
      <c r="P476" s="22"/>
      <c r="Q476" s="22"/>
      <c r="R476" s="22"/>
    </row>
    <row r="477" hidden="1">
      <c r="A477" s="93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19"/>
      <c r="P477" s="22"/>
      <c r="Q477" s="22"/>
      <c r="R477" s="22"/>
    </row>
    <row r="478" hidden="1">
      <c r="A478" s="93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19"/>
      <c r="P478" s="22"/>
      <c r="Q478" s="22"/>
      <c r="R478" s="22"/>
    </row>
    <row r="479" hidden="1">
      <c r="A479" s="93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19"/>
      <c r="P479" s="22"/>
      <c r="Q479" s="22"/>
      <c r="R479" s="22"/>
    </row>
    <row r="480" hidden="1">
      <c r="A480" s="93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19"/>
      <c r="P480" s="22"/>
      <c r="Q480" s="22"/>
      <c r="R480" s="22"/>
    </row>
    <row r="481" hidden="1">
      <c r="A481" s="93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19"/>
      <c r="P481" s="22"/>
      <c r="Q481" s="22"/>
      <c r="R481" s="22"/>
    </row>
    <row r="482" hidden="1">
      <c r="A482" s="93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19"/>
      <c r="P482" s="22"/>
      <c r="Q482" s="22"/>
      <c r="R482" s="22"/>
    </row>
    <row r="483" hidden="1">
      <c r="A483" s="93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19"/>
      <c r="P483" s="22"/>
      <c r="Q483" s="22"/>
      <c r="R483" s="22"/>
    </row>
    <row r="484" hidden="1">
      <c r="A484" s="93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19"/>
      <c r="P484" s="22"/>
      <c r="Q484" s="22"/>
      <c r="R484" s="22"/>
    </row>
    <row r="485" hidden="1">
      <c r="A485" s="93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19"/>
      <c r="P485" s="22"/>
      <c r="Q485" s="22"/>
      <c r="R485" s="22"/>
    </row>
    <row r="486" hidden="1">
      <c r="A486" s="93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19"/>
      <c r="P486" s="22"/>
      <c r="Q486" s="22"/>
      <c r="R486" s="22"/>
    </row>
    <row r="487" hidden="1">
      <c r="A487" s="93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19"/>
      <c r="P487" s="22"/>
      <c r="Q487" s="22"/>
      <c r="R487" s="22"/>
    </row>
    <row r="488" hidden="1">
      <c r="A488" s="93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19"/>
      <c r="P488" s="22"/>
      <c r="Q488" s="22"/>
      <c r="R488" s="22"/>
    </row>
    <row r="489" hidden="1">
      <c r="A489" s="93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19"/>
      <c r="P489" s="22"/>
      <c r="Q489" s="22"/>
      <c r="R489" s="22"/>
    </row>
    <row r="490" hidden="1">
      <c r="A490" s="93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19"/>
      <c r="P490" s="22"/>
      <c r="Q490" s="22"/>
      <c r="R490" s="22"/>
    </row>
    <row r="491" hidden="1">
      <c r="A491" s="93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19"/>
      <c r="P491" s="22"/>
      <c r="Q491" s="22"/>
      <c r="R491" s="22"/>
    </row>
    <row r="492" hidden="1">
      <c r="A492" s="93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19"/>
      <c r="P492" s="22"/>
      <c r="Q492" s="22"/>
      <c r="R492" s="22"/>
    </row>
    <row r="493" hidden="1">
      <c r="A493" s="93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19"/>
      <c r="P493" s="22"/>
      <c r="Q493" s="22"/>
      <c r="R493" s="22"/>
    </row>
    <row r="494" hidden="1">
      <c r="A494" s="93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19"/>
      <c r="P494" s="22"/>
      <c r="Q494" s="22"/>
      <c r="R494" s="22"/>
    </row>
    <row r="495" hidden="1">
      <c r="A495" s="93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19"/>
      <c r="P495" s="22"/>
      <c r="Q495" s="22"/>
      <c r="R495" s="22"/>
    </row>
    <row r="496" hidden="1">
      <c r="A496" s="93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19"/>
      <c r="P496" s="22"/>
      <c r="Q496" s="22"/>
      <c r="R496" s="22"/>
    </row>
    <row r="497" hidden="1">
      <c r="A497" s="93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19"/>
      <c r="P497" s="22"/>
      <c r="Q497" s="22"/>
      <c r="R497" s="22"/>
    </row>
    <row r="498" hidden="1">
      <c r="A498" s="93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19"/>
      <c r="P498" s="22"/>
      <c r="Q498" s="22"/>
      <c r="R498" s="22"/>
    </row>
    <row r="499" hidden="1">
      <c r="A499" s="93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19"/>
      <c r="P499" s="22"/>
      <c r="Q499" s="22"/>
      <c r="R499" s="22"/>
    </row>
    <row r="500" hidden="1">
      <c r="A500" s="93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19"/>
      <c r="P500" s="22"/>
      <c r="Q500" s="22"/>
      <c r="R500" s="22"/>
    </row>
    <row r="501" hidden="1">
      <c r="A501" s="93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19"/>
      <c r="P501" s="22"/>
      <c r="Q501" s="22"/>
      <c r="R501" s="22"/>
    </row>
    <row r="502" hidden="1">
      <c r="A502" s="93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19"/>
      <c r="P502" s="22"/>
      <c r="Q502" s="22"/>
      <c r="R502" s="22"/>
    </row>
    <row r="503" hidden="1">
      <c r="A503" s="93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19"/>
      <c r="P503" s="22"/>
      <c r="Q503" s="22"/>
      <c r="R503" s="22"/>
    </row>
    <row r="504" hidden="1">
      <c r="A504" s="93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19"/>
      <c r="P504" s="22"/>
      <c r="Q504" s="22"/>
      <c r="R504" s="22"/>
    </row>
    <row r="505" hidden="1">
      <c r="A505" s="93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19"/>
      <c r="P505" s="22"/>
      <c r="Q505" s="22"/>
      <c r="R505" s="22"/>
    </row>
    <row r="506" hidden="1">
      <c r="A506" s="93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19"/>
      <c r="P506" s="22"/>
      <c r="Q506" s="22"/>
      <c r="R506" s="22"/>
    </row>
    <row r="507" hidden="1">
      <c r="A507" s="93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19"/>
      <c r="P507" s="22"/>
      <c r="Q507" s="22"/>
      <c r="R507" s="22"/>
    </row>
    <row r="508" hidden="1">
      <c r="A508" s="93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19"/>
      <c r="P508" s="22"/>
      <c r="Q508" s="22"/>
      <c r="R508" s="22"/>
    </row>
    <row r="509" hidden="1">
      <c r="A509" s="93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19"/>
      <c r="P509" s="22"/>
      <c r="Q509" s="22"/>
      <c r="R509" s="22"/>
    </row>
    <row r="510" hidden="1">
      <c r="A510" s="93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19"/>
      <c r="P510" s="22"/>
      <c r="Q510" s="22"/>
      <c r="R510" s="22"/>
    </row>
    <row r="511" hidden="1">
      <c r="A511" s="93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19"/>
      <c r="P511" s="22"/>
      <c r="Q511" s="22"/>
      <c r="R511" s="22"/>
    </row>
    <row r="512" hidden="1">
      <c r="A512" s="93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19"/>
      <c r="P512" s="22"/>
      <c r="Q512" s="22"/>
      <c r="R512" s="22"/>
    </row>
    <row r="513" hidden="1">
      <c r="A513" s="93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19"/>
      <c r="P513" s="22"/>
      <c r="Q513" s="22"/>
      <c r="R513" s="22"/>
    </row>
    <row r="514" hidden="1">
      <c r="A514" s="93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19"/>
      <c r="P514" s="22"/>
      <c r="Q514" s="22"/>
      <c r="R514" s="22"/>
    </row>
    <row r="515" hidden="1">
      <c r="A515" s="93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19"/>
      <c r="P515" s="22"/>
      <c r="Q515" s="22"/>
      <c r="R515" s="22"/>
    </row>
    <row r="516" hidden="1">
      <c r="A516" s="93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19"/>
      <c r="P516" s="22"/>
      <c r="Q516" s="22"/>
      <c r="R516" s="22"/>
    </row>
    <row r="517" hidden="1">
      <c r="A517" s="93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19"/>
      <c r="P517" s="22"/>
      <c r="Q517" s="22"/>
      <c r="R517" s="22"/>
    </row>
    <row r="518" hidden="1">
      <c r="A518" s="93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19"/>
      <c r="P518" s="22"/>
      <c r="Q518" s="22"/>
      <c r="R518" s="22"/>
    </row>
    <row r="519" hidden="1">
      <c r="A519" s="93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19"/>
      <c r="P519" s="22"/>
      <c r="Q519" s="22"/>
      <c r="R519" s="22"/>
    </row>
    <row r="520" hidden="1">
      <c r="A520" s="93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19"/>
      <c r="P520" s="22"/>
      <c r="Q520" s="22"/>
      <c r="R520" s="22"/>
    </row>
    <row r="521" hidden="1">
      <c r="A521" s="93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19"/>
      <c r="P521" s="22"/>
      <c r="Q521" s="22"/>
      <c r="R521" s="22"/>
    </row>
    <row r="522" hidden="1">
      <c r="A522" s="93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19"/>
      <c r="P522" s="22"/>
      <c r="Q522" s="22"/>
      <c r="R522" s="22"/>
    </row>
    <row r="523" hidden="1">
      <c r="A523" s="93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19"/>
      <c r="P523" s="22"/>
      <c r="Q523" s="22"/>
      <c r="R523" s="22"/>
    </row>
    <row r="524" hidden="1">
      <c r="A524" s="93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19"/>
      <c r="P524" s="22"/>
      <c r="Q524" s="22"/>
      <c r="R524" s="22"/>
    </row>
    <row r="525" hidden="1">
      <c r="A525" s="93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19"/>
      <c r="P525" s="22"/>
      <c r="Q525" s="22"/>
      <c r="R525" s="22"/>
    </row>
    <row r="526" hidden="1">
      <c r="A526" s="93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19"/>
      <c r="P526" s="22"/>
      <c r="Q526" s="22"/>
      <c r="R526" s="22"/>
    </row>
    <row r="527" hidden="1">
      <c r="A527" s="93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19"/>
      <c r="P527" s="22"/>
      <c r="Q527" s="22"/>
      <c r="R527" s="22"/>
    </row>
    <row r="528" hidden="1">
      <c r="A528" s="93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19"/>
      <c r="P528" s="22"/>
      <c r="Q528" s="22"/>
      <c r="R528" s="22"/>
    </row>
    <row r="529" hidden="1">
      <c r="A529" s="93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19"/>
      <c r="P529" s="22"/>
      <c r="Q529" s="22"/>
      <c r="R529" s="22"/>
    </row>
    <row r="530" hidden="1">
      <c r="A530" s="93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19"/>
      <c r="P530" s="22"/>
      <c r="Q530" s="22"/>
      <c r="R530" s="22"/>
    </row>
    <row r="531" hidden="1">
      <c r="A531" s="93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19"/>
      <c r="P531" s="22"/>
      <c r="Q531" s="22"/>
      <c r="R531" s="22"/>
    </row>
    <row r="532" hidden="1">
      <c r="A532" s="93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19"/>
      <c r="P532" s="22"/>
      <c r="Q532" s="22"/>
      <c r="R532" s="22"/>
    </row>
    <row r="533" hidden="1">
      <c r="A533" s="93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19"/>
      <c r="P533" s="22"/>
      <c r="Q533" s="22"/>
      <c r="R533" s="22"/>
    </row>
    <row r="534" hidden="1">
      <c r="A534" s="93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19"/>
      <c r="P534" s="22"/>
      <c r="Q534" s="22"/>
      <c r="R534" s="22"/>
    </row>
    <row r="535" hidden="1">
      <c r="A535" s="93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19"/>
      <c r="P535" s="22"/>
      <c r="Q535" s="22"/>
      <c r="R535" s="22"/>
    </row>
    <row r="536" hidden="1">
      <c r="A536" s="93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19"/>
      <c r="P536" s="22"/>
      <c r="Q536" s="22"/>
      <c r="R536" s="22"/>
    </row>
    <row r="537" hidden="1">
      <c r="A537" s="93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19"/>
      <c r="P537" s="22"/>
      <c r="Q537" s="22"/>
      <c r="R537" s="22"/>
    </row>
    <row r="538" hidden="1">
      <c r="A538" s="93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19"/>
      <c r="P538" s="22"/>
      <c r="Q538" s="22"/>
      <c r="R538" s="22"/>
    </row>
    <row r="539" hidden="1">
      <c r="A539" s="93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19"/>
      <c r="P539" s="22"/>
      <c r="Q539" s="22"/>
      <c r="R539" s="22"/>
    </row>
    <row r="540" hidden="1">
      <c r="A540" s="93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19"/>
      <c r="P540" s="22"/>
      <c r="Q540" s="22"/>
      <c r="R540" s="22"/>
    </row>
    <row r="541" hidden="1">
      <c r="A541" s="93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19"/>
      <c r="P541" s="22"/>
      <c r="Q541" s="22"/>
      <c r="R541" s="22"/>
    </row>
    <row r="542" hidden="1">
      <c r="A542" s="93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19"/>
      <c r="P542" s="22"/>
      <c r="Q542" s="22"/>
      <c r="R542" s="22"/>
    </row>
    <row r="543" hidden="1">
      <c r="A543" s="93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19"/>
      <c r="P543" s="22"/>
      <c r="Q543" s="22"/>
      <c r="R543" s="22"/>
    </row>
    <row r="544" hidden="1">
      <c r="A544" s="93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19"/>
      <c r="P544" s="22"/>
      <c r="Q544" s="22"/>
      <c r="R544" s="22"/>
    </row>
    <row r="545" hidden="1">
      <c r="A545" s="93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19"/>
      <c r="P545" s="22"/>
      <c r="Q545" s="22"/>
      <c r="R545" s="22"/>
    </row>
    <row r="546" hidden="1">
      <c r="A546" s="93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19"/>
      <c r="P546" s="22"/>
      <c r="Q546" s="22"/>
      <c r="R546" s="22"/>
    </row>
    <row r="547" hidden="1">
      <c r="A547" s="93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19"/>
      <c r="P547" s="22"/>
      <c r="Q547" s="22"/>
      <c r="R547" s="22"/>
    </row>
    <row r="548" hidden="1">
      <c r="A548" s="93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19"/>
      <c r="P548" s="22"/>
      <c r="Q548" s="22"/>
      <c r="R548" s="22"/>
    </row>
    <row r="549" hidden="1">
      <c r="A549" s="93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19"/>
      <c r="P549" s="22"/>
      <c r="Q549" s="22"/>
      <c r="R549" s="22"/>
    </row>
    <row r="550" hidden="1">
      <c r="A550" s="93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19"/>
      <c r="P550" s="22"/>
      <c r="Q550" s="22"/>
      <c r="R550" s="22"/>
    </row>
    <row r="551" hidden="1">
      <c r="A551" s="93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19"/>
      <c r="P551" s="22"/>
      <c r="Q551" s="22"/>
      <c r="R551" s="22"/>
    </row>
    <row r="552" hidden="1">
      <c r="A552" s="93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19"/>
      <c r="P552" s="22"/>
      <c r="Q552" s="22"/>
      <c r="R552" s="22"/>
    </row>
    <row r="553" hidden="1">
      <c r="A553" s="93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19"/>
      <c r="P553" s="22"/>
      <c r="Q553" s="22"/>
      <c r="R553" s="22"/>
    </row>
    <row r="554" hidden="1">
      <c r="A554" s="93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19"/>
      <c r="P554" s="22"/>
      <c r="Q554" s="22"/>
      <c r="R554" s="22"/>
    </row>
    <row r="555" hidden="1">
      <c r="A555" s="93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19"/>
      <c r="P555" s="22"/>
      <c r="Q555" s="22"/>
      <c r="R555" s="22"/>
    </row>
    <row r="556" hidden="1">
      <c r="A556" s="93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19"/>
      <c r="P556" s="22"/>
      <c r="Q556" s="22"/>
      <c r="R556" s="22"/>
    </row>
    <row r="557" hidden="1">
      <c r="A557" s="93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19"/>
      <c r="P557" s="22"/>
      <c r="Q557" s="22"/>
      <c r="R557" s="22"/>
    </row>
    <row r="558" hidden="1">
      <c r="A558" s="93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19"/>
      <c r="P558" s="22"/>
      <c r="Q558" s="22"/>
      <c r="R558" s="22"/>
    </row>
    <row r="559" hidden="1">
      <c r="A559" s="93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19"/>
      <c r="P559" s="22"/>
      <c r="Q559" s="22"/>
      <c r="R559" s="22"/>
    </row>
    <row r="560" hidden="1">
      <c r="A560" s="93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19"/>
      <c r="P560" s="22"/>
      <c r="Q560" s="22"/>
      <c r="R560" s="22"/>
    </row>
    <row r="561" hidden="1">
      <c r="A561" s="93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19"/>
      <c r="P561" s="22"/>
      <c r="Q561" s="22"/>
      <c r="R561" s="22"/>
    </row>
    <row r="562" hidden="1">
      <c r="A562" s="93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19"/>
      <c r="P562" s="22"/>
      <c r="Q562" s="22"/>
      <c r="R562" s="22"/>
    </row>
    <row r="563" hidden="1">
      <c r="A563" s="93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19"/>
      <c r="P563" s="22"/>
      <c r="Q563" s="22"/>
      <c r="R563" s="22"/>
    </row>
    <row r="564" hidden="1">
      <c r="A564" s="93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19"/>
      <c r="P564" s="22"/>
      <c r="Q564" s="22"/>
      <c r="R564" s="22"/>
    </row>
    <row r="565" hidden="1">
      <c r="A565" s="93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19"/>
      <c r="P565" s="22"/>
      <c r="Q565" s="22"/>
      <c r="R565" s="22"/>
    </row>
    <row r="566" hidden="1">
      <c r="A566" s="93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19"/>
      <c r="P566" s="22"/>
      <c r="Q566" s="22"/>
      <c r="R566" s="22"/>
    </row>
    <row r="567" hidden="1">
      <c r="A567" s="93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19"/>
      <c r="P567" s="22"/>
      <c r="Q567" s="22"/>
      <c r="R567" s="22"/>
    </row>
    <row r="568" hidden="1">
      <c r="A568" s="93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19"/>
      <c r="P568" s="22"/>
      <c r="Q568" s="22"/>
      <c r="R568" s="22"/>
    </row>
    <row r="569" hidden="1">
      <c r="A569" s="93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19"/>
      <c r="P569" s="22"/>
      <c r="Q569" s="22"/>
      <c r="R569" s="22"/>
    </row>
    <row r="570" hidden="1">
      <c r="A570" s="93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19"/>
      <c r="P570" s="22"/>
      <c r="Q570" s="22"/>
      <c r="R570" s="22"/>
    </row>
    <row r="571" hidden="1">
      <c r="A571" s="93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19"/>
      <c r="P571" s="22"/>
      <c r="Q571" s="22"/>
      <c r="R571" s="22"/>
    </row>
    <row r="572" hidden="1">
      <c r="A572" s="93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19"/>
      <c r="P572" s="22"/>
      <c r="Q572" s="22"/>
      <c r="R572" s="22"/>
    </row>
    <row r="573" hidden="1">
      <c r="A573" s="93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19"/>
      <c r="P573" s="22"/>
      <c r="Q573" s="22"/>
      <c r="R573" s="22"/>
    </row>
    <row r="574" hidden="1">
      <c r="A574" s="93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19"/>
      <c r="P574" s="22"/>
      <c r="Q574" s="22"/>
      <c r="R574" s="22"/>
    </row>
    <row r="575" hidden="1">
      <c r="A575" s="93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19"/>
      <c r="P575" s="22"/>
      <c r="Q575" s="22"/>
      <c r="R575" s="22"/>
    </row>
    <row r="576" hidden="1">
      <c r="A576" s="93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19"/>
      <c r="P576" s="22"/>
      <c r="Q576" s="22"/>
      <c r="R576" s="22"/>
    </row>
    <row r="577" hidden="1">
      <c r="A577" s="93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19"/>
      <c r="P577" s="22"/>
      <c r="Q577" s="22"/>
      <c r="R577" s="22"/>
    </row>
    <row r="578" hidden="1">
      <c r="A578" s="93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19"/>
      <c r="P578" s="22"/>
      <c r="Q578" s="22"/>
      <c r="R578" s="22"/>
    </row>
    <row r="579" hidden="1">
      <c r="A579" s="93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19"/>
      <c r="P579" s="22"/>
      <c r="Q579" s="22"/>
      <c r="R579" s="22"/>
    </row>
    <row r="580" hidden="1">
      <c r="A580" s="93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19"/>
      <c r="P580" s="22"/>
      <c r="Q580" s="22"/>
      <c r="R580" s="22"/>
    </row>
    <row r="581" hidden="1">
      <c r="A581" s="93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19"/>
      <c r="P581" s="22"/>
      <c r="Q581" s="22"/>
      <c r="R581" s="22"/>
    </row>
    <row r="582" hidden="1">
      <c r="A582" s="93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19"/>
      <c r="P582" s="22"/>
      <c r="Q582" s="22"/>
      <c r="R582" s="22"/>
    </row>
    <row r="583" hidden="1">
      <c r="A583" s="93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19"/>
      <c r="P583" s="22"/>
      <c r="Q583" s="22"/>
      <c r="R583" s="22"/>
    </row>
    <row r="584" hidden="1">
      <c r="A584" s="93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19"/>
      <c r="P584" s="22"/>
      <c r="Q584" s="22"/>
      <c r="R584" s="22"/>
    </row>
    <row r="585" hidden="1">
      <c r="A585" s="93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19"/>
      <c r="P585" s="22"/>
      <c r="Q585" s="22"/>
      <c r="R585" s="22"/>
    </row>
    <row r="586" hidden="1">
      <c r="A586" s="93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19"/>
      <c r="P586" s="22"/>
      <c r="Q586" s="22"/>
      <c r="R586" s="22"/>
    </row>
    <row r="587" hidden="1">
      <c r="A587" s="93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19"/>
      <c r="P587" s="22"/>
      <c r="Q587" s="22"/>
      <c r="R587" s="22"/>
    </row>
    <row r="588" hidden="1">
      <c r="A588" s="93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19"/>
      <c r="P588" s="22"/>
      <c r="Q588" s="22"/>
      <c r="R588" s="22"/>
    </row>
    <row r="589" hidden="1">
      <c r="A589" s="93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19"/>
      <c r="P589" s="22"/>
      <c r="Q589" s="22"/>
      <c r="R589" s="22"/>
    </row>
    <row r="590" hidden="1">
      <c r="A590" s="93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19"/>
      <c r="P590" s="22"/>
      <c r="Q590" s="22"/>
      <c r="R590" s="22"/>
    </row>
    <row r="591" hidden="1">
      <c r="A591" s="93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19"/>
      <c r="P591" s="22"/>
      <c r="Q591" s="22"/>
      <c r="R591" s="22"/>
    </row>
    <row r="592" hidden="1">
      <c r="A592" s="93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19"/>
      <c r="P592" s="22"/>
      <c r="Q592" s="22"/>
      <c r="R592" s="22"/>
    </row>
    <row r="593" hidden="1">
      <c r="A593" s="93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19"/>
      <c r="P593" s="22"/>
      <c r="Q593" s="22"/>
      <c r="R593" s="22"/>
    </row>
    <row r="594" hidden="1">
      <c r="A594" s="93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19"/>
      <c r="P594" s="22"/>
      <c r="Q594" s="22"/>
      <c r="R594" s="22"/>
    </row>
    <row r="595" hidden="1">
      <c r="A595" s="93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19"/>
      <c r="P595" s="22"/>
      <c r="Q595" s="22"/>
      <c r="R595" s="22"/>
    </row>
    <row r="596" hidden="1">
      <c r="A596" s="93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19"/>
      <c r="P596" s="22"/>
      <c r="Q596" s="22"/>
      <c r="R596" s="22"/>
    </row>
    <row r="597" hidden="1">
      <c r="A597" s="93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19"/>
      <c r="P597" s="22"/>
      <c r="Q597" s="22"/>
      <c r="R597" s="22"/>
    </row>
    <row r="598" hidden="1">
      <c r="A598" s="93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19"/>
      <c r="P598" s="22"/>
      <c r="Q598" s="22"/>
      <c r="R598" s="22"/>
    </row>
    <row r="599" hidden="1">
      <c r="A599" s="93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19"/>
      <c r="P599" s="22"/>
      <c r="Q599" s="22"/>
      <c r="R599" s="22"/>
    </row>
    <row r="600" hidden="1">
      <c r="A600" s="93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19"/>
      <c r="P600" s="22"/>
      <c r="Q600" s="22"/>
      <c r="R600" s="22"/>
    </row>
    <row r="601" hidden="1">
      <c r="A601" s="93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19"/>
      <c r="P601" s="22"/>
      <c r="Q601" s="22"/>
      <c r="R601" s="22"/>
    </row>
    <row r="602" hidden="1">
      <c r="A602" s="93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19"/>
      <c r="P602" s="22"/>
      <c r="Q602" s="22"/>
      <c r="R602" s="22"/>
    </row>
    <row r="603" hidden="1">
      <c r="A603" s="93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19"/>
      <c r="P603" s="22"/>
      <c r="Q603" s="22"/>
      <c r="R603" s="22"/>
    </row>
    <row r="604" hidden="1">
      <c r="A604" s="93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19"/>
      <c r="P604" s="22"/>
      <c r="Q604" s="22"/>
      <c r="R604" s="22"/>
    </row>
    <row r="605" hidden="1">
      <c r="A605" s="93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19"/>
      <c r="P605" s="22"/>
      <c r="Q605" s="22"/>
      <c r="R605" s="22"/>
    </row>
    <row r="606" hidden="1">
      <c r="A606" s="93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19"/>
      <c r="P606" s="22"/>
      <c r="Q606" s="22"/>
      <c r="R606" s="22"/>
    </row>
    <row r="607" hidden="1">
      <c r="A607" s="93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19"/>
      <c r="P607" s="22"/>
      <c r="Q607" s="22"/>
      <c r="R607" s="22"/>
    </row>
    <row r="608" hidden="1">
      <c r="A608" s="93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19"/>
      <c r="P608" s="22"/>
      <c r="Q608" s="22"/>
      <c r="R608" s="22"/>
    </row>
    <row r="609" hidden="1">
      <c r="A609" s="93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19"/>
      <c r="P609" s="22"/>
      <c r="Q609" s="22"/>
      <c r="R609" s="22"/>
    </row>
    <row r="610" hidden="1">
      <c r="A610" s="93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19"/>
      <c r="P610" s="22"/>
      <c r="Q610" s="22"/>
      <c r="R610" s="22"/>
    </row>
    <row r="611" hidden="1">
      <c r="A611" s="93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19"/>
      <c r="P611" s="22"/>
      <c r="Q611" s="22"/>
      <c r="R611" s="22"/>
    </row>
    <row r="612" hidden="1">
      <c r="A612" s="93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19"/>
      <c r="P612" s="22"/>
      <c r="Q612" s="22"/>
      <c r="R612" s="22"/>
    </row>
    <row r="613" hidden="1">
      <c r="A613" s="93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19"/>
      <c r="P613" s="22"/>
      <c r="Q613" s="22"/>
      <c r="R613" s="22"/>
    </row>
    <row r="614" hidden="1">
      <c r="A614" s="93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19"/>
      <c r="P614" s="22"/>
      <c r="Q614" s="22"/>
      <c r="R614" s="22"/>
    </row>
    <row r="615" hidden="1">
      <c r="A615" s="93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19"/>
      <c r="P615" s="22"/>
      <c r="Q615" s="22"/>
      <c r="R615" s="22"/>
    </row>
    <row r="616" hidden="1">
      <c r="A616" s="93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19"/>
      <c r="P616" s="22"/>
      <c r="Q616" s="22"/>
      <c r="R616" s="22"/>
    </row>
    <row r="617" hidden="1">
      <c r="A617" s="93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19"/>
      <c r="P617" s="22"/>
      <c r="Q617" s="22"/>
      <c r="R617" s="22"/>
    </row>
    <row r="618" hidden="1">
      <c r="A618" s="93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19"/>
      <c r="P618" s="22"/>
      <c r="Q618" s="22"/>
      <c r="R618" s="22"/>
    </row>
    <row r="619" hidden="1">
      <c r="A619" s="93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19"/>
      <c r="P619" s="22"/>
      <c r="Q619" s="22"/>
      <c r="R619" s="22"/>
    </row>
    <row r="620" hidden="1">
      <c r="A620" s="93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19"/>
      <c r="P620" s="22"/>
      <c r="Q620" s="22"/>
      <c r="R620" s="22"/>
    </row>
    <row r="621" hidden="1">
      <c r="A621" s="93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19"/>
      <c r="P621" s="22"/>
      <c r="Q621" s="22"/>
      <c r="R621" s="22"/>
    </row>
    <row r="622" hidden="1">
      <c r="A622" s="93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19"/>
      <c r="P622" s="22"/>
      <c r="Q622" s="22"/>
      <c r="R622" s="22"/>
    </row>
    <row r="623" hidden="1">
      <c r="A623" s="93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19"/>
      <c r="P623" s="22"/>
      <c r="Q623" s="22"/>
      <c r="R623" s="22"/>
    </row>
    <row r="624" hidden="1">
      <c r="A624" s="93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19"/>
      <c r="P624" s="22"/>
      <c r="Q624" s="22"/>
      <c r="R624" s="22"/>
    </row>
    <row r="625" hidden="1">
      <c r="A625" s="93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19"/>
      <c r="P625" s="22"/>
      <c r="Q625" s="22"/>
      <c r="R625" s="22"/>
    </row>
    <row r="626" hidden="1">
      <c r="A626" s="93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19"/>
      <c r="P626" s="22"/>
      <c r="Q626" s="22"/>
      <c r="R626" s="22"/>
    </row>
    <row r="627" hidden="1">
      <c r="A627" s="93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19"/>
      <c r="P627" s="22"/>
      <c r="Q627" s="22"/>
      <c r="R627" s="22"/>
    </row>
    <row r="628" hidden="1">
      <c r="A628" s="93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19"/>
      <c r="P628" s="22"/>
      <c r="Q628" s="22"/>
      <c r="R628" s="22"/>
    </row>
    <row r="629" hidden="1">
      <c r="A629" s="93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19"/>
      <c r="P629" s="22"/>
      <c r="Q629" s="22"/>
      <c r="R629" s="22"/>
    </row>
    <row r="630" hidden="1">
      <c r="A630" s="93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19"/>
      <c r="P630" s="22"/>
      <c r="Q630" s="22"/>
      <c r="R630" s="22"/>
    </row>
    <row r="631" hidden="1">
      <c r="A631" s="93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19"/>
      <c r="P631" s="22"/>
      <c r="Q631" s="22"/>
      <c r="R631" s="22"/>
    </row>
    <row r="632" hidden="1">
      <c r="A632" s="93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19"/>
      <c r="P632" s="22"/>
      <c r="Q632" s="22"/>
      <c r="R632" s="22"/>
    </row>
    <row r="633" hidden="1">
      <c r="A633" s="93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19"/>
      <c r="P633" s="22"/>
      <c r="Q633" s="22"/>
      <c r="R633" s="22"/>
    </row>
    <row r="634" hidden="1">
      <c r="A634" s="93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19"/>
      <c r="P634" s="22"/>
      <c r="Q634" s="22"/>
      <c r="R634" s="22"/>
    </row>
    <row r="635" hidden="1">
      <c r="A635" s="93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19"/>
      <c r="P635" s="22"/>
      <c r="Q635" s="22"/>
      <c r="R635" s="22"/>
    </row>
    <row r="636" hidden="1">
      <c r="A636" s="93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19"/>
      <c r="P636" s="22"/>
      <c r="Q636" s="22"/>
      <c r="R636" s="22"/>
    </row>
    <row r="637" hidden="1">
      <c r="A637" s="93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19"/>
      <c r="P637" s="22"/>
      <c r="Q637" s="22"/>
      <c r="R637" s="22"/>
    </row>
    <row r="638" hidden="1">
      <c r="A638" s="93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19"/>
      <c r="P638" s="22"/>
      <c r="Q638" s="22"/>
      <c r="R638" s="22"/>
    </row>
    <row r="639" hidden="1">
      <c r="A639" s="93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19"/>
      <c r="P639" s="22"/>
      <c r="Q639" s="22"/>
      <c r="R639" s="22"/>
    </row>
    <row r="640" hidden="1">
      <c r="A640" s="93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19"/>
      <c r="P640" s="22"/>
      <c r="Q640" s="22"/>
      <c r="R640" s="22"/>
    </row>
    <row r="641" hidden="1">
      <c r="A641" s="93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19"/>
      <c r="P641" s="22"/>
      <c r="Q641" s="22"/>
      <c r="R641" s="22"/>
    </row>
    <row r="642" hidden="1">
      <c r="A642" s="93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19"/>
      <c r="P642" s="22"/>
      <c r="Q642" s="22"/>
      <c r="R642" s="22"/>
    </row>
    <row r="643" hidden="1">
      <c r="A643" s="93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19"/>
      <c r="P643" s="22"/>
      <c r="Q643" s="22"/>
      <c r="R643" s="22"/>
    </row>
    <row r="644" hidden="1">
      <c r="A644" s="93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19"/>
      <c r="P644" s="22"/>
      <c r="Q644" s="22"/>
      <c r="R644" s="22"/>
    </row>
    <row r="645" hidden="1">
      <c r="A645" s="93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19"/>
      <c r="P645" s="22"/>
      <c r="Q645" s="22"/>
      <c r="R645" s="22"/>
    </row>
    <row r="646" hidden="1">
      <c r="A646" s="93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19"/>
      <c r="P646" s="22"/>
      <c r="Q646" s="22"/>
      <c r="R646" s="22"/>
    </row>
    <row r="647" hidden="1">
      <c r="A647" s="93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19"/>
      <c r="P647" s="22"/>
      <c r="Q647" s="22"/>
      <c r="R647" s="22"/>
    </row>
    <row r="648" hidden="1">
      <c r="A648" s="93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19"/>
      <c r="P648" s="22"/>
      <c r="Q648" s="22"/>
      <c r="R648" s="22"/>
    </row>
    <row r="649" hidden="1">
      <c r="A649" s="93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19"/>
      <c r="P649" s="22"/>
      <c r="Q649" s="22"/>
      <c r="R649" s="22"/>
    </row>
    <row r="650" hidden="1">
      <c r="A650" s="93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19"/>
      <c r="P650" s="22"/>
      <c r="Q650" s="22"/>
      <c r="R650" s="22"/>
    </row>
    <row r="651" hidden="1">
      <c r="A651" s="93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19"/>
      <c r="P651" s="22"/>
      <c r="Q651" s="22"/>
      <c r="R651" s="22"/>
    </row>
    <row r="652" hidden="1">
      <c r="A652" s="93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19"/>
      <c r="P652" s="22"/>
      <c r="Q652" s="22"/>
      <c r="R652" s="22"/>
    </row>
    <row r="653" hidden="1">
      <c r="A653" s="93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19"/>
      <c r="P653" s="22"/>
      <c r="Q653" s="22"/>
      <c r="R653" s="22"/>
    </row>
    <row r="654" hidden="1">
      <c r="A654" s="93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19"/>
      <c r="P654" s="22"/>
      <c r="Q654" s="22"/>
      <c r="R654" s="22"/>
    </row>
    <row r="655" hidden="1">
      <c r="A655" s="93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19"/>
      <c r="P655" s="22"/>
      <c r="Q655" s="22"/>
      <c r="R655" s="22"/>
    </row>
    <row r="656" hidden="1">
      <c r="A656" s="93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19"/>
      <c r="P656" s="22"/>
      <c r="Q656" s="22"/>
      <c r="R656" s="22"/>
    </row>
    <row r="657" hidden="1">
      <c r="A657" s="93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19"/>
      <c r="P657" s="22"/>
      <c r="Q657" s="22"/>
      <c r="R657" s="22"/>
    </row>
    <row r="658" hidden="1">
      <c r="A658" s="93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19"/>
      <c r="P658" s="22"/>
      <c r="Q658" s="22"/>
      <c r="R658" s="22"/>
    </row>
    <row r="659" hidden="1">
      <c r="A659" s="93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19"/>
      <c r="P659" s="22"/>
      <c r="Q659" s="22"/>
      <c r="R659" s="22"/>
    </row>
    <row r="660" hidden="1">
      <c r="A660" s="93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19"/>
      <c r="P660" s="22"/>
      <c r="Q660" s="22"/>
      <c r="R660" s="22"/>
    </row>
    <row r="661" hidden="1">
      <c r="A661" s="93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19"/>
      <c r="P661" s="22"/>
      <c r="Q661" s="22"/>
      <c r="R661" s="22"/>
    </row>
    <row r="662" hidden="1">
      <c r="A662" s="93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19"/>
      <c r="P662" s="22"/>
      <c r="Q662" s="22"/>
      <c r="R662" s="22"/>
    </row>
    <row r="663" hidden="1">
      <c r="A663" s="93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19"/>
      <c r="P663" s="22"/>
      <c r="Q663" s="22"/>
      <c r="R663" s="22"/>
    </row>
    <row r="664" hidden="1">
      <c r="A664" s="93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19"/>
      <c r="P664" s="22"/>
      <c r="Q664" s="22"/>
      <c r="R664" s="22"/>
    </row>
    <row r="665" hidden="1">
      <c r="A665" s="93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19"/>
      <c r="P665" s="22"/>
      <c r="Q665" s="22"/>
      <c r="R665" s="22"/>
    </row>
    <row r="666" hidden="1">
      <c r="A666" s="93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19"/>
      <c r="P666" s="22"/>
      <c r="Q666" s="22"/>
      <c r="R666" s="22"/>
    </row>
    <row r="667" hidden="1">
      <c r="A667" s="93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19"/>
      <c r="P667" s="22"/>
      <c r="Q667" s="22"/>
      <c r="R667" s="22"/>
    </row>
    <row r="668" hidden="1">
      <c r="A668" s="93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19"/>
      <c r="P668" s="22"/>
      <c r="Q668" s="22"/>
      <c r="R668" s="22"/>
    </row>
    <row r="669" hidden="1">
      <c r="A669" s="93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19"/>
      <c r="P669" s="22"/>
      <c r="Q669" s="22"/>
      <c r="R669" s="22"/>
    </row>
    <row r="670" hidden="1">
      <c r="A670" s="93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19"/>
      <c r="P670" s="22"/>
      <c r="Q670" s="22"/>
      <c r="R670" s="22"/>
    </row>
    <row r="671" hidden="1">
      <c r="A671" s="93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19"/>
      <c r="P671" s="22"/>
      <c r="Q671" s="22"/>
      <c r="R671" s="22"/>
    </row>
    <row r="672" hidden="1">
      <c r="A672" s="93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19"/>
      <c r="P672" s="22"/>
      <c r="Q672" s="22"/>
      <c r="R672" s="22"/>
    </row>
    <row r="673" hidden="1">
      <c r="A673" s="93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19"/>
      <c r="P673" s="22"/>
      <c r="Q673" s="22"/>
      <c r="R673" s="22"/>
    </row>
    <row r="674" hidden="1">
      <c r="A674" s="93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19"/>
      <c r="P674" s="22"/>
      <c r="Q674" s="22"/>
      <c r="R674" s="22"/>
    </row>
    <row r="675" hidden="1">
      <c r="A675" s="93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19"/>
      <c r="P675" s="22"/>
      <c r="Q675" s="22"/>
      <c r="R675" s="22"/>
    </row>
    <row r="676" hidden="1">
      <c r="A676" s="93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19"/>
      <c r="P676" s="22"/>
      <c r="Q676" s="22"/>
      <c r="R676" s="22"/>
    </row>
    <row r="677" hidden="1">
      <c r="A677" s="93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19"/>
      <c r="P677" s="22"/>
      <c r="Q677" s="22"/>
      <c r="R677" s="22"/>
    </row>
    <row r="678" hidden="1">
      <c r="A678" s="93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19"/>
      <c r="P678" s="22"/>
      <c r="Q678" s="22"/>
      <c r="R678" s="22"/>
    </row>
    <row r="679" hidden="1">
      <c r="A679" s="93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19"/>
      <c r="P679" s="22"/>
      <c r="Q679" s="22"/>
      <c r="R679" s="22"/>
    </row>
    <row r="680" hidden="1">
      <c r="A680" s="93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19"/>
      <c r="P680" s="22"/>
      <c r="Q680" s="22"/>
      <c r="R680" s="22"/>
    </row>
    <row r="681" hidden="1">
      <c r="A681" s="93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19"/>
      <c r="P681" s="22"/>
      <c r="Q681" s="22"/>
      <c r="R681" s="22"/>
    </row>
    <row r="682" hidden="1">
      <c r="A682" s="93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19"/>
      <c r="P682" s="22"/>
      <c r="Q682" s="22"/>
      <c r="R682" s="22"/>
    </row>
    <row r="683" hidden="1">
      <c r="A683" s="93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19"/>
      <c r="P683" s="22"/>
      <c r="Q683" s="22"/>
      <c r="R683" s="22"/>
    </row>
    <row r="684" hidden="1">
      <c r="A684" s="93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19"/>
      <c r="P684" s="22"/>
      <c r="Q684" s="22"/>
      <c r="R684" s="22"/>
    </row>
    <row r="685" hidden="1">
      <c r="A685" s="93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19"/>
      <c r="P685" s="22"/>
      <c r="Q685" s="22"/>
      <c r="R685" s="22"/>
    </row>
    <row r="686" hidden="1">
      <c r="A686" s="93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19"/>
      <c r="P686" s="22"/>
      <c r="Q686" s="22"/>
      <c r="R686" s="22"/>
    </row>
    <row r="687" hidden="1">
      <c r="A687" s="93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19"/>
      <c r="P687" s="22"/>
      <c r="Q687" s="22"/>
      <c r="R687" s="22"/>
    </row>
    <row r="688" hidden="1">
      <c r="A688" s="93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19"/>
      <c r="P688" s="22"/>
      <c r="Q688" s="22"/>
      <c r="R688" s="22"/>
    </row>
    <row r="689" hidden="1">
      <c r="A689" s="93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19"/>
      <c r="P689" s="22"/>
      <c r="Q689" s="22"/>
      <c r="R689" s="22"/>
    </row>
    <row r="690" hidden="1">
      <c r="A690" s="93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19"/>
      <c r="P690" s="22"/>
      <c r="Q690" s="22"/>
      <c r="R690" s="22"/>
    </row>
    <row r="691" hidden="1">
      <c r="A691" s="93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19"/>
      <c r="P691" s="22"/>
      <c r="Q691" s="22"/>
      <c r="R691" s="22"/>
    </row>
    <row r="692" hidden="1">
      <c r="A692" s="93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19"/>
      <c r="P692" s="22"/>
      <c r="Q692" s="22"/>
      <c r="R692" s="22"/>
    </row>
    <row r="693" hidden="1">
      <c r="A693" s="93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19"/>
      <c r="P693" s="22"/>
      <c r="Q693" s="22"/>
      <c r="R693" s="22"/>
    </row>
    <row r="694" hidden="1">
      <c r="A694" s="93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19"/>
      <c r="P694" s="22"/>
      <c r="Q694" s="22"/>
      <c r="R694" s="22"/>
    </row>
    <row r="695" hidden="1">
      <c r="A695" s="93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19"/>
      <c r="P695" s="22"/>
      <c r="Q695" s="22"/>
      <c r="R695" s="22"/>
    </row>
    <row r="696" hidden="1">
      <c r="A696" s="93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19"/>
      <c r="P696" s="22"/>
      <c r="Q696" s="22"/>
      <c r="R696" s="22"/>
    </row>
    <row r="697" hidden="1">
      <c r="A697" s="93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19"/>
      <c r="P697" s="22"/>
      <c r="Q697" s="22"/>
      <c r="R697" s="22"/>
    </row>
    <row r="698" hidden="1">
      <c r="A698" s="93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19"/>
      <c r="P698" s="22"/>
      <c r="Q698" s="22"/>
      <c r="R698" s="22"/>
    </row>
    <row r="699" hidden="1">
      <c r="A699" s="93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19"/>
      <c r="P699" s="22"/>
      <c r="Q699" s="22"/>
      <c r="R699" s="22"/>
    </row>
    <row r="700" hidden="1">
      <c r="A700" s="93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19"/>
      <c r="P700" s="22"/>
      <c r="Q700" s="22"/>
      <c r="R700" s="22"/>
    </row>
    <row r="701" hidden="1">
      <c r="A701" s="93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19"/>
      <c r="P701" s="22"/>
      <c r="Q701" s="22"/>
      <c r="R701" s="22"/>
    </row>
    <row r="702" hidden="1">
      <c r="A702" s="93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19"/>
      <c r="P702" s="22"/>
      <c r="Q702" s="22"/>
      <c r="R702" s="22"/>
    </row>
    <row r="703" hidden="1">
      <c r="A703" s="93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19"/>
      <c r="P703" s="22"/>
      <c r="Q703" s="22"/>
      <c r="R703" s="22"/>
    </row>
    <row r="704" hidden="1">
      <c r="A704" s="93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19"/>
      <c r="P704" s="22"/>
      <c r="Q704" s="22"/>
      <c r="R704" s="22"/>
    </row>
    <row r="705" hidden="1">
      <c r="A705" s="93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19"/>
      <c r="P705" s="22"/>
      <c r="Q705" s="22"/>
      <c r="R705" s="22"/>
    </row>
    <row r="706" hidden="1">
      <c r="A706" s="93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19"/>
      <c r="P706" s="22"/>
      <c r="Q706" s="22"/>
      <c r="R706" s="22"/>
    </row>
    <row r="707" hidden="1">
      <c r="A707" s="93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19"/>
      <c r="P707" s="22"/>
      <c r="Q707" s="22"/>
      <c r="R707" s="22"/>
    </row>
    <row r="708" hidden="1">
      <c r="A708" s="93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19"/>
      <c r="P708" s="22"/>
      <c r="Q708" s="22"/>
      <c r="R708" s="22"/>
    </row>
    <row r="709" hidden="1">
      <c r="A709" s="93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19"/>
      <c r="P709" s="22"/>
      <c r="Q709" s="22"/>
      <c r="R709" s="22"/>
    </row>
    <row r="710" hidden="1">
      <c r="A710" s="93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19"/>
      <c r="P710" s="22"/>
      <c r="Q710" s="22"/>
      <c r="R710" s="22"/>
    </row>
    <row r="711" hidden="1">
      <c r="A711" s="93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19"/>
      <c r="P711" s="22"/>
      <c r="Q711" s="22"/>
      <c r="R711" s="22"/>
    </row>
    <row r="712" hidden="1">
      <c r="A712" s="93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19"/>
      <c r="P712" s="22"/>
      <c r="Q712" s="22"/>
      <c r="R712" s="22"/>
    </row>
    <row r="713" hidden="1">
      <c r="A713" s="93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19"/>
      <c r="P713" s="22"/>
      <c r="Q713" s="22"/>
      <c r="R713" s="22"/>
    </row>
    <row r="714" hidden="1">
      <c r="A714" s="93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19"/>
      <c r="P714" s="22"/>
      <c r="Q714" s="22"/>
      <c r="R714" s="22"/>
    </row>
    <row r="715" hidden="1">
      <c r="A715" s="93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19"/>
      <c r="P715" s="22"/>
      <c r="Q715" s="22"/>
      <c r="R715" s="22"/>
    </row>
    <row r="716" hidden="1">
      <c r="A716" s="93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19"/>
      <c r="P716" s="22"/>
      <c r="Q716" s="22"/>
      <c r="R716" s="22"/>
    </row>
    <row r="717" hidden="1">
      <c r="A717" s="93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19"/>
      <c r="P717" s="22"/>
      <c r="Q717" s="22"/>
      <c r="R717" s="22"/>
    </row>
    <row r="718" hidden="1">
      <c r="A718" s="93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19"/>
      <c r="P718" s="22"/>
      <c r="Q718" s="22"/>
      <c r="R718" s="22"/>
    </row>
    <row r="719" hidden="1">
      <c r="A719" s="93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19"/>
      <c r="P719" s="22"/>
      <c r="Q719" s="22"/>
      <c r="R719" s="22"/>
    </row>
    <row r="720" hidden="1">
      <c r="A720" s="93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19"/>
      <c r="P720" s="22"/>
      <c r="Q720" s="22"/>
      <c r="R720" s="22"/>
    </row>
    <row r="721" hidden="1">
      <c r="A721" s="93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19"/>
      <c r="P721" s="22"/>
      <c r="Q721" s="22"/>
      <c r="R721" s="22"/>
    </row>
    <row r="722" hidden="1">
      <c r="A722" s="93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19"/>
      <c r="P722" s="22"/>
      <c r="Q722" s="22"/>
      <c r="R722" s="22"/>
    </row>
    <row r="723" hidden="1">
      <c r="A723" s="93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19"/>
      <c r="P723" s="22"/>
      <c r="Q723" s="22"/>
      <c r="R723" s="22"/>
    </row>
    <row r="724" hidden="1">
      <c r="A724" s="93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19"/>
      <c r="P724" s="22"/>
      <c r="Q724" s="22"/>
      <c r="R724" s="22"/>
    </row>
    <row r="725" hidden="1">
      <c r="A725" s="93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19"/>
      <c r="P725" s="22"/>
      <c r="Q725" s="22"/>
      <c r="R725" s="22"/>
    </row>
    <row r="726" hidden="1">
      <c r="A726" s="93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19"/>
      <c r="P726" s="22"/>
      <c r="Q726" s="22"/>
      <c r="R726" s="22"/>
    </row>
    <row r="727" hidden="1">
      <c r="A727" s="93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19"/>
      <c r="P727" s="22"/>
      <c r="Q727" s="22"/>
      <c r="R727" s="22"/>
    </row>
    <row r="728" hidden="1">
      <c r="A728" s="93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19"/>
      <c r="P728" s="22"/>
      <c r="Q728" s="22"/>
      <c r="R728" s="22"/>
    </row>
    <row r="729" hidden="1">
      <c r="A729" s="93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19"/>
      <c r="P729" s="22"/>
      <c r="Q729" s="22"/>
      <c r="R729" s="22"/>
    </row>
    <row r="730" hidden="1">
      <c r="A730" s="93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19"/>
      <c r="P730" s="22"/>
      <c r="Q730" s="22"/>
      <c r="R730" s="22"/>
    </row>
    <row r="731" hidden="1">
      <c r="A731" s="93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19"/>
      <c r="P731" s="22"/>
      <c r="Q731" s="22"/>
      <c r="R731" s="22"/>
    </row>
    <row r="732" hidden="1">
      <c r="A732" s="93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19"/>
      <c r="P732" s="22"/>
      <c r="Q732" s="22"/>
      <c r="R732" s="22"/>
    </row>
    <row r="733" hidden="1">
      <c r="A733" s="93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19"/>
      <c r="P733" s="22"/>
      <c r="Q733" s="22"/>
      <c r="R733" s="22"/>
    </row>
    <row r="734" hidden="1">
      <c r="A734" s="93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19"/>
      <c r="P734" s="22"/>
      <c r="Q734" s="22"/>
      <c r="R734" s="22"/>
    </row>
    <row r="735" hidden="1">
      <c r="A735" s="93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19"/>
      <c r="P735" s="22"/>
      <c r="Q735" s="22"/>
      <c r="R735" s="22"/>
    </row>
    <row r="736" hidden="1">
      <c r="A736" s="93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19"/>
      <c r="P736" s="22"/>
      <c r="Q736" s="22"/>
      <c r="R736" s="22"/>
    </row>
    <row r="737" hidden="1">
      <c r="A737" s="93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19"/>
      <c r="P737" s="22"/>
      <c r="Q737" s="22"/>
      <c r="R737" s="22"/>
    </row>
    <row r="738" hidden="1">
      <c r="A738" s="93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19"/>
      <c r="P738" s="22"/>
      <c r="Q738" s="22"/>
      <c r="R738" s="22"/>
    </row>
    <row r="739" hidden="1">
      <c r="A739" s="93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19"/>
      <c r="P739" s="22"/>
      <c r="Q739" s="22"/>
      <c r="R739" s="22"/>
    </row>
    <row r="740" hidden="1">
      <c r="A740" s="93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19"/>
      <c r="P740" s="22"/>
      <c r="Q740" s="22"/>
      <c r="R740" s="22"/>
    </row>
    <row r="741" hidden="1">
      <c r="A741" s="93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19"/>
      <c r="P741" s="22"/>
      <c r="Q741" s="22"/>
      <c r="R741" s="22"/>
    </row>
    <row r="742" hidden="1">
      <c r="A742" s="93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19"/>
      <c r="P742" s="22"/>
      <c r="Q742" s="22"/>
      <c r="R742" s="22"/>
    </row>
    <row r="743" hidden="1">
      <c r="A743" s="93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19"/>
      <c r="P743" s="22"/>
      <c r="Q743" s="22"/>
      <c r="R743" s="22"/>
    </row>
    <row r="744" hidden="1">
      <c r="A744" s="93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19"/>
      <c r="P744" s="22"/>
      <c r="Q744" s="22"/>
      <c r="R744" s="22"/>
    </row>
    <row r="745" hidden="1">
      <c r="A745" s="93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19"/>
      <c r="P745" s="22"/>
      <c r="Q745" s="22"/>
      <c r="R745" s="22"/>
    </row>
    <row r="746" hidden="1">
      <c r="A746" s="93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19"/>
      <c r="P746" s="22"/>
      <c r="Q746" s="22"/>
      <c r="R746" s="22"/>
    </row>
    <row r="747" hidden="1">
      <c r="A747" s="93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19"/>
      <c r="P747" s="22"/>
      <c r="Q747" s="22"/>
      <c r="R747" s="22"/>
    </row>
    <row r="748" hidden="1">
      <c r="A748" s="93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19"/>
      <c r="P748" s="22"/>
      <c r="Q748" s="22"/>
      <c r="R748" s="22"/>
    </row>
    <row r="749" hidden="1">
      <c r="A749" s="93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19"/>
      <c r="P749" s="22"/>
      <c r="Q749" s="22"/>
      <c r="R749" s="22"/>
    </row>
    <row r="750" hidden="1">
      <c r="A750" s="93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19"/>
      <c r="P750" s="22"/>
      <c r="Q750" s="22"/>
      <c r="R750" s="22"/>
    </row>
    <row r="751" hidden="1">
      <c r="A751" s="93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19"/>
      <c r="P751" s="22"/>
      <c r="Q751" s="22"/>
      <c r="R751" s="22"/>
    </row>
    <row r="752" hidden="1">
      <c r="A752" s="93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19"/>
      <c r="P752" s="22"/>
      <c r="Q752" s="22"/>
      <c r="R752" s="22"/>
    </row>
    <row r="753" hidden="1">
      <c r="A753" s="93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19"/>
      <c r="P753" s="22"/>
      <c r="Q753" s="22"/>
      <c r="R753" s="22"/>
    </row>
    <row r="754" hidden="1">
      <c r="A754" s="93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19"/>
      <c r="P754" s="22"/>
      <c r="Q754" s="22"/>
      <c r="R754" s="22"/>
    </row>
    <row r="755" hidden="1">
      <c r="A755" s="93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19"/>
      <c r="P755" s="22"/>
      <c r="Q755" s="22"/>
      <c r="R755" s="22"/>
    </row>
    <row r="756" hidden="1">
      <c r="A756" s="93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19"/>
      <c r="P756" s="22"/>
      <c r="Q756" s="22"/>
      <c r="R756" s="22"/>
    </row>
    <row r="757" hidden="1">
      <c r="A757" s="93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19"/>
      <c r="P757" s="22"/>
      <c r="Q757" s="22"/>
      <c r="R757" s="22"/>
    </row>
    <row r="758" hidden="1">
      <c r="A758" s="93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19"/>
      <c r="P758" s="22"/>
      <c r="Q758" s="22"/>
      <c r="R758" s="22"/>
    </row>
    <row r="759" hidden="1">
      <c r="A759" s="93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19"/>
      <c r="P759" s="22"/>
      <c r="Q759" s="22"/>
      <c r="R759" s="22"/>
    </row>
    <row r="760" hidden="1">
      <c r="A760" s="93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19"/>
      <c r="P760" s="22"/>
      <c r="Q760" s="22"/>
      <c r="R760" s="22"/>
    </row>
    <row r="761" hidden="1">
      <c r="A761" s="93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19"/>
      <c r="P761" s="22"/>
      <c r="Q761" s="22"/>
      <c r="R761" s="22"/>
    </row>
    <row r="762" hidden="1">
      <c r="A762" s="93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19"/>
      <c r="P762" s="22"/>
      <c r="Q762" s="22"/>
      <c r="R762" s="22"/>
    </row>
    <row r="763" hidden="1">
      <c r="A763" s="93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19"/>
      <c r="P763" s="22"/>
      <c r="Q763" s="22"/>
      <c r="R763" s="22"/>
    </row>
    <row r="764" hidden="1">
      <c r="A764" s="93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19"/>
      <c r="P764" s="22"/>
      <c r="Q764" s="22"/>
      <c r="R764" s="22"/>
    </row>
    <row r="765" hidden="1">
      <c r="A765" s="93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19"/>
      <c r="P765" s="22"/>
      <c r="Q765" s="22"/>
      <c r="R765" s="22"/>
    </row>
    <row r="766" hidden="1">
      <c r="A766" s="93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19"/>
      <c r="P766" s="22"/>
      <c r="Q766" s="22"/>
      <c r="R766" s="22"/>
    </row>
    <row r="767" hidden="1">
      <c r="A767" s="93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19"/>
      <c r="P767" s="22"/>
      <c r="Q767" s="22"/>
      <c r="R767" s="22"/>
    </row>
    <row r="768" hidden="1">
      <c r="A768" s="93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19"/>
      <c r="P768" s="22"/>
      <c r="Q768" s="22"/>
      <c r="R768" s="22"/>
    </row>
    <row r="769" hidden="1">
      <c r="A769" s="93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19"/>
      <c r="P769" s="22"/>
      <c r="Q769" s="22"/>
      <c r="R769" s="22"/>
    </row>
    <row r="770" hidden="1">
      <c r="A770" s="93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19"/>
      <c r="P770" s="22"/>
      <c r="Q770" s="22"/>
      <c r="R770" s="22"/>
    </row>
    <row r="771" hidden="1">
      <c r="A771" s="93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19"/>
      <c r="P771" s="22"/>
      <c r="Q771" s="22"/>
      <c r="R771" s="22"/>
    </row>
    <row r="772" hidden="1">
      <c r="A772" s="93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19"/>
      <c r="P772" s="22"/>
      <c r="Q772" s="22"/>
      <c r="R772" s="22"/>
    </row>
    <row r="773" hidden="1">
      <c r="A773" s="93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19"/>
      <c r="P773" s="22"/>
      <c r="Q773" s="22"/>
      <c r="R773" s="22"/>
    </row>
    <row r="774" hidden="1">
      <c r="A774" s="93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19"/>
      <c r="P774" s="22"/>
      <c r="Q774" s="22"/>
      <c r="R774" s="22"/>
    </row>
    <row r="775" hidden="1">
      <c r="A775" s="93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19"/>
      <c r="P775" s="22"/>
      <c r="Q775" s="22"/>
      <c r="R775" s="22"/>
    </row>
    <row r="776" hidden="1">
      <c r="A776" s="93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19"/>
      <c r="P776" s="22"/>
      <c r="Q776" s="22"/>
      <c r="R776" s="22"/>
    </row>
    <row r="777" hidden="1">
      <c r="A777" s="93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19"/>
      <c r="P777" s="22"/>
      <c r="Q777" s="22"/>
      <c r="R777" s="22"/>
    </row>
    <row r="778" hidden="1">
      <c r="A778" s="93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19"/>
      <c r="P778" s="22"/>
      <c r="Q778" s="22"/>
      <c r="R778" s="22"/>
    </row>
    <row r="779" hidden="1">
      <c r="A779" s="93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19"/>
      <c r="P779" s="22"/>
      <c r="Q779" s="22"/>
      <c r="R779" s="22"/>
    </row>
    <row r="780" hidden="1">
      <c r="A780" s="93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19"/>
      <c r="P780" s="22"/>
      <c r="Q780" s="22"/>
      <c r="R780" s="22"/>
    </row>
    <row r="781" hidden="1">
      <c r="A781" s="93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19"/>
      <c r="P781" s="22"/>
      <c r="Q781" s="22"/>
      <c r="R781" s="22"/>
    </row>
    <row r="782" hidden="1">
      <c r="A782" s="93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19"/>
      <c r="P782" s="22"/>
      <c r="Q782" s="22"/>
      <c r="R782" s="22"/>
    </row>
    <row r="783" hidden="1">
      <c r="A783" s="93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19"/>
      <c r="P783" s="22"/>
      <c r="Q783" s="22"/>
      <c r="R783" s="22"/>
    </row>
    <row r="784" hidden="1">
      <c r="A784" s="93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19"/>
      <c r="P784" s="22"/>
      <c r="Q784" s="22"/>
      <c r="R784" s="22"/>
    </row>
    <row r="785" hidden="1">
      <c r="A785" s="93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19"/>
      <c r="P785" s="22"/>
      <c r="Q785" s="22"/>
      <c r="R785" s="22"/>
    </row>
    <row r="786" hidden="1">
      <c r="A786" s="93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19"/>
      <c r="P786" s="22"/>
      <c r="Q786" s="22"/>
      <c r="R786" s="22"/>
    </row>
    <row r="787" hidden="1">
      <c r="A787" s="93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19"/>
      <c r="P787" s="22"/>
      <c r="Q787" s="22"/>
      <c r="R787" s="22"/>
    </row>
    <row r="788" hidden="1">
      <c r="A788" s="93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19"/>
      <c r="P788" s="22"/>
      <c r="Q788" s="22"/>
      <c r="R788" s="22"/>
    </row>
    <row r="789" hidden="1">
      <c r="A789" s="93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19"/>
      <c r="P789" s="22"/>
      <c r="Q789" s="22"/>
      <c r="R789" s="22"/>
    </row>
    <row r="790" hidden="1">
      <c r="A790" s="93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19"/>
      <c r="P790" s="22"/>
      <c r="Q790" s="22"/>
      <c r="R790" s="22"/>
    </row>
    <row r="791" hidden="1">
      <c r="A791" s="93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19"/>
      <c r="P791" s="22"/>
      <c r="Q791" s="22"/>
      <c r="R791" s="22"/>
    </row>
    <row r="792" hidden="1">
      <c r="A792" s="93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19"/>
      <c r="P792" s="22"/>
      <c r="Q792" s="22"/>
      <c r="R792" s="22"/>
    </row>
    <row r="793" hidden="1">
      <c r="A793" s="93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19"/>
      <c r="P793" s="22"/>
      <c r="Q793" s="22"/>
      <c r="R793" s="22"/>
    </row>
    <row r="794" hidden="1">
      <c r="A794" s="93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19"/>
      <c r="P794" s="22"/>
      <c r="Q794" s="22"/>
      <c r="R794" s="22"/>
    </row>
    <row r="795" hidden="1">
      <c r="A795" s="93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19"/>
      <c r="P795" s="22"/>
      <c r="Q795" s="22"/>
      <c r="R795" s="22"/>
    </row>
    <row r="796" hidden="1">
      <c r="A796" s="93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19"/>
      <c r="P796" s="22"/>
      <c r="Q796" s="22"/>
      <c r="R796" s="22"/>
    </row>
    <row r="797" hidden="1">
      <c r="A797" s="93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19"/>
      <c r="P797" s="22"/>
      <c r="Q797" s="22"/>
      <c r="R797" s="22"/>
    </row>
    <row r="798" hidden="1">
      <c r="A798" s="93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19"/>
      <c r="P798" s="22"/>
      <c r="Q798" s="22"/>
      <c r="R798" s="22"/>
    </row>
    <row r="799" hidden="1">
      <c r="A799" s="93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19"/>
      <c r="P799" s="22"/>
      <c r="Q799" s="22"/>
      <c r="R799" s="22"/>
    </row>
    <row r="800" hidden="1">
      <c r="A800" s="93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19"/>
      <c r="P800" s="22"/>
      <c r="Q800" s="22"/>
      <c r="R800" s="22"/>
    </row>
    <row r="801" hidden="1">
      <c r="A801" s="93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19"/>
      <c r="P801" s="22"/>
      <c r="Q801" s="22"/>
      <c r="R801" s="22"/>
    </row>
    <row r="802" hidden="1">
      <c r="A802" s="93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19"/>
      <c r="P802" s="22"/>
      <c r="Q802" s="22"/>
      <c r="R802" s="22"/>
    </row>
    <row r="803" hidden="1">
      <c r="A803" s="93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19"/>
      <c r="P803" s="22"/>
      <c r="Q803" s="22"/>
      <c r="R803" s="22"/>
    </row>
    <row r="804" hidden="1">
      <c r="A804" s="93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19"/>
      <c r="P804" s="22"/>
      <c r="Q804" s="22"/>
      <c r="R804" s="22"/>
    </row>
    <row r="805" hidden="1">
      <c r="A805" s="93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19"/>
      <c r="P805" s="22"/>
      <c r="Q805" s="22"/>
      <c r="R805" s="22"/>
    </row>
    <row r="806" hidden="1">
      <c r="A806" s="93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19"/>
      <c r="P806" s="22"/>
      <c r="Q806" s="22"/>
      <c r="R806" s="22"/>
    </row>
    <row r="807" hidden="1">
      <c r="A807" s="93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19"/>
      <c r="P807" s="22"/>
      <c r="Q807" s="22"/>
      <c r="R807" s="22"/>
    </row>
    <row r="808" hidden="1">
      <c r="A808" s="93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19"/>
      <c r="P808" s="22"/>
      <c r="Q808" s="22"/>
      <c r="R808" s="22"/>
    </row>
    <row r="809" hidden="1">
      <c r="A809" s="93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19"/>
      <c r="P809" s="22"/>
      <c r="Q809" s="22"/>
      <c r="R809" s="22"/>
    </row>
    <row r="810" hidden="1">
      <c r="A810" s="93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19"/>
      <c r="P810" s="22"/>
      <c r="Q810" s="22"/>
      <c r="R810" s="22"/>
    </row>
    <row r="811" hidden="1">
      <c r="A811" s="93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19"/>
      <c r="P811" s="22"/>
      <c r="Q811" s="22"/>
      <c r="R811" s="22"/>
    </row>
    <row r="812" hidden="1">
      <c r="A812" s="93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19"/>
      <c r="P812" s="22"/>
      <c r="Q812" s="22"/>
      <c r="R812" s="22"/>
    </row>
    <row r="813" hidden="1">
      <c r="A813" s="93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19"/>
      <c r="P813" s="22"/>
      <c r="Q813" s="22"/>
      <c r="R813" s="22"/>
    </row>
    <row r="814" hidden="1">
      <c r="A814" s="93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19"/>
      <c r="P814" s="22"/>
      <c r="Q814" s="22"/>
      <c r="R814" s="22"/>
    </row>
    <row r="815" hidden="1">
      <c r="A815" s="93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19"/>
      <c r="P815" s="22"/>
      <c r="Q815" s="22"/>
      <c r="R815" s="22"/>
    </row>
    <row r="816" hidden="1">
      <c r="A816" s="93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19"/>
      <c r="P816" s="22"/>
      <c r="Q816" s="22"/>
      <c r="R816" s="22"/>
    </row>
    <row r="817" hidden="1">
      <c r="A817" s="93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19"/>
      <c r="P817" s="22"/>
      <c r="Q817" s="22"/>
      <c r="R817" s="22"/>
    </row>
    <row r="818" hidden="1">
      <c r="A818" s="93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19"/>
      <c r="P818" s="22"/>
      <c r="Q818" s="22"/>
      <c r="R818" s="22"/>
    </row>
    <row r="819" hidden="1">
      <c r="A819" s="93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19"/>
      <c r="P819" s="22"/>
      <c r="Q819" s="22"/>
      <c r="R819" s="22"/>
    </row>
    <row r="820" hidden="1">
      <c r="A820" s="93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19"/>
      <c r="P820" s="22"/>
      <c r="Q820" s="22"/>
      <c r="R820" s="22"/>
    </row>
    <row r="821" hidden="1">
      <c r="A821" s="93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19"/>
      <c r="P821" s="22"/>
      <c r="Q821" s="22"/>
      <c r="R821" s="22"/>
    </row>
    <row r="822" hidden="1">
      <c r="A822" s="93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19"/>
      <c r="P822" s="22"/>
      <c r="Q822" s="22"/>
      <c r="R822" s="22"/>
    </row>
    <row r="823" hidden="1">
      <c r="A823" s="93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19"/>
      <c r="P823" s="22"/>
      <c r="Q823" s="22"/>
      <c r="R823" s="22"/>
    </row>
    <row r="824" hidden="1">
      <c r="A824" s="93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19"/>
      <c r="P824" s="22"/>
      <c r="Q824" s="22"/>
      <c r="R824" s="22"/>
    </row>
    <row r="825" hidden="1">
      <c r="A825" s="93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19"/>
      <c r="P825" s="22"/>
      <c r="Q825" s="22"/>
      <c r="R825" s="22"/>
    </row>
    <row r="826" hidden="1">
      <c r="A826" s="93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19"/>
      <c r="P826" s="22"/>
      <c r="Q826" s="22"/>
      <c r="R826" s="22"/>
    </row>
    <row r="827" hidden="1">
      <c r="A827" s="93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19"/>
      <c r="P827" s="22"/>
      <c r="Q827" s="22"/>
      <c r="R827" s="22"/>
    </row>
    <row r="828" hidden="1">
      <c r="A828" s="93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19"/>
      <c r="P828" s="22"/>
      <c r="Q828" s="22"/>
      <c r="R828" s="22"/>
    </row>
    <row r="829" hidden="1">
      <c r="A829" s="93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19"/>
      <c r="P829" s="22"/>
      <c r="Q829" s="22"/>
      <c r="R829" s="22"/>
    </row>
    <row r="830" hidden="1">
      <c r="A830" s="93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19"/>
      <c r="P830" s="22"/>
      <c r="Q830" s="22"/>
      <c r="R830" s="22"/>
    </row>
    <row r="831" hidden="1">
      <c r="A831" s="93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19"/>
      <c r="P831" s="22"/>
      <c r="Q831" s="22"/>
      <c r="R831" s="22"/>
    </row>
    <row r="832" hidden="1">
      <c r="A832" s="93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19"/>
      <c r="P832" s="22"/>
      <c r="Q832" s="22"/>
      <c r="R832" s="22"/>
    </row>
    <row r="833" hidden="1">
      <c r="A833" s="93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19"/>
      <c r="P833" s="22"/>
      <c r="Q833" s="22"/>
      <c r="R833" s="22"/>
    </row>
    <row r="834" hidden="1">
      <c r="A834" s="93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19"/>
      <c r="P834" s="22"/>
      <c r="Q834" s="22"/>
      <c r="R834" s="22"/>
    </row>
    <row r="835" hidden="1">
      <c r="A835" s="93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19"/>
      <c r="P835" s="22"/>
      <c r="Q835" s="22"/>
      <c r="R835" s="22"/>
    </row>
    <row r="836" hidden="1">
      <c r="A836" s="93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19"/>
      <c r="P836" s="22"/>
      <c r="Q836" s="22"/>
      <c r="R836" s="22"/>
    </row>
    <row r="837" hidden="1">
      <c r="A837" s="93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19"/>
      <c r="P837" s="22"/>
      <c r="Q837" s="22"/>
      <c r="R837" s="22"/>
    </row>
    <row r="838" hidden="1">
      <c r="A838" s="93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19"/>
      <c r="P838" s="22"/>
      <c r="Q838" s="22"/>
      <c r="R838" s="22"/>
    </row>
    <row r="839" hidden="1">
      <c r="A839" s="93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19"/>
      <c r="P839" s="22"/>
      <c r="Q839" s="22"/>
      <c r="R839" s="22"/>
    </row>
    <row r="840" hidden="1">
      <c r="A840" s="93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19"/>
      <c r="P840" s="22"/>
      <c r="Q840" s="22"/>
      <c r="R840" s="22"/>
    </row>
    <row r="841" hidden="1">
      <c r="A841" s="93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19"/>
      <c r="P841" s="22"/>
      <c r="Q841" s="22"/>
      <c r="R841" s="22"/>
    </row>
    <row r="842" hidden="1">
      <c r="A842" s="93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19"/>
      <c r="P842" s="22"/>
      <c r="Q842" s="22"/>
      <c r="R842" s="22"/>
    </row>
    <row r="843" hidden="1">
      <c r="A843" s="93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19"/>
      <c r="P843" s="22"/>
      <c r="Q843" s="22"/>
      <c r="R843" s="22"/>
    </row>
    <row r="844" hidden="1">
      <c r="A844" s="93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19"/>
      <c r="P844" s="22"/>
      <c r="Q844" s="22"/>
      <c r="R844" s="22"/>
    </row>
    <row r="845" hidden="1">
      <c r="A845" s="93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19"/>
      <c r="P845" s="22"/>
      <c r="Q845" s="22"/>
      <c r="R845" s="22"/>
    </row>
    <row r="846" hidden="1">
      <c r="A846" s="93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19"/>
      <c r="P846" s="22"/>
      <c r="Q846" s="22"/>
      <c r="R846" s="22"/>
    </row>
    <row r="847" hidden="1">
      <c r="A847" s="93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19"/>
      <c r="P847" s="22"/>
      <c r="Q847" s="22"/>
      <c r="R847" s="22"/>
    </row>
    <row r="848" hidden="1">
      <c r="A848" s="93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19"/>
      <c r="P848" s="22"/>
      <c r="Q848" s="22"/>
      <c r="R848" s="22"/>
    </row>
    <row r="849" hidden="1">
      <c r="A849" s="93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19"/>
      <c r="P849" s="22"/>
      <c r="Q849" s="22"/>
      <c r="R849" s="22"/>
    </row>
    <row r="850" hidden="1">
      <c r="A850" s="93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19"/>
      <c r="P850" s="22"/>
      <c r="Q850" s="22"/>
      <c r="R850" s="22"/>
    </row>
    <row r="851" hidden="1">
      <c r="A851" s="93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19"/>
      <c r="P851" s="22"/>
      <c r="Q851" s="22"/>
      <c r="R851" s="22"/>
    </row>
    <row r="852" hidden="1">
      <c r="A852" s="93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19"/>
      <c r="P852" s="22"/>
      <c r="Q852" s="22"/>
      <c r="R852" s="22"/>
    </row>
    <row r="853" hidden="1">
      <c r="A853" s="93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19"/>
      <c r="P853" s="22"/>
      <c r="Q853" s="22"/>
      <c r="R853" s="22"/>
    </row>
    <row r="854" hidden="1">
      <c r="A854" s="93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19"/>
      <c r="P854" s="22"/>
      <c r="Q854" s="22"/>
      <c r="R854" s="22"/>
    </row>
    <row r="855" hidden="1">
      <c r="A855" s="93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19"/>
      <c r="P855" s="22"/>
      <c r="Q855" s="22"/>
      <c r="R855" s="22"/>
    </row>
    <row r="856" hidden="1">
      <c r="A856" s="93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19"/>
      <c r="P856" s="22"/>
      <c r="Q856" s="22"/>
      <c r="R856" s="22"/>
    </row>
    <row r="857" hidden="1">
      <c r="A857" s="93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19"/>
      <c r="P857" s="22"/>
      <c r="Q857" s="22"/>
      <c r="R857" s="22"/>
    </row>
    <row r="858" hidden="1">
      <c r="A858" s="93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19"/>
      <c r="P858" s="22"/>
      <c r="Q858" s="22"/>
      <c r="R858" s="22"/>
    </row>
    <row r="859" hidden="1">
      <c r="A859" s="93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19"/>
      <c r="P859" s="22"/>
      <c r="Q859" s="22"/>
      <c r="R859" s="22"/>
    </row>
    <row r="860" hidden="1">
      <c r="A860" s="93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19"/>
      <c r="P860" s="22"/>
      <c r="Q860" s="22"/>
      <c r="R860" s="22"/>
    </row>
    <row r="861" hidden="1">
      <c r="A861" s="93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19"/>
      <c r="P861" s="22"/>
      <c r="Q861" s="22"/>
      <c r="R861" s="22"/>
    </row>
    <row r="862" hidden="1">
      <c r="A862" s="93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19"/>
      <c r="P862" s="22"/>
      <c r="Q862" s="22"/>
      <c r="R862" s="22"/>
    </row>
    <row r="863" hidden="1">
      <c r="A863" s="93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19"/>
      <c r="P863" s="22"/>
      <c r="Q863" s="22"/>
      <c r="R863" s="22"/>
    </row>
    <row r="864" hidden="1">
      <c r="A864" s="93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19"/>
      <c r="P864" s="22"/>
      <c r="Q864" s="22"/>
      <c r="R864" s="22"/>
    </row>
    <row r="865" hidden="1">
      <c r="A865" s="93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19"/>
      <c r="P865" s="22"/>
      <c r="Q865" s="22"/>
      <c r="R865" s="22"/>
    </row>
    <row r="866" hidden="1">
      <c r="A866" s="93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19"/>
      <c r="P866" s="22"/>
      <c r="Q866" s="22"/>
      <c r="R866" s="22"/>
    </row>
    <row r="867" hidden="1">
      <c r="A867" s="93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19"/>
      <c r="P867" s="22"/>
      <c r="Q867" s="22"/>
      <c r="R867" s="22"/>
    </row>
    <row r="868" hidden="1">
      <c r="A868" s="93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19"/>
      <c r="P868" s="22"/>
      <c r="Q868" s="22"/>
      <c r="R868" s="22"/>
    </row>
    <row r="869" hidden="1">
      <c r="A869" s="93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19"/>
      <c r="P869" s="22"/>
      <c r="Q869" s="22"/>
      <c r="R869" s="22"/>
    </row>
    <row r="870" hidden="1">
      <c r="A870" s="93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19"/>
      <c r="P870" s="22"/>
      <c r="Q870" s="22"/>
      <c r="R870" s="22"/>
    </row>
    <row r="871" hidden="1">
      <c r="A871" s="93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19"/>
      <c r="P871" s="22"/>
      <c r="Q871" s="22"/>
      <c r="R871" s="22"/>
    </row>
    <row r="872" hidden="1">
      <c r="A872" s="93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19"/>
      <c r="P872" s="22"/>
      <c r="Q872" s="22"/>
      <c r="R872" s="22"/>
    </row>
    <row r="873" hidden="1">
      <c r="A873" s="93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19"/>
      <c r="P873" s="22"/>
      <c r="Q873" s="22"/>
      <c r="R873" s="22"/>
    </row>
    <row r="874" hidden="1">
      <c r="A874" s="93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19"/>
      <c r="P874" s="22"/>
      <c r="Q874" s="22"/>
      <c r="R874" s="22"/>
    </row>
    <row r="875" hidden="1">
      <c r="A875" s="93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19"/>
      <c r="P875" s="22"/>
      <c r="Q875" s="22"/>
      <c r="R875" s="22"/>
    </row>
    <row r="876" hidden="1">
      <c r="A876" s="93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19"/>
      <c r="P876" s="22"/>
      <c r="Q876" s="22"/>
      <c r="R876" s="22"/>
    </row>
    <row r="877" hidden="1">
      <c r="A877" s="93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19"/>
      <c r="P877" s="22"/>
      <c r="Q877" s="22"/>
      <c r="R877" s="22"/>
    </row>
    <row r="878" hidden="1">
      <c r="A878" s="93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19"/>
      <c r="P878" s="22"/>
      <c r="Q878" s="22"/>
      <c r="R878" s="22"/>
    </row>
    <row r="879" hidden="1">
      <c r="A879" s="93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19"/>
      <c r="P879" s="22"/>
      <c r="Q879" s="22"/>
      <c r="R879" s="22"/>
    </row>
    <row r="880" hidden="1">
      <c r="A880" s="93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19"/>
      <c r="P880" s="22"/>
      <c r="Q880" s="22"/>
      <c r="R880" s="22"/>
    </row>
    <row r="881" hidden="1">
      <c r="A881" s="93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19"/>
      <c r="P881" s="22"/>
      <c r="Q881" s="22"/>
      <c r="R881" s="22"/>
    </row>
    <row r="882" hidden="1">
      <c r="A882" s="93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19"/>
      <c r="P882" s="22"/>
      <c r="Q882" s="22"/>
      <c r="R882" s="22"/>
    </row>
    <row r="883" hidden="1">
      <c r="A883" s="93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19"/>
      <c r="P883" s="22"/>
      <c r="Q883" s="22"/>
      <c r="R883" s="22"/>
    </row>
    <row r="884" hidden="1">
      <c r="A884" s="93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19"/>
      <c r="P884" s="22"/>
      <c r="Q884" s="22"/>
      <c r="R884" s="22"/>
    </row>
    <row r="885" hidden="1">
      <c r="A885" s="93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19"/>
      <c r="P885" s="22"/>
      <c r="Q885" s="22"/>
      <c r="R885" s="22"/>
    </row>
    <row r="886" hidden="1">
      <c r="A886" s="93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19"/>
      <c r="P886" s="22"/>
      <c r="Q886" s="22"/>
      <c r="R886" s="22"/>
    </row>
    <row r="887" hidden="1">
      <c r="A887" s="93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19"/>
      <c r="P887" s="22"/>
      <c r="Q887" s="22"/>
      <c r="R887" s="22"/>
    </row>
    <row r="888" hidden="1">
      <c r="A888" s="93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19"/>
      <c r="P888" s="22"/>
      <c r="Q888" s="22"/>
      <c r="R888" s="22"/>
    </row>
    <row r="889" hidden="1">
      <c r="A889" s="93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19"/>
      <c r="P889" s="22"/>
      <c r="Q889" s="22"/>
      <c r="R889" s="22"/>
    </row>
    <row r="890" hidden="1">
      <c r="A890" s="93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19"/>
      <c r="P890" s="22"/>
      <c r="Q890" s="22"/>
      <c r="R890" s="22"/>
    </row>
    <row r="891" hidden="1">
      <c r="A891" s="93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19"/>
      <c r="P891" s="22"/>
      <c r="Q891" s="22"/>
      <c r="R891" s="22"/>
    </row>
    <row r="892" hidden="1">
      <c r="A892" s="93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19"/>
      <c r="P892" s="22"/>
      <c r="Q892" s="22"/>
      <c r="R892" s="22"/>
    </row>
    <row r="893" hidden="1">
      <c r="A893" s="93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19"/>
      <c r="P893" s="22"/>
      <c r="Q893" s="22"/>
      <c r="R893" s="22"/>
    </row>
    <row r="894" hidden="1">
      <c r="A894" s="93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19"/>
      <c r="P894" s="22"/>
      <c r="Q894" s="22"/>
      <c r="R894" s="22"/>
    </row>
    <row r="895" hidden="1">
      <c r="A895" s="93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19"/>
      <c r="P895" s="22"/>
      <c r="Q895" s="22"/>
      <c r="R895" s="22"/>
    </row>
    <row r="896" hidden="1">
      <c r="A896" s="93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19"/>
      <c r="P896" s="22"/>
      <c r="Q896" s="22"/>
      <c r="R896" s="22"/>
    </row>
    <row r="897" hidden="1">
      <c r="A897" s="93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19"/>
      <c r="P897" s="22"/>
      <c r="Q897" s="22"/>
      <c r="R897" s="22"/>
    </row>
    <row r="898" hidden="1">
      <c r="A898" s="93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19"/>
      <c r="P898" s="22"/>
      <c r="Q898" s="22"/>
      <c r="R898" s="22"/>
    </row>
    <row r="899" hidden="1">
      <c r="A899" s="93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19"/>
      <c r="P899" s="22"/>
      <c r="Q899" s="22"/>
      <c r="R899" s="22"/>
    </row>
    <row r="900" hidden="1">
      <c r="A900" s="93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19"/>
      <c r="P900" s="22"/>
      <c r="Q900" s="22"/>
      <c r="R900" s="22"/>
    </row>
    <row r="901" hidden="1">
      <c r="A901" s="93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19"/>
      <c r="P901" s="22"/>
      <c r="Q901" s="22"/>
      <c r="R901" s="22"/>
    </row>
    <row r="902" hidden="1">
      <c r="A902" s="93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19"/>
      <c r="P902" s="22"/>
      <c r="Q902" s="22"/>
      <c r="R902" s="22"/>
    </row>
    <row r="903" hidden="1">
      <c r="A903" s="93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19"/>
      <c r="P903" s="22"/>
      <c r="Q903" s="22"/>
      <c r="R903" s="22"/>
    </row>
    <row r="904" hidden="1">
      <c r="A904" s="93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19"/>
      <c r="P904" s="22"/>
      <c r="Q904" s="22"/>
      <c r="R904" s="22"/>
    </row>
    <row r="905" hidden="1">
      <c r="A905" s="93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19"/>
      <c r="P905" s="22"/>
      <c r="Q905" s="22"/>
      <c r="R905" s="22"/>
    </row>
    <row r="906" hidden="1">
      <c r="A906" s="93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19"/>
      <c r="P906" s="22"/>
      <c r="Q906" s="22"/>
      <c r="R906" s="22"/>
    </row>
    <row r="907" hidden="1">
      <c r="A907" s="93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19"/>
      <c r="P907" s="22"/>
      <c r="Q907" s="22"/>
      <c r="R907" s="22"/>
    </row>
    <row r="908" hidden="1">
      <c r="A908" s="93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19"/>
      <c r="P908" s="22"/>
      <c r="Q908" s="22"/>
      <c r="R908" s="22"/>
    </row>
    <row r="909" hidden="1">
      <c r="A909" s="93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19"/>
      <c r="P909" s="22"/>
      <c r="Q909" s="22"/>
      <c r="R909" s="22"/>
    </row>
    <row r="910" hidden="1">
      <c r="A910" s="93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19"/>
      <c r="P910" s="22"/>
      <c r="Q910" s="22"/>
      <c r="R910" s="22"/>
    </row>
    <row r="911" hidden="1">
      <c r="A911" s="93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19"/>
      <c r="P911" s="22"/>
      <c r="Q911" s="22"/>
      <c r="R911" s="22"/>
    </row>
    <row r="912" hidden="1">
      <c r="A912" s="93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19"/>
      <c r="P912" s="22"/>
      <c r="Q912" s="22"/>
      <c r="R912" s="22"/>
    </row>
    <row r="913" hidden="1">
      <c r="A913" s="93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19"/>
      <c r="P913" s="22"/>
      <c r="Q913" s="22"/>
      <c r="R913" s="22"/>
    </row>
    <row r="914" hidden="1">
      <c r="A914" s="93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19"/>
      <c r="P914" s="22"/>
      <c r="Q914" s="22"/>
      <c r="R914" s="22"/>
    </row>
    <row r="915" hidden="1">
      <c r="A915" s="93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19"/>
      <c r="P915" s="22"/>
      <c r="Q915" s="22"/>
      <c r="R915" s="22"/>
    </row>
    <row r="916" hidden="1">
      <c r="A916" s="93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19"/>
      <c r="P916" s="22"/>
      <c r="Q916" s="22"/>
      <c r="R916" s="22"/>
    </row>
    <row r="917" hidden="1">
      <c r="A917" s="93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19"/>
      <c r="P917" s="22"/>
      <c r="Q917" s="22"/>
      <c r="R917" s="22"/>
    </row>
    <row r="918" hidden="1">
      <c r="A918" s="93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19"/>
      <c r="P918" s="22"/>
      <c r="Q918" s="22"/>
      <c r="R918" s="22"/>
    </row>
    <row r="919" hidden="1">
      <c r="A919" s="93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19"/>
      <c r="P919" s="22"/>
      <c r="Q919" s="22"/>
      <c r="R919" s="22"/>
    </row>
    <row r="920" hidden="1">
      <c r="A920" s="93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19"/>
      <c r="P920" s="22"/>
      <c r="Q920" s="22"/>
      <c r="R920" s="22"/>
    </row>
    <row r="921" hidden="1">
      <c r="A921" s="93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19"/>
      <c r="P921" s="22"/>
      <c r="Q921" s="22"/>
      <c r="R921" s="22"/>
    </row>
    <row r="922" hidden="1">
      <c r="A922" s="93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19"/>
      <c r="P922" s="22"/>
      <c r="Q922" s="22"/>
      <c r="R922" s="22"/>
    </row>
    <row r="923" hidden="1">
      <c r="A923" s="93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19"/>
      <c r="P923" s="22"/>
      <c r="Q923" s="22"/>
      <c r="R923" s="22"/>
    </row>
    <row r="924" hidden="1">
      <c r="A924" s="93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19"/>
      <c r="P924" s="22"/>
      <c r="Q924" s="22"/>
      <c r="R924" s="22"/>
    </row>
    <row r="925" hidden="1">
      <c r="A925" s="93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19"/>
      <c r="P925" s="22"/>
      <c r="Q925" s="22"/>
      <c r="R925" s="22"/>
    </row>
    <row r="926" hidden="1">
      <c r="A926" s="93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19"/>
      <c r="P926" s="22"/>
      <c r="Q926" s="22"/>
      <c r="R926" s="22"/>
    </row>
    <row r="927" hidden="1">
      <c r="A927" s="93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19"/>
      <c r="P927" s="22"/>
      <c r="Q927" s="22"/>
      <c r="R927" s="22"/>
    </row>
    <row r="928" hidden="1">
      <c r="A928" s="93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19"/>
      <c r="P928" s="22"/>
      <c r="Q928" s="22"/>
      <c r="R928" s="22"/>
    </row>
    <row r="929" hidden="1">
      <c r="A929" s="93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19"/>
      <c r="P929" s="22"/>
      <c r="Q929" s="22"/>
      <c r="R929" s="22"/>
    </row>
    <row r="930" hidden="1">
      <c r="A930" s="93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19"/>
      <c r="P930" s="22"/>
      <c r="Q930" s="22"/>
      <c r="R930" s="22"/>
    </row>
    <row r="931" hidden="1">
      <c r="A931" s="93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19"/>
      <c r="P931" s="22"/>
      <c r="Q931" s="22"/>
      <c r="R931" s="22"/>
    </row>
    <row r="932" hidden="1">
      <c r="A932" s="93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19"/>
      <c r="P932" s="22"/>
      <c r="Q932" s="22"/>
      <c r="R932" s="22"/>
    </row>
    <row r="933" hidden="1">
      <c r="A933" s="93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19"/>
      <c r="P933" s="22"/>
      <c r="Q933" s="22"/>
      <c r="R933" s="22"/>
    </row>
    <row r="934" hidden="1">
      <c r="A934" s="93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19"/>
      <c r="P934" s="22"/>
      <c r="Q934" s="22"/>
      <c r="R934" s="22"/>
    </row>
    <row r="935" hidden="1">
      <c r="A935" s="93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19"/>
      <c r="P935" s="22"/>
      <c r="Q935" s="22"/>
      <c r="R935" s="22"/>
    </row>
    <row r="936" hidden="1">
      <c r="A936" s="93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19"/>
      <c r="P936" s="22"/>
      <c r="Q936" s="22"/>
      <c r="R936" s="22"/>
    </row>
    <row r="937" hidden="1">
      <c r="A937" s="93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19"/>
      <c r="P937" s="22"/>
      <c r="Q937" s="22"/>
      <c r="R937" s="22"/>
    </row>
    <row r="938" hidden="1">
      <c r="A938" s="93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19"/>
      <c r="P938" s="22"/>
      <c r="Q938" s="22"/>
      <c r="R938" s="22"/>
    </row>
    <row r="939" hidden="1">
      <c r="A939" s="93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19"/>
      <c r="P939" s="22"/>
      <c r="Q939" s="22"/>
      <c r="R939" s="22"/>
    </row>
    <row r="940" hidden="1">
      <c r="A940" s="93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19"/>
      <c r="P940" s="22"/>
      <c r="Q940" s="22"/>
      <c r="R940" s="22"/>
    </row>
    <row r="941" hidden="1">
      <c r="A941" s="93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19"/>
      <c r="P941" s="22"/>
      <c r="Q941" s="22"/>
      <c r="R941" s="22"/>
    </row>
    <row r="942" hidden="1">
      <c r="A942" s="93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19"/>
      <c r="P942" s="22"/>
      <c r="Q942" s="22"/>
      <c r="R942" s="22"/>
    </row>
    <row r="943" hidden="1">
      <c r="A943" s="93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19"/>
      <c r="P943" s="22"/>
      <c r="Q943" s="22"/>
      <c r="R943" s="22"/>
    </row>
    <row r="944" hidden="1">
      <c r="A944" s="93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19"/>
      <c r="P944" s="22"/>
      <c r="Q944" s="22"/>
      <c r="R944" s="22"/>
    </row>
    <row r="945" hidden="1">
      <c r="A945" s="93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19"/>
      <c r="P945" s="22"/>
      <c r="Q945" s="22"/>
      <c r="R945" s="22"/>
    </row>
    <row r="946" hidden="1">
      <c r="A946" s="93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19"/>
      <c r="P946" s="22"/>
      <c r="Q946" s="22"/>
      <c r="R946" s="22"/>
    </row>
    <row r="947" hidden="1">
      <c r="A947" s="93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19"/>
      <c r="P947" s="22"/>
      <c r="Q947" s="22"/>
      <c r="R947" s="22"/>
    </row>
    <row r="948" hidden="1">
      <c r="A948" s="93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19"/>
      <c r="P948" s="22"/>
      <c r="Q948" s="22"/>
      <c r="R948" s="22"/>
    </row>
    <row r="949" hidden="1">
      <c r="A949" s="93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19"/>
      <c r="P949" s="22"/>
      <c r="Q949" s="22"/>
      <c r="R949" s="22"/>
    </row>
    <row r="950" hidden="1">
      <c r="A950" s="93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19"/>
      <c r="P950" s="22"/>
      <c r="Q950" s="22"/>
      <c r="R950" s="22"/>
    </row>
    <row r="951" hidden="1">
      <c r="A951" s="93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19"/>
      <c r="P951" s="22"/>
      <c r="Q951" s="22"/>
      <c r="R951" s="22"/>
    </row>
    <row r="952" hidden="1">
      <c r="A952" s="93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19"/>
      <c r="P952" s="22"/>
      <c r="Q952" s="22"/>
      <c r="R952" s="22"/>
    </row>
    <row r="953" hidden="1">
      <c r="A953" s="93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19"/>
      <c r="P953" s="22"/>
      <c r="Q953" s="22"/>
      <c r="R953" s="22"/>
    </row>
    <row r="954" hidden="1">
      <c r="A954" s="93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19"/>
      <c r="P954" s="22"/>
      <c r="Q954" s="22"/>
      <c r="R954" s="22"/>
    </row>
    <row r="955" hidden="1">
      <c r="A955" s="93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19"/>
      <c r="P955" s="22"/>
      <c r="Q955" s="22"/>
      <c r="R955" s="22"/>
    </row>
    <row r="956" hidden="1">
      <c r="A956" s="93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19"/>
      <c r="P956" s="22"/>
      <c r="Q956" s="22"/>
      <c r="R956" s="22"/>
    </row>
    <row r="957" hidden="1">
      <c r="A957" s="93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19"/>
      <c r="P957" s="22"/>
      <c r="Q957" s="22"/>
      <c r="R957" s="22"/>
    </row>
    <row r="958" hidden="1">
      <c r="A958" s="93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19"/>
      <c r="P958" s="22"/>
      <c r="Q958" s="22"/>
      <c r="R958" s="22"/>
    </row>
    <row r="959" hidden="1">
      <c r="A959" s="93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19"/>
      <c r="P959" s="22"/>
      <c r="Q959" s="22"/>
      <c r="R959" s="22"/>
    </row>
    <row r="960" hidden="1">
      <c r="A960" s="93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19"/>
      <c r="P960" s="22"/>
      <c r="Q960" s="22"/>
      <c r="R960" s="22"/>
    </row>
    <row r="961" hidden="1">
      <c r="A961" s="93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19"/>
      <c r="P961" s="22"/>
      <c r="Q961" s="22"/>
      <c r="R961" s="22"/>
    </row>
    <row r="962" hidden="1">
      <c r="A962" s="93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19"/>
      <c r="P962" s="22"/>
      <c r="Q962" s="22"/>
      <c r="R962" s="22"/>
    </row>
    <row r="963" hidden="1">
      <c r="A963" s="93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19"/>
      <c r="P963" s="22"/>
      <c r="Q963" s="22"/>
      <c r="R963" s="22"/>
    </row>
    <row r="964" hidden="1">
      <c r="A964" s="93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19"/>
      <c r="P964" s="22"/>
      <c r="Q964" s="22"/>
      <c r="R964" s="22"/>
    </row>
    <row r="965" hidden="1">
      <c r="A965" s="93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19"/>
      <c r="P965" s="22"/>
      <c r="Q965" s="22"/>
      <c r="R965" s="22"/>
    </row>
    <row r="966" hidden="1">
      <c r="A966" s="93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19"/>
      <c r="P966" s="22"/>
      <c r="Q966" s="22"/>
      <c r="R966" s="22"/>
    </row>
    <row r="967" hidden="1">
      <c r="A967" s="93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19"/>
      <c r="P967" s="22"/>
      <c r="Q967" s="22"/>
      <c r="R967" s="22"/>
    </row>
    <row r="968" hidden="1">
      <c r="A968" s="93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19"/>
      <c r="P968" s="22"/>
      <c r="Q968" s="22"/>
      <c r="R968" s="22"/>
    </row>
    <row r="969" hidden="1">
      <c r="A969" s="93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19"/>
      <c r="P969" s="22"/>
      <c r="Q969" s="22"/>
      <c r="R969" s="22"/>
    </row>
    <row r="970" hidden="1">
      <c r="A970" s="93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19"/>
      <c r="P970" s="22"/>
      <c r="Q970" s="22"/>
      <c r="R970" s="22"/>
    </row>
    <row r="971" hidden="1">
      <c r="A971" s="93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19"/>
      <c r="P971" s="22"/>
      <c r="Q971" s="22"/>
      <c r="R971" s="22"/>
    </row>
    <row r="972" hidden="1">
      <c r="A972" s="93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19"/>
      <c r="P972" s="22"/>
      <c r="Q972" s="22"/>
      <c r="R972" s="22"/>
    </row>
    <row r="973" hidden="1">
      <c r="A973" s="93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19"/>
      <c r="P973" s="22"/>
      <c r="Q973" s="22"/>
      <c r="R973" s="22"/>
    </row>
    <row r="974" hidden="1">
      <c r="A974" s="93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19"/>
      <c r="P974" s="22"/>
      <c r="Q974" s="22"/>
      <c r="R974" s="22"/>
    </row>
    <row r="975" hidden="1">
      <c r="A975" s="93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19"/>
      <c r="P975" s="22"/>
      <c r="Q975" s="22"/>
      <c r="R975" s="22"/>
    </row>
    <row r="976" hidden="1">
      <c r="A976" s="93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19"/>
      <c r="P976" s="22"/>
      <c r="Q976" s="22"/>
      <c r="R976" s="22"/>
    </row>
    <row r="977" hidden="1">
      <c r="A977" s="93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19"/>
      <c r="P977" s="22"/>
      <c r="Q977" s="22"/>
      <c r="R977" s="22"/>
    </row>
    <row r="978" hidden="1">
      <c r="A978" s="93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19"/>
      <c r="P978" s="22"/>
      <c r="Q978" s="22"/>
      <c r="R978" s="22"/>
    </row>
    <row r="979" hidden="1">
      <c r="A979" s="93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19"/>
      <c r="P979" s="22"/>
      <c r="Q979" s="22"/>
      <c r="R979" s="22"/>
    </row>
    <row r="980" hidden="1">
      <c r="A980" s="93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19"/>
      <c r="P980" s="22"/>
      <c r="Q980" s="22"/>
      <c r="R980" s="22"/>
    </row>
    <row r="981" hidden="1">
      <c r="A981" s="93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19"/>
      <c r="P981" s="22"/>
      <c r="Q981" s="22"/>
      <c r="R981" s="22"/>
    </row>
    <row r="982" hidden="1">
      <c r="A982" s="93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19"/>
      <c r="P982" s="22"/>
      <c r="Q982" s="22"/>
      <c r="R982" s="22"/>
    </row>
    <row r="983" hidden="1">
      <c r="A983" s="93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19"/>
      <c r="P983" s="22"/>
      <c r="Q983" s="22"/>
      <c r="R983" s="22"/>
    </row>
    <row r="984" hidden="1">
      <c r="A984" s="93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19"/>
      <c r="P984" s="22"/>
      <c r="Q984" s="22"/>
      <c r="R984" s="22"/>
    </row>
    <row r="985" hidden="1">
      <c r="A985" s="93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19"/>
      <c r="P985" s="22"/>
      <c r="Q985" s="22"/>
      <c r="R985" s="22"/>
    </row>
    <row r="986" hidden="1">
      <c r="A986" s="93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19"/>
      <c r="P986" s="22"/>
      <c r="Q986" s="22"/>
      <c r="R986" s="22"/>
    </row>
    <row r="987" hidden="1">
      <c r="A987" s="93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19"/>
      <c r="P987" s="22"/>
      <c r="Q987" s="22"/>
      <c r="R987" s="22"/>
    </row>
    <row r="988" hidden="1">
      <c r="A988" s="93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19"/>
      <c r="P988" s="22"/>
      <c r="Q988" s="22"/>
      <c r="R988" s="22"/>
    </row>
    <row r="989" hidden="1">
      <c r="A989" s="93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19"/>
      <c r="P989" s="22"/>
      <c r="Q989" s="22"/>
      <c r="R989" s="22"/>
    </row>
    <row r="990" hidden="1">
      <c r="A990" s="93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19"/>
      <c r="P990" s="22"/>
      <c r="Q990" s="22"/>
      <c r="R990" s="22"/>
    </row>
    <row r="991" hidden="1">
      <c r="A991" s="93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19"/>
      <c r="P991" s="22"/>
      <c r="Q991" s="22"/>
      <c r="R991" s="22"/>
    </row>
    <row r="992" hidden="1">
      <c r="A992" s="93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19"/>
      <c r="P992" s="22"/>
      <c r="Q992" s="22"/>
      <c r="R992" s="22"/>
    </row>
    <row r="993" hidden="1">
      <c r="A993" s="93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19"/>
      <c r="P993" s="22"/>
      <c r="Q993" s="22"/>
      <c r="R993" s="22"/>
    </row>
    <row r="994" hidden="1">
      <c r="A994" s="93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19"/>
      <c r="P994" s="22"/>
      <c r="Q994" s="22"/>
      <c r="R994" s="22"/>
    </row>
    <row r="995" hidden="1">
      <c r="A995" s="93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19"/>
      <c r="P995" s="22"/>
      <c r="Q995" s="22"/>
      <c r="R995" s="22"/>
    </row>
    <row r="996" hidden="1">
      <c r="A996" s="93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19"/>
      <c r="P996" s="22"/>
      <c r="Q996" s="22"/>
      <c r="R996" s="22"/>
    </row>
    <row r="997" hidden="1">
      <c r="A997" s="93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19"/>
      <c r="P997" s="22"/>
      <c r="Q997" s="22"/>
      <c r="R997" s="22"/>
    </row>
    <row r="998" hidden="1">
      <c r="A998" s="93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19"/>
      <c r="P998" s="22"/>
      <c r="Q998" s="22"/>
      <c r="R998" s="22"/>
    </row>
    <row r="999" hidden="1">
      <c r="A999" s="93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19"/>
      <c r="P999" s="22"/>
      <c r="Q999" s="22"/>
      <c r="R999" s="22"/>
    </row>
    <row r="1000" hidden="1">
      <c r="A1000" s="93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19"/>
      <c r="P1000" s="22"/>
      <c r="Q1000" s="22"/>
      <c r="R1000" s="22"/>
    </row>
    <row r="1001" hidden="1">
      <c r="A1001" s="93"/>
      <c r="B1001" s="66"/>
      <c r="C1001" s="66"/>
      <c r="D1001" s="66"/>
      <c r="E1001" s="66"/>
      <c r="F1001" s="66"/>
      <c r="G1001" s="66"/>
      <c r="H1001" s="66"/>
      <c r="I1001" s="66"/>
      <c r="J1001" s="66"/>
      <c r="K1001" s="66"/>
      <c r="L1001" s="66"/>
      <c r="M1001" s="66"/>
      <c r="N1001" s="66"/>
      <c r="O1001" s="19"/>
      <c r="P1001" s="22"/>
      <c r="Q1001" s="22"/>
      <c r="R1001" s="22"/>
    </row>
    <row r="1002" hidden="1">
      <c r="A1002" s="93"/>
      <c r="B1002" s="66"/>
      <c r="C1002" s="66"/>
      <c r="D1002" s="66"/>
      <c r="E1002" s="66"/>
      <c r="F1002" s="66"/>
      <c r="G1002" s="66"/>
      <c r="H1002" s="66"/>
      <c r="I1002" s="66"/>
      <c r="J1002" s="66"/>
      <c r="K1002" s="66"/>
      <c r="L1002" s="66"/>
      <c r="M1002" s="66"/>
      <c r="N1002" s="66"/>
      <c r="O1002" s="19"/>
      <c r="P1002" s="22"/>
      <c r="Q1002" s="22"/>
      <c r="R1002" s="22"/>
    </row>
    <row r="1003" hidden="1">
      <c r="A1003" s="93"/>
      <c r="B1003" s="66"/>
      <c r="C1003" s="66"/>
      <c r="D1003" s="66"/>
      <c r="E1003" s="66"/>
      <c r="F1003" s="66"/>
      <c r="G1003" s="66"/>
      <c r="H1003" s="66"/>
      <c r="I1003" s="66"/>
      <c r="J1003" s="66"/>
      <c r="K1003" s="66"/>
      <c r="L1003" s="66"/>
      <c r="M1003" s="66"/>
      <c r="N1003" s="66"/>
      <c r="O1003" s="19"/>
      <c r="P1003" s="22"/>
      <c r="Q1003" s="22"/>
      <c r="R1003" s="22"/>
    </row>
    <row r="1004" hidden="1">
      <c r="A1004" s="93"/>
      <c r="B1004" s="66"/>
      <c r="C1004" s="66"/>
      <c r="D1004" s="66"/>
      <c r="E1004" s="66"/>
      <c r="F1004" s="66"/>
      <c r="G1004" s="66"/>
      <c r="H1004" s="66"/>
      <c r="I1004" s="66"/>
      <c r="J1004" s="66"/>
      <c r="K1004" s="66"/>
      <c r="L1004" s="66"/>
      <c r="M1004" s="66"/>
      <c r="N1004" s="66"/>
      <c r="O1004" s="19"/>
      <c r="P1004" s="22"/>
      <c r="Q1004" s="22"/>
      <c r="R1004" s="22"/>
    </row>
    <row r="1005" hidden="1">
      <c r="A1005" s="93"/>
      <c r="B1005" s="66"/>
      <c r="C1005" s="66"/>
      <c r="D1005" s="66"/>
      <c r="E1005" s="66"/>
      <c r="F1005" s="66"/>
      <c r="G1005" s="66"/>
      <c r="H1005" s="66"/>
      <c r="I1005" s="66"/>
      <c r="J1005" s="66"/>
      <c r="K1005" s="66"/>
      <c r="L1005" s="66"/>
      <c r="M1005" s="66"/>
      <c r="N1005" s="66"/>
      <c r="O1005" s="19"/>
      <c r="P1005" s="22"/>
      <c r="Q1005" s="22"/>
      <c r="R1005" s="22"/>
    </row>
    <row r="1006" hidden="1">
      <c r="A1006" s="93"/>
      <c r="B1006" s="66"/>
      <c r="C1006" s="66"/>
      <c r="D1006" s="66"/>
      <c r="E1006" s="66"/>
      <c r="F1006" s="66"/>
      <c r="G1006" s="66"/>
      <c r="H1006" s="66"/>
      <c r="I1006" s="66"/>
      <c r="J1006" s="66"/>
      <c r="K1006" s="66"/>
      <c r="L1006" s="66"/>
      <c r="M1006" s="66"/>
      <c r="N1006" s="66"/>
      <c r="O1006" s="19"/>
      <c r="P1006" s="22"/>
      <c r="Q1006" s="22"/>
      <c r="R1006" s="22"/>
    </row>
    <row r="1007" hidden="1">
      <c r="A1007" s="93"/>
      <c r="B1007" s="66"/>
      <c r="C1007" s="66"/>
      <c r="D1007" s="66"/>
      <c r="E1007" s="66"/>
      <c r="F1007" s="66"/>
      <c r="G1007" s="66"/>
      <c r="H1007" s="66"/>
      <c r="I1007" s="66"/>
      <c r="J1007" s="66"/>
      <c r="K1007" s="66"/>
      <c r="L1007" s="66"/>
      <c r="M1007" s="66"/>
      <c r="N1007" s="66"/>
      <c r="O1007" s="19"/>
      <c r="P1007" s="22"/>
      <c r="Q1007" s="22"/>
      <c r="R1007" s="22"/>
    </row>
    <row r="1008" hidden="1">
      <c r="A1008" s="93"/>
      <c r="B1008" s="66"/>
      <c r="C1008" s="66"/>
      <c r="D1008" s="66"/>
      <c r="E1008" s="66"/>
      <c r="F1008" s="66"/>
      <c r="G1008" s="66"/>
      <c r="H1008" s="66"/>
      <c r="I1008" s="66"/>
      <c r="J1008" s="66"/>
      <c r="K1008" s="66"/>
      <c r="L1008" s="66"/>
      <c r="M1008" s="66"/>
      <c r="N1008" s="66"/>
      <c r="O1008" s="19"/>
      <c r="P1008" s="22"/>
      <c r="Q1008" s="22"/>
      <c r="R1008" s="22"/>
    </row>
    <row r="1009" hidden="1">
      <c r="A1009" s="93"/>
      <c r="B1009" s="66"/>
      <c r="C1009" s="66"/>
      <c r="D1009" s="66"/>
      <c r="E1009" s="66"/>
      <c r="F1009" s="66"/>
      <c r="G1009" s="66"/>
      <c r="H1009" s="66"/>
      <c r="I1009" s="66"/>
      <c r="J1009" s="66"/>
      <c r="K1009" s="66"/>
      <c r="L1009" s="66"/>
      <c r="M1009" s="66"/>
      <c r="N1009" s="66"/>
      <c r="O1009" s="19"/>
      <c r="P1009" s="22"/>
      <c r="Q1009" s="22"/>
      <c r="R1009" s="22"/>
    </row>
    <row r="1010" hidden="1">
      <c r="A1010" s="93"/>
      <c r="B1010" s="66"/>
      <c r="C1010" s="66"/>
      <c r="D1010" s="66"/>
      <c r="E1010" s="66"/>
      <c r="F1010" s="66"/>
      <c r="G1010" s="66"/>
      <c r="H1010" s="66"/>
      <c r="I1010" s="66"/>
      <c r="J1010" s="66"/>
      <c r="K1010" s="66"/>
      <c r="L1010" s="66"/>
      <c r="M1010" s="66"/>
      <c r="N1010" s="66"/>
      <c r="O1010" s="19"/>
      <c r="P1010" s="22"/>
      <c r="Q1010" s="22"/>
      <c r="R1010" s="22"/>
    </row>
    <row r="1011" hidden="1">
      <c r="A1011" s="93"/>
      <c r="B1011" s="66"/>
      <c r="C1011" s="66"/>
      <c r="D1011" s="66"/>
      <c r="E1011" s="66"/>
      <c r="F1011" s="66"/>
      <c r="G1011" s="66"/>
      <c r="H1011" s="66"/>
      <c r="I1011" s="66"/>
      <c r="J1011" s="66"/>
      <c r="K1011" s="66"/>
      <c r="L1011" s="66"/>
      <c r="M1011" s="66"/>
      <c r="N1011" s="66"/>
      <c r="O1011" s="19"/>
      <c r="P1011" s="22"/>
      <c r="Q1011" s="22"/>
      <c r="R1011" s="22"/>
    </row>
    <row r="1012" hidden="1">
      <c r="A1012" s="93"/>
      <c r="B1012" s="66"/>
      <c r="C1012" s="66"/>
      <c r="D1012" s="66"/>
      <c r="E1012" s="66"/>
      <c r="F1012" s="66"/>
      <c r="G1012" s="66"/>
      <c r="H1012" s="66"/>
      <c r="I1012" s="66"/>
      <c r="J1012" s="66"/>
      <c r="K1012" s="66"/>
      <c r="L1012" s="66"/>
      <c r="M1012" s="66"/>
      <c r="N1012" s="66"/>
      <c r="O1012" s="19"/>
      <c r="P1012" s="22"/>
      <c r="Q1012" s="22"/>
      <c r="R1012" s="22"/>
    </row>
    <row r="1013" hidden="1">
      <c r="A1013" s="93"/>
      <c r="B1013" s="66"/>
      <c r="C1013" s="66"/>
      <c r="D1013" s="66"/>
      <c r="E1013" s="66"/>
      <c r="F1013" s="66"/>
      <c r="G1013" s="66"/>
      <c r="H1013" s="66"/>
      <c r="I1013" s="66"/>
      <c r="J1013" s="66"/>
      <c r="K1013" s="66"/>
      <c r="L1013" s="66"/>
      <c r="M1013" s="66"/>
      <c r="N1013" s="66"/>
      <c r="O1013" s="19"/>
      <c r="P1013" s="22"/>
      <c r="Q1013" s="22"/>
      <c r="R1013" s="22"/>
    </row>
    <row r="1014" hidden="1">
      <c r="A1014" s="93"/>
      <c r="B1014" s="66"/>
      <c r="C1014" s="66"/>
      <c r="D1014" s="66"/>
      <c r="E1014" s="66"/>
      <c r="F1014" s="66"/>
      <c r="G1014" s="66"/>
      <c r="H1014" s="66"/>
      <c r="I1014" s="66"/>
      <c r="J1014" s="66"/>
      <c r="K1014" s="66"/>
      <c r="L1014" s="66"/>
      <c r="M1014" s="66"/>
      <c r="N1014" s="66"/>
      <c r="O1014" s="19"/>
      <c r="P1014" s="22"/>
      <c r="Q1014" s="22"/>
      <c r="R1014" s="22"/>
    </row>
    <row r="1015" hidden="1">
      <c r="A1015" s="93"/>
      <c r="B1015" s="66"/>
      <c r="C1015" s="66"/>
      <c r="D1015" s="66"/>
      <c r="E1015" s="66"/>
      <c r="F1015" s="66"/>
      <c r="G1015" s="66"/>
      <c r="H1015" s="66"/>
      <c r="I1015" s="66"/>
      <c r="J1015" s="66"/>
      <c r="K1015" s="66"/>
      <c r="L1015" s="66"/>
      <c r="M1015" s="66"/>
      <c r="N1015" s="66"/>
      <c r="O1015" s="19"/>
      <c r="P1015" s="22"/>
      <c r="Q1015" s="22"/>
      <c r="R1015" s="22"/>
    </row>
    <row r="1016" hidden="1">
      <c r="A1016" s="93"/>
      <c r="B1016" s="66"/>
      <c r="C1016" s="66"/>
      <c r="D1016" s="66"/>
      <c r="E1016" s="66"/>
      <c r="F1016" s="66"/>
      <c r="G1016" s="66"/>
      <c r="H1016" s="66"/>
      <c r="I1016" s="66"/>
      <c r="J1016" s="66"/>
      <c r="K1016" s="66"/>
      <c r="L1016" s="66"/>
      <c r="M1016" s="66"/>
      <c r="N1016" s="66"/>
      <c r="O1016" s="19"/>
      <c r="P1016" s="22"/>
      <c r="Q1016" s="22"/>
      <c r="R1016" s="22"/>
    </row>
    <row r="1017" hidden="1">
      <c r="A1017" s="93"/>
      <c r="B1017" s="66"/>
      <c r="C1017" s="66"/>
      <c r="D1017" s="66"/>
      <c r="E1017" s="66"/>
      <c r="F1017" s="66"/>
      <c r="G1017" s="66"/>
      <c r="H1017" s="66"/>
      <c r="I1017" s="66"/>
      <c r="J1017" s="66"/>
      <c r="K1017" s="66"/>
      <c r="L1017" s="66"/>
      <c r="M1017" s="66"/>
      <c r="N1017" s="66"/>
      <c r="O1017" s="19"/>
      <c r="P1017" s="22"/>
      <c r="Q1017" s="22"/>
      <c r="R1017" s="22"/>
    </row>
    <row r="1018" hidden="1">
      <c r="A1018" s="93"/>
      <c r="B1018" s="66"/>
      <c r="C1018" s="66"/>
      <c r="D1018" s="66"/>
      <c r="E1018" s="66"/>
      <c r="F1018" s="66"/>
      <c r="G1018" s="66"/>
      <c r="H1018" s="66"/>
      <c r="I1018" s="66"/>
      <c r="J1018" s="66"/>
      <c r="K1018" s="66"/>
      <c r="L1018" s="66"/>
      <c r="M1018" s="66"/>
      <c r="N1018" s="66"/>
      <c r="O1018" s="19"/>
      <c r="P1018" s="22"/>
      <c r="Q1018" s="22"/>
      <c r="R1018" s="22"/>
    </row>
    <row r="1019" hidden="1">
      <c r="A1019" s="93"/>
      <c r="B1019" s="66"/>
      <c r="C1019" s="66"/>
      <c r="D1019" s="66"/>
      <c r="E1019" s="66"/>
      <c r="F1019" s="66"/>
      <c r="G1019" s="66"/>
      <c r="H1019" s="66"/>
      <c r="I1019" s="66"/>
      <c r="J1019" s="66"/>
      <c r="K1019" s="66"/>
      <c r="L1019" s="66"/>
      <c r="M1019" s="66"/>
      <c r="N1019" s="66"/>
      <c r="O1019" s="19"/>
      <c r="P1019" s="22"/>
      <c r="Q1019" s="22"/>
      <c r="R1019" s="22"/>
    </row>
    <row r="1020" hidden="1">
      <c r="A1020" s="93"/>
      <c r="B1020" s="66"/>
      <c r="C1020" s="66"/>
      <c r="D1020" s="66"/>
      <c r="E1020" s="66"/>
      <c r="F1020" s="66"/>
      <c r="G1020" s="66"/>
      <c r="H1020" s="66"/>
      <c r="I1020" s="66"/>
      <c r="J1020" s="66"/>
      <c r="K1020" s="66"/>
      <c r="L1020" s="66"/>
      <c r="M1020" s="66"/>
      <c r="N1020" s="66"/>
      <c r="O1020" s="19"/>
      <c r="P1020" s="22"/>
      <c r="Q1020" s="22"/>
      <c r="R1020" s="22"/>
    </row>
    <row r="1021" hidden="1">
      <c r="A1021" s="93"/>
      <c r="B1021" s="66"/>
      <c r="C1021" s="66"/>
      <c r="D1021" s="66"/>
      <c r="E1021" s="66"/>
      <c r="F1021" s="66"/>
      <c r="G1021" s="66"/>
      <c r="H1021" s="66"/>
      <c r="I1021" s="66"/>
      <c r="J1021" s="66"/>
      <c r="K1021" s="66"/>
      <c r="L1021" s="66"/>
      <c r="M1021" s="66"/>
      <c r="N1021" s="66"/>
      <c r="O1021" s="19"/>
      <c r="P1021" s="22"/>
      <c r="Q1021" s="22"/>
      <c r="R1021" s="22"/>
    </row>
    <row r="1022" hidden="1">
      <c r="A1022" s="93"/>
      <c r="B1022" s="66"/>
      <c r="C1022" s="66"/>
      <c r="D1022" s="66"/>
      <c r="E1022" s="66"/>
      <c r="F1022" s="66"/>
      <c r="G1022" s="66"/>
      <c r="H1022" s="66"/>
      <c r="I1022" s="66"/>
      <c r="J1022" s="66"/>
      <c r="K1022" s="66"/>
      <c r="L1022" s="66"/>
      <c r="M1022" s="66"/>
      <c r="N1022" s="66"/>
      <c r="O1022" s="19"/>
      <c r="P1022" s="22"/>
      <c r="Q1022" s="22"/>
      <c r="R1022" s="22"/>
    </row>
    <row r="1023" hidden="1">
      <c r="A1023" s="93"/>
      <c r="B1023" s="66"/>
      <c r="C1023" s="66"/>
      <c r="D1023" s="66"/>
      <c r="E1023" s="66"/>
      <c r="F1023" s="66"/>
      <c r="G1023" s="66"/>
      <c r="H1023" s="66"/>
      <c r="I1023" s="66"/>
      <c r="J1023" s="66"/>
      <c r="K1023" s="66"/>
      <c r="L1023" s="66"/>
      <c r="M1023" s="66"/>
      <c r="N1023" s="66"/>
      <c r="O1023" s="19"/>
      <c r="P1023" s="22"/>
      <c r="Q1023" s="22"/>
      <c r="R1023" s="22"/>
    </row>
    <row r="1024" hidden="1">
      <c r="A1024" s="93"/>
      <c r="B1024" s="66"/>
      <c r="C1024" s="66"/>
      <c r="D1024" s="66"/>
      <c r="E1024" s="66"/>
      <c r="F1024" s="66"/>
      <c r="G1024" s="66"/>
      <c r="H1024" s="66"/>
      <c r="I1024" s="66"/>
      <c r="J1024" s="66"/>
      <c r="K1024" s="66"/>
      <c r="L1024" s="66"/>
      <c r="M1024" s="66"/>
      <c r="N1024" s="66"/>
      <c r="O1024" s="19"/>
      <c r="P1024" s="22"/>
      <c r="Q1024" s="22"/>
      <c r="R1024" s="22"/>
    </row>
    <row r="1025" hidden="1">
      <c r="A1025" s="93"/>
      <c r="B1025" s="66"/>
      <c r="C1025" s="66"/>
      <c r="D1025" s="66"/>
      <c r="E1025" s="66"/>
      <c r="F1025" s="66"/>
      <c r="G1025" s="66"/>
      <c r="H1025" s="66"/>
      <c r="I1025" s="66"/>
      <c r="J1025" s="66"/>
      <c r="K1025" s="66"/>
      <c r="L1025" s="66"/>
      <c r="M1025" s="66"/>
      <c r="N1025" s="66"/>
      <c r="O1025" s="19"/>
      <c r="P1025" s="22"/>
      <c r="Q1025" s="22"/>
      <c r="R1025" s="22"/>
    </row>
    <row r="1026" hidden="1">
      <c r="A1026" s="93"/>
      <c r="B1026" s="66"/>
      <c r="C1026" s="66"/>
      <c r="D1026" s="66"/>
      <c r="E1026" s="66"/>
      <c r="F1026" s="66"/>
      <c r="G1026" s="66"/>
      <c r="H1026" s="66"/>
      <c r="I1026" s="66"/>
      <c r="J1026" s="66"/>
      <c r="K1026" s="66"/>
      <c r="L1026" s="66"/>
      <c r="M1026" s="66"/>
      <c r="N1026" s="66"/>
      <c r="O1026" s="19"/>
      <c r="P1026" s="22"/>
      <c r="Q1026" s="22"/>
      <c r="R1026" s="22"/>
    </row>
    <row r="1027" hidden="1">
      <c r="A1027" s="93"/>
      <c r="B1027" s="66"/>
      <c r="C1027" s="66"/>
      <c r="D1027" s="66"/>
      <c r="E1027" s="66"/>
      <c r="F1027" s="66"/>
      <c r="G1027" s="66"/>
      <c r="H1027" s="66"/>
      <c r="I1027" s="66"/>
      <c r="J1027" s="66"/>
      <c r="K1027" s="66"/>
      <c r="L1027" s="66"/>
      <c r="M1027" s="66"/>
      <c r="N1027" s="66"/>
      <c r="O1027" s="19"/>
      <c r="P1027" s="22"/>
      <c r="Q1027" s="22"/>
      <c r="R1027" s="22"/>
    </row>
    <row r="1028" hidden="1">
      <c r="A1028" s="93"/>
      <c r="B1028" s="66"/>
      <c r="C1028" s="66"/>
      <c r="D1028" s="66"/>
      <c r="E1028" s="66"/>
      <c r="F1028" s="66"/>
      <c r="G1028" s="66"/>
      <c r="H1028" s="66"/>
      <c r="I1028" s="66"/>
      <c r="J1028" s="66"/>
      <c r="K1028" s="66"/>
      <c r="L1028" s="66"/>
      <c r="M1028" s="66"/>
      <c r="N1028" s="66"/>
      <c r="O1028" s="19"/>
      <c r="P1028" s="22"/>
      <c r="Q1028" s="22"/>
      <c r="R1028" s="22"/>
    </row>
    <row r="1029" hidden="1">
      <c r="A1029" s="93"/>
      <c r="B1029" s="66"/>
      <c r="C1029" s="66"/>
      <c r="D1029" s="66"/>
      <c r="E1029" s="66"/>
      <c r="F1029" s="66"/>
      <c r="G1029" s="66"/>
      <c r="H1029" s="66"/>
      <c r="I1029" s="66"/>
      <c r="J1029" s="66"/>
      <c r="K1029" s="66"/>
      <c r="L1029" s="66"/>
      <c r="M1029" s="66"/>
      <c r="N1029" s="66"/>
      <c r="O1029" s="19"/>
      <c r="P1029" s="22"/>
      <c r="Q1029" s="22"/>
      <c r="R1029" s="22"/>
    </row>
    <row r="1030" hidden="1">
      <c r="A1030" s="93"/>
      <c r="B1030" s="66"/>
      <c r="C1030" s="66"/>
      <c r="D1030" s="66"/>
      <c r="E1030" s="66"/>
      <c r="F1030" s="66"/>
      <c r="G1030" s="66"/>
      <c r="H1030" s="66"/>
      <c r="I1030" s="66"/>
      <c r="J1030" s="66"/>
      <c r="K1030" s="66"/>
      <c r="L1030" s="66"/>
      <c r="M1030" s="66"/>
      <c r="N1030" s="66"/>
      <c r="O1030" s="19"/>
      <c r="P1030" s="22"/>
      <c r="Q1030" s="22"/>
      <c r="R1030" s="22"/>
    </row>
    <row r="1031" hidden="1">
      <c r="A1031" s="93"/>
      <c r="B1031" s="66"/>
      <c r="C1031" s="66"/>
      <c r="D1031" s="66"/>
      <c r="E1031" s="66"/>
      <c r="F1031" s="66"/>
      <c r="G1031" s="66"/>
      <c r="H1031" s="66"/>
      <c r="I1031" s="66"/>
      <c r="J1031" s="66"/>
      <c r="K1031" s="66"/>
      <c r="L1031" s="66"/>
      <c r="M1031" s="66"/>
      <c r="N1031" s="66"/>
      <c r="O1031" s="19"/>
      <c r="P1031" s="22"/>
      <c r="Q1031" s="22"/>
      <c r="R1031" s="22"/>
    </row>
    <row r="1032" hidden="1">
      <c r="A1032" s="93"/>
      <c r="B1032" s="66"/>
      <c r="C1032" s="66"/>
      <c r="D1032" s="66"/>
      <c r="E1032" s="66"/>
      <c r="F1032" s="66"/>
      <c r="G1032" s="66"/>
      <c r="H1032" s="66"/>
      <c r="I1032" s="66"/>
      <c r="J1032" s="66"/>
      <c r="K1032" s="66"/>
      <c r="L1032" s="66"/>
      <c r="M1032" s="66"/>
      <c r="N1032" s="66"/>
      <c r="O1032" s="19"/>
      <c r="P1032" s="22"/>
      <c r="Q1032" s="22"/>
      <c r="R1032" s="22"/>
    </row>
    <row r="1033" hidden="1">
      <c r="A1033" s="93"/>
      <c r="B1033" s="66"/>
      <c r="C1033" s="66"/>
      <c r="D1033" s="66"/>
      <c r="E1033" s="66"/>
      <c r="F1033" s="66"/>
      <c r="G1033" s="66"/>
      <c r="H1033" s="66"/>
      <c r="I1033" s="66"/>
      <c r="J1033" s="66"/>
      <c r="K1033" s="66"/>
      <c r="L1033" s="66"/>
      <c r="M1033" s="66"/>
      <c r="N1033" s="66"/>
      <c r="O1033" s="19"/>
      <c r="P1033" s="22"/>
      <c r="Q1033" s="22"/>
      <c r="R1033" s="22"/>
    </row>
    <row r="1034" hidden="1">
      <c r="A1034" s="93"/>
      <c r="B1034" s="66"/>
      <c r="C1034" s="66"/>
      <c r="D1034" s="66"/>
      <c r="E1034" s="66"/>
      <c r="F1034" s="66"/>
      <c r="G1034" s="66"/>
      <c r="H1034" s="66"/>
      <c r="I1034" s="66"/>
      <c r="J1034" s="66"/>
      <c r="K1034" s="66"/>
      <c r="L1034" s="66"/>
      <c r="M1034" s="66"/>
      <c r="N1034" s="66"/>
      <c r="O1034" s="19"/>
      <c r="P1034" s="22"/>
      <c r="Q1034" s="22"/>
      <c r="R1034" s="22"/>
    </row>
    <row r="1035" hidden="1">
      <c r="A1035" s="93"/>
      <c r="B1035" s="66"/>
      <c r="C1035" s="66"/>
      <c r="D1035" s="66"/>
      <c r="E1035" s="66"/>
      <c r="F1035" s="66"/>
      <c r="G1035" s="66"/>
      <c r="H1035" s="66"/>
      <c r="I1035" s="66"/>
      <c r="J1035" s="66"/>
      <c r="K1035" s="66"/>
      <c r="L1035" s="66"/>
      <c r="M1035" s="66"/>
      <c r="N1035" s="66"/>
      <c r="O1035" s="19"/>
      <c r="P1035" s="22"/>
      <c r="Q1035" s="22"/>
      <c r="R1035" s="22"/>
    </row>
    <row r="1036" hidden="1">
      <c r="A1036" s="93"/>
      <c r="B1036" s="66"/>
      <c r="C1036" s="66"/>
      <c r="D1036" s="66"/>
      <c r="E1036" s="66"/>
      <c r="F1036" s="66"/>
      <c r="G1036" s="66"/>
      <c r="H1036" s="66"/>
      <c r="I1036" s="66"/>
      <c r="J1036" s="66"/>
      <c r="K1036" s="66"/>
      <c r="L1036" s="66"/>
      <c r="M1036" s="66"/>
      <c r="N1036" s="66"/>
      <c r="O1036" s="19"/>
      <c r="P1036" s="22"/>
      <c r="Q1036" s="22"/>
      <c r="R1036" s="22"/>
    </row>
    <row r="1037" hidden="1">
      <c r="A1037" s="93"/>
      <c r="B1037" s="66"/>
      <c r="C1037" s="66"/>
      <c r="D1037" s="66"/>
      <c r="E1037" s="66"/>
      <c r="F1037" s="66"/>
      <c r="G1037" s="66"/>
      <c r="H1037" s="66"/>
      <c r="I1037" s="66"/>
      <c r="J1037" s="66"/>
      <c r="K1037" s="66"/>
      <c r="L1037" s="66"/>
      <c r="M1037" s="66"/>
      <c r="N1037" s="66"/>
      <c r="O1037" s="19"/>
      <c r="P1037" s="22"/>
      <c r="Q1037" s="22"/>
      <c r="R1037" s="22"/>
    </row>
    <row r="1038" hidden="1">
      <c r="A1038" s="93"/>
      <c r="B1038" s="66"/>
      <c r="C1038" s="66"/>
      <c r="D1038" s="66"/>
      <c r="E1038" s="66"/>
      <c r="F1038" s="66"/>
      <c r="G1038" s="66"/>
      <c r="H1038" s="66"/>
      <c r="I1038" s="66"/>
      <c r="J1038" s="66"/>
      <c r="K1038" s="66"/>
      <c r="L1038" s="66"/>
      <c r="M1038" s="66"/>
      <c r="N1038" s="66"/>
      <c r="O1038" s="19"/>
      <c r="P1038" s="22"/>
      <c r="Q1038" s="22"/>
      <c r="R1038" s="22"/>
    </row>
    <row r="1039" hidden="1">
      <c r="A1039" s="93"/>
      <c r="B1039" s="66"/>
      <c r="C1039" s="66"/>
      <c r="D1039" s="66"/>
      <c r="E1039" s="66"/>
      <c r="F1039" s="66"/>
      <c r="G1039" s="66"/>
      <c r="H1039" s="66"/>
      <c r="I1039" s="66"/>
      <c r="J1039" s="66"/>
      <c r="K1039" s="66"/>
      <c r="L1039" s="66"/>
      <c r="M1039" s="66"/>
      <c r="N1039" s="66"/>
      <c r="O1039" s="19"/>
      <c r="P1039" s="22"/>
      <c r="Q1039" s="22"/>
      <c r="R1039" s="22"/>
    </row>
    <row r="1040" hidden="1">
      <c r="A1040" s="93"/>
      <c r="B1040" s="66"/>
      <c r="C1040" s="66"/>
      <c r="D1040" s="66"/>
      <c r="E1040" s="66"/>
      <c r="F1040" s="66"/>
      <c r="G1040" s="66"/>
      <c r="H1040" s="66"/>
      <c r="I1040" s="66"/>
      <c r="J1040" s="66"/>
      <c r="K1040" s="66"/>
      <c r="L1040" s="66"/>
      <c r="M1040" s="66"/>
      <c r="N1040" s="66"/>
      <c r="O1040" s="19"/>
      <c r="P1040" s="22"/>
      <c r="Q1040" s="22"/>
      <c r="R1040" s="22"/>
    </row>
    <row r="1041" hidden="1">
      <c r="A1041" s="93"/>
      <c r="B1041" s="66"/>
      <c r="C1041" s="66"/>
      <c r="D1041" s="66"/>
      <c r="E1041" s="66"/>
      <c r="F1041" s="66"/>
      <c r="G1041" s="66"/>
      <c r="H1041" s="66"/>
      <c r="I1041" s="66"/>
      <c r="J1041" s="66"/>
      <c r="K1041" s="66"/>
      <c r="L1041" s="66"/>
      <c r="M1041" s="66"/>
      <c r="N1041" s="66"/>
      <c r="O1041" s="19"/>
      <c r="P1041" s="22"/>
      <c r="Q1041" s="22"/>
      <c r="R1041" s="22"/>
    </row>
    <row r="1042" hidden="1">
      <c r="A1042" s="93"/>
      <c r="B1042" s="66"/>
      <c r="C1042" s="66"/>
      <c r="D1042" s="66"/>
      <c r="E1042" s="66"/>
      <c r="F1042" s="66"/>
      <c r="G1042" s="66"/>
      <c r="H1042" s="66"/>
      <c r="I1042" s="66"/>
      <c r="J1042" s="66"/>
      <c r="K1042" s="66"/>
      <c r="L1042" s="66"/>
      <c r="M1042" s="66"/>
      <c r="N1042" s="66"/>
      <c r="O1042" s="19"/>
      <c r="P1042" s="22"/>
      <c r="Q1042" s="22"/>
      <c r="R1042" s="22"/>
    </row>
    <row r="1043" hidden="1">
      <c r="A1043" s="93"/>
      <c r="B1043" s="66"/>
      <c r="C1043" s="66"/>
      <c r="D1043" s="66"/>
      <c r="E1043" s="66"/>
      <c r="F1043" s="66"/>
      <c r="G1043" s="66"/>
      <c r="H1043" s="66"/>
      <c r="I1043" s="66"/>
      <c r="J1043" s="66"/>
      <c r="K1043" s="66"/>
      <c r="L1043" s="66"/>
      <c r="M1043" s="66"/>
      <c r="N1043" s="66"/>
      <c r="O1043" s="19"/>
      <c r="P1043" s="22"/>
      <c r="Q1043" s="22"/>
      <c r="R1043" s="22"/>
    </row>
    <row r="1044" hidden="1">
      <c r="A1044" s="93"/>
      <c r="B1044" s="66"/>
      <c r="C1044" s="66"/>
      <c r="D1044" s="66"/>
      <c r="E1044" s="66"/>
      <c r="F1044" s="66"/>
      <c r="G1044" s="66"/>
      <c r="H1044" s="66"/>
      <c r="I1044" s="66"/>
      <c r="J1044" s="66"/>
      <c r="K1044" s="66"/>
      <c r="L1044" s="66"/>
      <c r="M1044" s="66"/>
      <c r="N1044" s="66"/>
      <c r="O1044" s="19"/>
      <c r="P1044" s="22"/>
      <c r="Q1044" s="22"/>
      <c r="R1044" s="22"/>
    </row>
    <row r="1045" hidden="1">
      <c r="A1045" s="93"/>
      <c r="B1045" s="66"/>
      <c r="C1045" s="66"/>
      <c r="D1045" s="66"/>
      <c r="E1045" s="66"/>
      <c r="F1045" s="66"/>
      <c r="G1045" s="66"/>
      <c r="H1045" s="66"/>
      <c r="I1045" s="66"/>
      <c r="J1045" s="66"/>
      <c r="K1045" s="66"/>
      <c r="L1045" s="66"/>
      <c r="M1045" s="66"/>
      <c r="N1045" s="66"/>
      <c r="O1045" s="19"/>
      <c r="P1045" s="22"/>
      <c r="Q1045" s="22"/>
      <c r="R1045" s="22"/>
    </row>
    <row r="1046" hidden="1">
      <c r="A1046" s="93"/>
      <c r="B1046" s="66"/>
      <c r="C1046" s="66"/>
      <c r="D1046" s="66"/>
      <c r="E1046" s="66"/>
      <c r="F1046" s="66"/>
      <c r="G1046" s="66"/>
      <c r="H1046" s="66"/>
      <c r="I1046" s="66"/>
      <c r="J1046" s="66"/>
      <c r="K1046" s="66"/>
      <c r="L1046" s="66"/>
      <c r="M1046" s="66"/>
      <c r="N1046" s="66"/>
      <c r="O1046" s="19"/>
      <c r="P1046" s="22"/>
      <c r="Q1046" s="22"/>
      <c r="R1046" s="22"/>
    </row>
    <row r="1047" hidden="1">
      <c r="A1047" s="93"/>
      <c r="B1047" s="66"/>
      <c r="C1047" s="66"/>
      <c r="D1047" s="66"/>
      <c r="E1047" s="66"/>
      <c r="F1047" s="66"/>
      <c r="G1047" s="66"/>
      <c r="H1047" s="66"/>
      <c r="I1047" s="66"/>
      <c r="J1047" s="66"/>
      <c r="K1047" s="66"/>
      <c r="L1047" s="66"/>
      <c r="M1047" s="66"/>
      <c r="N1047" s="66"/>
      <c r="O1047" s="19"/>
      <c r="P1047" s="22"/>
      <c r="Q1047" s="22"/>
      <c r="R1047" s="22"/>
    </row>
    <row r="1048" hidden="1">
      <c r="A1048" s="93"/>
      <c r="B1048" s="66"/>
      <c r="C1048" s="66"/>
      <c r="D1048" s="66"/>
      <c r="E1048" s="66"/>
      <c r="F1048" s="66"/>
      <c r="G1048" s="66"/>
      <c r="H1048" s="66"/>
      <c r="I1048" s="66"/>
      <c r="J1048" s="66"/>
      <c r="K1048" s="66"/>
      <c r="L1048" s="66"/>
      <c r="M1048" s="66"/>
      <c r="N1048" s="66"/>
      <c r="O1048" s="19"/>
      <c r="P1048" s="22"/>
      <c r="Q1048" s="22"/>
      <c r="R1048" s="22"/>
    </row>
    <row r="1049" hidden="1">
      <c r="A1049" s="93"/>
      <c r="B1049" s="66"/>
      <c r="C1049" s="66"/>
      <c r="D1049" s="66"/>
      <c r="E1049" s="66"/>
      <c r="F1049" s="66"/>
      <c r="G1049" s="66"/>
      <c r="H1049" s="66"/>
      <c r="I1049" s="66"/>
      <c r="J1049" s="66"/>
      <c r="K1049" s="66"/>
      <c r="L1049" s="66"/>
      <c r="M1049" s="66"/>
      <c r="N1049" s="66"/>
      <c r="O1049" s="19"/>
      <c r="P1049" s="22"/>
      <c r="Q1049" s="22"/>
      <c r="R1049" s="22"/>
    </row>
    <row r="1050" hidden="1">
      <c r="A1050" s="93"/>
      <c r="B1050" s="66"/>
      <c r="C1050" s="66"/>
      <c r="D1050" s="66"/>
      <c r="E1050" s="66"/>
      <c r="F1050" s="66"/>
      <c r="G1050" s="66"/>
      <c r="H1050" s="66"/>
      <c r="I1050" s="66"/>
      <c r="J1050" s="66"/>
      <c r="K1050" s="66"/>
      <c r="L1050" s="66"/>
      <c r="M1050" s="66"/>
      <c r="N1050" s="66"/>
      <c r="O1050" s="19"/>
      <c r="P1050" s="22"/>
      <c r="Q1050" s="22"/>
      <c r="R1050" s="22"/>
    </row>
    <row r="1051" hidden="1">
      <c r="A1051" s="93"/>
      <c r="B1051" s="66"/>
      <c r="C1051" s="66"/>
      <c r="D1051" s="66"/>
      <c r="E1051" s="66"/>
      <c r="F1051" s="66"/>
      <c r="G1051" s="66"/>
      <c r="H1051" s="66"/>
      <c r="I1051" s="66"/>
      <c r="J1051" s="66"/>
      <c r="K1051" s="66"/>
      <c r="L1051" s="66"/>
      <c r="M1051" s="66"/>
      <c r="N1051" s="66"/>
      <c r="O1051" s="19"/>
      <c r="P1051" s="22"/>
      <c r="Q1051" s="22"/>
      <c r="R1051" s="22"/>
    </row>
    <row r="1052" hidden="1">
      <c r="A1052" s="93"/>
      <c r="B1052" s="66"/>
      <c r="C1052" s="66"/>
      <c r="D1052" s="66"/>
      <c r="E1052" s="66"/>
      <c r="F1052" s="66"/>
      <c r="G1052" s="66"/>
      <c r="H1052" s="66"/>
      <c r="I1052" s="66"/>
      <c r="J1052" s="66"/>
      <c r="K1052" s="66"/>
      <c r="L1052" s="66"/>
      <c r="M1052" s="66"/>
      <c r="N1052" s="66"/>
      <c r="O1052" s="19"/>
      <c r="P1052" s="22"/>
      <c r="Q1052" s="22"/>
      <c r="R1052" s="22"/>
    </row>
    <row r="1053" hidden="1">
      <c r="A1053" s="93"/>
      <c r="B1053" s="66"/>
      <c r="C1053" s="66"/>
      <c r="D1053" s="66"/>
      <c r="E1053" s="66"/>
      <c r="F1053" s="66"/>
      <c r="G1053" s="66"/>
      <c r="H1053" s="66"/>
      <c r="I1053" s="66"/>
      <c r="J1053" s="66"/>
      <c r="K1053" s="66"/>
      <c r="L1053" s="66"/>
      <c r="M1053" s="66"/>
      <c r="N1053" s="66"/>
      <c r="O1053" s="19"/>
      <c r="P1053" s="22"/>
      <c r="Q1053" s="22"/>
      <c r="R1053" s="22"/>
    </row>
    <row r="1054" hidden="1">
      <c r="A1054" s="93"/>
      <c r="B1054" s="66"/>
      <c r="C1054" s="66"/>
      <c r="D1054" s="66"/>
      <c r="E1054" s="66"/>
      <c r="F1054" s="66"/>
      <c r="G1054" s="66"/>
      <c r="H1054" s="66"/>
      <c r="I1054" s="66"/>
      <c r="J1054" s="66"/>
      <c r="K1054" s="66"/>
      <c r="L1054" s="66"/>
      <c r="M1054" s="66"/>
      <c r="N1054" s="66"/>
      <c r="O1054" s="19"/>
      <c r="P1054" s="22"/>
      <c r="Q1054" s="22"/>
      <c r="R1054" s="22"/>
    </row>
    <row r="1055" hidden="1">
      <c r="A1055" s="93"/>
      <c r="B1055" s="66"/>
      <c r="C1055" s="66"/>
      <c r="D1055" s="66"/>
      <c r="E1055" s="66"/>
      <c r="F1055" s="66"/>
      <c r="G1055" s="66"/>
      <c r="H1055" s="66"/>
      <c r="I1055" s="66"/>
      <c r="J1055" s="66"/>
      <c r="K1055" s="66"/>
      <c r="L1055" s="66"/>
      <c r="M1055" s="66"/>
      <c r="N1055" s="66"/>
      <c r="O1055" s="19"/>
      <c r="P1055" s="22"/>
      <c r="Q1055" s="22"/>
      <c r="R1055" s="22"/>
    </row>
    <row r="1056" hidden="1">
      <c r="A1056" s="93"/>
      <c r="B1056" s="66"/>
      <c r="C1056" s="66"/>
      <c r="D1056" s="66"/>
      <c r="E1056" s="66"/>
      <c r="F1056" s="66"/>
      <c r="G1056" s="66"/>
      <c r="H1056" s="66"/>
      <c r="I1056" s="66"/>
      <c r="J1056" s="66"/>
      <c r="K1056" s="66"/>
      <c r="L1056" s="66"/>
      <c r="M1056" s="66"/>
      <c r="N1056" s="66"/>
      <c r="O1056" s="19"/>
      <c r="P1056" s="22"/>
      <c r="Q1056" s="22"/>
      <c r="R1056" s="22"/>
    </row>
    <row r="1057" hidden="1">
      <c r="A1057" s="93"/>
      <c r="B1057" s="66"/>
      <c r="C1057" s="66"/>
      <c r="D1057" s="66"/>
      <c r="E1057" s="66"/>
      <c r="F1057" s="66"/>
      <c r="G1057" s="66"/>
      <c r="H1057" s="66"/>
      <c r="I1057" s="66"/>
      <c r="J1057" s="66"/>
      <c r="K1057" s="66"/>
      <c r="L1057" s="66"/>
      <c r="M1057" s="66"/>
      <c r="N1057" s="66"/>
      <c r="O1057" s="19"/>
      <c r="P1057" s="22"/>
      <c r="Q1057" s="22"/>
      <c r="R1057" s="22"/>
    </row>
    <row r="1058" hidden="1">
      <c r="A1058" s="93"/>
      <c r="B1058" s="66"/>
      <c r="C1058" s="66"/>
      <c r="D1058" s="66"/>
      <c r="E1058" s="66"/>
      <c r="F1058" s="66"/>
      <c r="G1058" s="66"/>
      <c r="H1058" s="66"/>
      <c r="I1058" s="66"/>
      <c r="J1058" s="66"/>
      <c r="K1058" s="66"/>
      <c r="L1058" s="66"/>
      <c r="M1058" s="66"/>
      <c r="N1058" s="66"/>
      <c r="O1058" s="19"/>
      <c r="P1058" s="22"/>
      <c r="Q1058" s="22"/>
      <c r="R1058" s="22"/>
    </row>
    <row r="1059" hidden="1">
      <c r="A1059" s="93"/>
      <c r="B1059" s="66"/>
      <c r="C1059" s="66"/>
      <c r="D1059" s="66"/>
      <c r="E1059" s="66"/>
      <c r="F1059" s="66"/>
      <c r="G1059" s="66"/>
      <c r="H1059" s="66"/>
      <c r="I1059" s="66"/>
      <c r="J1059" s="66"/>
      <c r="K1059" s="66"/>
      <c r="L1059" s="66"/>
      <c r="M1059" s="66"/>
      <c r="N1059" s="66"/>
      <c r="O1059" s="19"/>
      <c r="P1059" s="22"/>
      <c r="Q1059" s="22"/>
      <c r="R1059" s="22"/>
    </row>
    <row r="1060" hidden="1">
      <c r="A1060" s="93"/>
      <c r="B1060" s="66"/>
      <c r="C1060" s="66"/>
      <c r="D1060" s="66"/>
      <c r="E1060" s="66"/>
      <c r="F1060" s="66"/>
      <c r="G1060" s="66"/>
      <c r="H1060" s="66"/>
      <c r="I1060" s="66"/>
      <c r="J1060" s="66"/>
      <c r="K1060" s="66"/>
      <c r="L1060" s="66"/>
      <c r="M1060" s="66"/>
      <c r="N1060" s="66"/>
      <c r="O1060" s="19"/>
      <c r="P1060" s="22"/>
      <c r="Q1060" s="22"/>
      <c r="R1060" s="22"/>
    </row>
    <row r="1061" hidden="1">
      <c r="A1061" s="93"/>
      <c r="B1061" s="66"/>
      <c r="C1061" s="66"/>
      <c r="D1061" s="66"/>
      <c r="E1061" s="66"/>
      <c r="F1061" s="66"/>
      <c r="G1061" s="66"/>
      <c r="H1061" s="66"/>
      <c r="I1061" s="66"/>
      <c r="J1061" s="66"/>
      <c r="K1061" s="66"/>
      <c r="L1061" s="66"/>
      <c r="M1061" s="66"/>
      <c r="N1061" s="66"/>
      <c r="O1061" s="19"/>
      <c r="P1061" s="22"/>
      <c r="Q1061" s="22"/>
      <c r="R1061" s="22"/>
    </row>
    <row r="1062" hidden="1">
      <c r="A1062" s="93"/>
      <c r="B1062" s="66"/>
      <c r="C1062" s="66"/>
      <c r="D1062" s="66"/>
      <c r="E1062" s="66"/>
      <c r="F1062" s="66"/>
      <c r="G1062" s="66"/>
      <c r="H1062" s="66"/>
      <c r="I1062" s="66"/>
      <c r="J1062" s="66"/>
      <c r="K1062" s="66"/>
      <c r="L1062" s="66"/>
      <c r="M1062" s="66"/>
      <c r="N1062" s="66"/>
      <c r="O1062" s="19"/>
      <c r="P1062" s="22"/>
      <c r="Q1062" s="22"/>
      <c r="R1062" s="22"/>
    </row>
    <row r="1063" hidden="1">
      <c r="A1063" s="93"/>
      <c r="B1063" s="66"/>
      <c r="C1063" s="66"/>
      <c r="D1063" s="66"/>
      <c r="E1063" s="66"/>
      <c r="F1063" s="66"/>
      <c r="G1063" s="66"/>
      <c r="H1063" s="66"/>
      <c r="I1063" s="66"/>
      <c r="J1063" s="66"/>
      <c r="K1063" s="66"/>
      <c r="L1063" s="66"/>
      <c r="M1063" s="66"/>
      <c r="N1063" s="66"/>
      <c r="O1063" s="19"/>
      <c r="P1063" s="22"/>
      <c r="Q1063" s="22"/>
      <c r="R1063" s="22"/>
    </row>
    <row r="1064" hidden="1">
      <c r="A1064" s="93"/>
      <c r="B1064" s="66"/>
      <c r="C1064" s="66"/>
      <c r="D1064" s="66"/>
      <c r="E1064" s="66"/>
      <c r="F1064" s="66"/>
      <c r="G1064" s="66"/>
      <c r="H1064" s="66"/>
      <c r="I1064" s="66"/>
      <c r="J1064" s="66"/>
      <c r="K1064" s="66"/>
      <c r="L1064" s="66"/>
      <c r="M1064" s="66"/>
      <c r="N1064" s="66"/>
      <c r="O1064" s="19"/>
      <c r="P1064" s="22"/>
      <c r="Q1064" s="22"/>
      <c r="R1064" s="22"/>
    </row>
    <row r="1065" hidden="1">
      <c r="A1065" s="93"/>
      <c r="B1065" s="66"/>
      <c r="C1065" s="66"/>
      <c r="D1065" s="66"/>
      <c r="E1065" s="66"/>
      <c r="F1065" s="66"/>
      <c r="G1065" s="66"/>
      <c r="H1065" s="66"/>
      <c r="I1065" s="66"/>
      <c r="J1065" s="66"/>
      <c r="K1065" s="66"/>
      <c r="L1065" s="66"/>
      <c r="M1065" s="66"/>
      <c r="N1065" s="66"/>
      <c r="O1065" s="19"/>
      <c r="P1065" s="22"/>
      <c r="Q1065" s="22"/>
      <c r="R1065" s="22"/>
    </row>
    <row r="1066" hidden="1">
      <c r="A1066" s="93"/>
      <c r="B1066" s="66"/>
      <c r="C1066" s="66"/>
      <c r="D1066" s="66"/>
      <c r="E1066" s="66"/>
      <c r="F1066" s="66"/>
      <c r="G1066" s="66"/>
      <c r="H1066" s="66"/>
      <c r="I1066" s="66"/>
      <c r="J1066" s="66"/>
      <c r="K1066" s="66"/>
      <c r="L1066" s="66"/>
      <c r="M1066" s="66"/>
      <c r="N1066" s="66"/>
      <c r="O1066" s="19"/>
      <c r="P1066" s="22"/>
      <c r="Q1066" s="22"/>
      <c r="R1066" s="22"/>
    </row>
    <row r="1067" hidden="1">
      <c r="A1067" s="93"/>
      <c r="B1067" s="66"/>
      <c r="C1067" s="66"/>
      <c r="D1067" s="66"/>
      <c r="E1067" s="66"/>
      <c r="F1067" s="66"/>
      <c r="G1067" s="66"/>
      <c r="H1067" s="66"/>
      <c r="I1067" s="66"/>
      <c r="J1067" s="66"/>
      <c r="K1067" s="66"/>
      <c r="L1067" s="66"/>
      <c r="M1067" s="66"/>
      <c r="N1067" s="66"/>
      <c r="O1067" s="19"/>
      <c r="P1067" s="22"/>
      <c r="Q1067" s="22"/>
      <c r="R1067" s="22"/>
    </row>
    <row r="1068" hidden="1">
      <c r="A1068" s="93"/>
      <c r="B1068" s="66"/>
      <c r="C1068" s="66"/>
      <c r="D1068" s="66"/>
      <c r="E1068" s="66"/>
      <c r="F1068" s="66"/>
      <c r="G1068" s="66"/>
      <c r="H1068" s="66"/>
      <c r="I1068" s="66"/>
      <c r="J1068" s="66"/>
      <c r="K1068" s="66"/>
      <c r="L1068" s="66"/>
      <c r="M1068" s="66"/>
      <c r="N1068" s="66"/>
      <c r="O1068" s="19"/>
      <c r="P1068" s="22"/>
      <c r="Q1068" s="22"/>
      <c r="R1068" s="22"/>
    </row>
    <row r="1069" hidden="1">
      <c r="A1069" s="93"/>
      <c r="B1069" s="66"/>
      <c r="C1069" s="66"/>
      <c r="D1069" s="66"/>
      <c r="E1069" s="66"/>
      <c r="F1069" s="66"/>
      <c r="G1069" s="66"/>
      <c r="H1069" s="66"/>
      <c r="I1069" s="66"/>
      <c r="J1069" s="66"/>
      <c r="K1069" s="66"/>
      <c r="L1069" s="66"/>
      <c r="M1069" s="66"/>
      <c r="N1069" s="66"/>
      <c r="O1069" s="19"/>
      <c r="P1069" s="22"/>
      <c r="Q1069" s="22"/>
      <c r="R1069" s="22"/>
    </row>
    <row r="1070" hidden="1">
      <c r="A1070" s="93"/>
      <c r="B1070" s="66"/>
      <c r="C1070" s="66"/>
      <c r="D1070" s="66"/>
      <c r="E1070" s="66"/>
      <c r="F1070" s="66"/>
      <c r="G1070" s="66"/>
      <c r="H1070" s="66"/>
      <c r="I1070" s="66"/>
      <c r="J1070" s="66"/>
      <c r="K1070" s="66"/>
      <c r="L1070" s="66"/>
      <c r="M1070" s="66"/>
      <c r="N1070" s="66"/>
      <c r="O1070" s="19"/>
      <c r="P1070" s="22"/>
      <c r="Q1070" s="22"/>
      <c r="R1070" s="22"/>
    </row>
    <row r="1071" hidden="1">
      <c r="A1071" s="93"/>
      <c r="B1071" s="66"/>
      <c r="C1071" s="66"/>
      <c r="D1071" s="66"/>
      <c r="E1071" s="66"/>
      <c r="F1071" s="66"/>
      <c r="G1071" s="66"/>
      <c r="H1071" s="66"/>
      <c r="I1071" s="66"/>
      <c r="J1071" s="66"/>
      <c r="K1071" s="66"/>
      <c r="L1071" s="66"/>
      <c r="M1071" s="66"/>
      <c r="N1071" s="66"/>
      <c r="O1071" s="19"/>
      <c r="P1071" s="22"/>
      <c r="Q1071" s="22"/>
      <c r="R1071" s="22"/>
    </row>
    <row r="1072" hidden="1">
      <c r="A1072" s="93"/>
      <c r="B1072" s="66"/>
      <c r="C1072" s="66"/>
      <c r="D1072" s="66"/>
      <c r="E1072" s="66"/>
      <c r="F1072" s="66"/>
      <c r="G1072" s="66"/>
      <c r="H1072" s="66"/>
      <c r="I1072" s="66"/>
      <c r="J1072" s="66"/>
      <c r="K1072" s="66"/>
      <c r="L1072" s="66"/>
      <c r="M1072" s="66"/>
      <c r="N1072" s="66"/>
      <c r="O1072" s="19"/>
      <c r="P1072" s="22"/>
      <c r="Q1072" s="22"/>
      <c r="R1072" s="22"/>
    </row>
    <row r="1073" hidden="1">
      <c r="A1073" s="93"/>
      <c r="B1073" s="66"/>
      <c r="C1073" s="66"/>
      <c r="D1073" s="66"/>
      <c r="E1073" s="66"/>
      <c r="F1073" s="66"/>
      <c r="G1073" s="66"/>
      <c r="H1073" s="66"/>
      <c r="I1073" s="66"/>
      <c r="J1073" s="66"/>
      <c r="K1073" s="66"/>
      <c r="L1073" s="66"/>
      <c r="M1073" s="66"/>
      <c r="N1073" s="66"/>
      <c r="O1073" s="19"/>
      <c r="P1073" s="22"/>
      <c r="Q1073" s="22"/>
      <c r="R1073" s="22"/>
    </row>
    <row r="1074" hidden="1">
      <c r="A1074" s="93"/>
      <c r="B1074" s="66"/>
      <c r="C1074" s="66"/>
      <c r="D1074" s="66"/>
      <c r="E1074" s="66"/>
      <c r="F1074" s="66"/>
      <c r="G1074" s="66"/>
      <c r="H1074" s="66"/>
      <c r="I1074" s="66"/>
      <c r="J1074" s="66"/>
      <c r="K1074" s="66"/>
      <c r="L1074" s="66"/>
      <c r="M1074" s="66"/>
      <c r="N1074" s="66"/>
      <c r="O1074" s="19"/>
      <c r="P1074" s="22"/>
      <c r="Q1074" s="22"/>
      <c r="R1074" s="22"/>
    </row>
    <row r="1075" hidden="1">
      <c r="A1075" s="93"/>
      <c r="B1075" s="66"/>
      <c r="C1075" s="66"/>
      <c r="D1075" s="66"/>
      <c r="E1075" s="66"/>
      <c r="F1075" s="66"/>
      <c r="G1075" s="66"/>
      <c r="H1075" s="66"/>
      <c r="I1075" s="66"/>
      <c r="J1075" s="66"/>
      <c r="K1075" s="66"/>
      <c r="L1075" s="66"/>
      <c r="M1075" s="66"/>
      <c r="N1075" s="66"/>
      <c r="O1075" s="19"/>
      <c r="P1075" s="22"/>
      <c r="Q1075" s="22"/>
      <c r="R1075" s="22"/>
    </row>
    <row r="1076" hidden="1">
      <c r="A1076" s="93"/>
      <c r="B1076" s="66"/>
      <c r="C1076" s="66"/>
      <c r="D1076" s="66"/>
      <c r="E1076" s="66"/>
      <c r="F1076" s="66"/>
      <c r="G1076" s="66"/>
      <c r="H1076" s="66"/>
      <c r="I1076" s="66"/>
      <c r="J1076" s="66"/>
      <c r="K1076" s="66"/>
      <c r="L1076" s="66"/>
      <c r="M1076" s="66"/>
      <c r="N1076" s="66"/>
      <c r="O1076" s="19"/>
      <c r="P1076" s="22"/>
      <c r="Q1076" s="22"/>
      <c r="R1076" s="22"/>
    </row>
    <row r="1077" hidden="1">
      <c r="A1077" s="93"/>
      <c r="B1077" s="66"/>
      <c r="C1077" s="66"/>
      <c r="D1077" s="66"/>
      <c r="E1077" s="66"/>
      <c r="F1077" s="66"/>
      <c r="G1077" s="66"/>
      <c r="H1077" s="66"/>
      <c r="I1077" s="66"/>
      <c r="J1077" s="66"/>
      <c r="K1077" s="66"/>
      <c r="L1077" s="66"/>
      <c r="M1077" s="66"/>
      <c r="N1077" s="66"/>
      <c r="O1077" s="19"/>
      <c r="P1077" s="22"/>
      <c r="Q1077" s="22"/>
      <c r="R1077" s="22"/>
    </row>
    <row r="1078" hidden="1">
      <c r="A1078" s="93"/>
      <c r="B1078" s="66"/>
      <c r="C1078" s="66"/>
      <c r="D1078" s="66"/>
      <c r="E1078" s="66"/>
      <c r="F1078" s="66"/>
      <c r="G1078" s="66"/>
      <c r="H1078" s="66"/>
      <c r="I1078" s="66"/>
      <c r="J1078" s="66"/>
      <c r="K1078" s="66"/>
      <c r="L1078" s="66"/>
      <c r="M1078" s="66"/>
      <c r="N1078" s="66"/>
      <c r="O1078" s="19"/>
      <c r="P1078" s="22"/>
      <c r="Q1078" s="22"/>
      <c r="R1078" s="22"/>
    </row>
    <row r="1079" hidden="1">
      <c r="A1079" s="93"/>
      <c r="B1079" s="66"/>
      <c r="C1079" s="66"/>
      <c r="D1079" s="66"/>
      <c r="E1079" s="66"/>
      <c r="F1079" s="66"/>
      <c r="G1079" s="66"/>
      <c r="H1079" s="66"/>
      <c r="I1079" s="66"/>
      <c r="J1079" s="66"/>
      <c r="K1079" s="66"/>
      <c r="L1079" s="66"/>
      <c r="M1079" s="66"/>
      <c r="N1079" s="66"/>
      <c r="O1079" s="19"/>
      <c r="P1079" s="22"/>
      <c r="Q1079" s="22"/>
      <c r="R1079" s="22"/>
    </row>
    <row r="1080" hidden="1">
      <c r="A1080" s="93"/>
      <c r="B1080" s="66"/>
      <c r="C1080" s="66"/>
      <c r="D1080" s="66"/>
      <c r="E1080" s="66"/>
      <c r="F1080" s="66"/>
      <c r="G1080" s="66"/>
      <c r="H1080" s="66"/>
      <c r="I1080" s="66"/>
      <c r="J1080" s="66"/>
      <c r="K1080" s="66"/>
      <c r="L1080" s="66"/>
      <c r="M1080" s="66"/>
      <c r="N1080" s="66"/>
      <c r="O1080" s="19"/>
      <c r="P1080" s="22"/>
      <c r="Q1080" s="22"/>
      <c r="R1080" s="22"/>
    </row>
    <row r="1081" hidden="1">
      <c r="A1081" s="93"/>
      <c r="B1081" s="66"/>
      <c r="C1081" s="66"/>
      <c r="D1081" s="66"/>
      <c r="E1081" s="66"/>
      <c r="F1081" s="66"/>
      <c r="G1081" s="66"/>
      <c r="H1081" s="66"/>
      <c r="I1081" s="66"/>
      <c r="J1081" s="66"/>
      <c r="K1081" s="66"/>
      <c r="L1081" s="66"/>
      <c r="M1081" s="66"/>
      <c r="N1081" s="66"/>
      <c r="O1081" s="19"/>
      <c r="P1081" s="22"/>
      <c r="Q1081" s="22"/>
      <c r="R1081" s="22"/>
    </row>
    <row r="1082" hidden="1">
      <c r="A1082" s="93"/>
      <c r="B1082" s="66"/>
      <c r="C1082" s="66"/>
      <c r="D1082" s="66"/>
      <c r="E1082" s="66"/>
      <c r="F1082" s="66"/>
      <c r="G1082" s="66"/>
      <c r="H1082" s="66"/>
      <c r="I1082" s="66"/>
      <c r="J1082" s="66"/>
      <c r="K1082" s="66"/>
      <c r="L1082" s="66"/>
      <c r="M1082" s="66"/>
      <c r="N1082" s="66"/>
      <c r="O1082" s="19"/>
      <c r="P1082" s="22"/>
      <c r="Q1082" s="22"/>
      <c r="R1082" s="22"/>
    </row>
    <row r="1083" hidden="1">
      <c r="A1083" s="93"/>
      <c r="B1083" s="66"/>
      <c r="C1083" s="66"/>
      <c r="D1083" s="66"/>
      <c r="E1083" s="66"/>
      <c r="F1083" s="66"/>
      <c r="G1083" s="66"/>
      <c r="H1083" s="66"/>
      <c r="I1083" s="66"/>
      <c r="J1083" s="66"/>
      <c r="K1083" s="66"/>
      <c r="L1083" s="66"/>
      <c r="M1083" s="66"/>
      <c r="N1083" s="66"/>
      <c r="O1083" s="19"/>
      <c r="P1083" s="22"/>
      <c r="Q1083" s="22"/>
      <c r="R1083" s="22"/>
    </row>
    <row r="1084" hidden="1">
      <c r="A1084" s="93"/>
      <c r="B1084" s="48"/>
      <c r="C1084" s="48"/>
      <c r="D1084" s="48"/>
      <c r="E1084" s="48"/>
      <c r="F1084" s="48"/>
      <c r="G1084" s="48"/>
      <c r="H1084" s="48"/>
      <c r="I1084" s="48"/>
      <c r="J1084" s="48"/>
      <c r="K1084" s="66"/>
      <c r="L1084" s="66"/>
      <c r="M1084" s="66"/>
      <c r="N1084" s="66"/>
      <c r="O1084" s="19"/>
      <c r="P1084" s="22"/>
      <c r="Q1084" s="22"/>
      <c r="R1084" s="22"/>
    </row>
    <row r="1085" hidden="1">
      <c r="A1085" s="93"/>
      <c r="B1085" s="48"/>
      <c r="C1085" s="48"/>
      <c r="D1085" s="48"/>
      <c r="E1085" s="48"/>
      <c r="F1085" s="48"/>
      <c r="G1085" s="48"/>
      <c r="H1085" s="48"/>
      <c r="I1085" s="48"/>
      <c r="J1085" s="48"/>
      <c r="K1085" s="66"/>
      <c r="L1085" s="66"/>
      <c r="M1085" s="66"/>
      <c r="N1085" s="66"/>
      <c r="O1085" s="19"/>
      <c r="P1085" s="22"/>
      <c r="Q1085" s="22"/>
      <c r="R1085" s="22"/>
    </row>
    <row r="1086" hidden="1">
      <c r="A1086" s="93"/>
      <c r="B1086" s="48"/>
      <c r="C1086" s="48"/>
      <c r="D1086" s="48"/>
      <c r="E1086" s="48"/>
      <c r="F1086" s="48"/>
      <c r="G1086" s="48"/>
      <c r="H1086" s="48"/>
      <c r="I1086" s="48"/>
      <c r="J1086" s="48"/>
      <c r="K1086" s="66"/>
      <c r="L1086" s="66"/>
      <c r="M1086" s="66"/>
      <c r="N1086" s="66"/>
      <c r="O1086" s="19"/>
      <c r="P1086" s="22"/>
      <c r="Q1086" s="22"/>
      <c r="R1086" s="22"/>
    </row>
  </sheetData>
  <mergeCells count="234">
    <mergeCell ref="M5:M7"/>
    <mergeCell ref="N5:N7"/>
    <mergeCell ref="E8:E10"/>
    <mergeCell ref="F8:F10"/>
    <mergeCell ref="F14:F16"/>
    <mergeCell ref="E17:E19"/>
    <mergeCell ref="G8:G10"/>
    <mergeCell ref="H8:H10"/>
    <mergeCell ref="G11:G13"/>
    <mergeCell ref="G14:G16"/>
    <mergeCell ref="I14:I16"/>
    <mergeCell ref="H17:H19"/>
    <mergeCell ref="I17:I19"/>
    <mergeCell ref="I23:I25"/>
    <mergeCell ref="K8:K10"/>
    <mergeCell ref="L8:L10"/>
    <mergeCell ref="M8:M10"/>
    <mergeCell ref="N8:N10"/>
    <mergeCell ref="P11:Q11"/>
    <mergeCell ref="B5:B7"/>
    <mergeCell ref="F5:F7"/>
    <mergeCell ref="I5:I7"/>
    <mergeCell ref="J5:J7"/>
    <mergeCell ref="K5:K7"/>
    <mergeCell ref="L5:L7"/>
    <mergeCell ref="B8:B10"/>
    <mergeCell ref="I8:I10"/>
    <mergeCell ref="J8:J10"/>
    <mergeCell ref="I11:I13"/>
    <mergeCell ref="K11:K13"/>
    <mergeCell ref="L11:L13"/>
    <mergeCell ref="M11:M13"/>
    <mergeCell ref="N11:N13"/>
    <mergeCell ref="L23:L25"/>
    <mergeCell ref="M23:M25"/>
    <mergeCell ref="K41:K43"/>
    <mergeCell ref="L41:L43"/>
    <mergeCell ref="M41:M43"/>
    <mergeCell ref="N41:N43"/>
    <mergeCell ref="H38:H40"/>
    <mergeCell ref="I38:I40"/>
    <mergeCell ref="K38:K40"/>
    <mergeCell ref="L38:L40"/>
    <mergeCell ref="M38:M40"/>
    <mergeCell ref="N38:N40"/>
    <mergeCell ref="H41:H43"/>
    <mergeCell ref="J38:J40"/>
    <mergeCell ref="J41:J43"/>
    <mergeCell ref="H44:H46"/>
    <mergeCell ref="I44:I46"/>
    <mergeCell ref="J44:J46"/>
    <mergeCell ref="K44:K46"/>
    <mergeCell ref="L44:L46"/>
    <mergeCell ref="J47:J49"/>
    <mergeCell ref="J50:J52"/>
    <mergeCell ref="K50:K52"/>
    <mergeCell ref="L50:L52"/>
    <mergeCell ref="M50:M52"/>
    <mergeCell ref="N50:N52"/>
    <mergeCell ref="H47:H49"/>
    <mergeCell ref="I47:I49"/>
    <mergeCell ref="K47:K49"/>
    <mergeCell ref="L47:L49"/>
    <mergeCell ref="M47:M49"/>
    <mergeCell ref="N47:N49"/>
    <mergeCell ref="H50:H52"/>
    <mergeCell ref="K14:K16"/>
    <mergeCell ref="L14:L16"/>
    <mergeCell ref="M14:M16"/>
    <mergeCell ref="N14:N16"/>
    <mergeCell ref="L17:L19"/>
    <mergeCell ref="M17:M19"/>
    <mergeCell ref="N17:N19"/>
    <mergeCell ref="K17:K19"/>
    <mergeCell ref="J20:J22"/>
    <mergeCell ref="K20:K22"/>
    <mergeCell ref="L20:L22"/>
    <mergeCell ref="M20:M22"/>
    <mergeCell ref="N20:N22"/>
    <mergeCell ref="N23:N25"/>
    <mergeCell ref="K23:K25"/>
    <mergeCell ref="H26:H28"/>
    <mergeCell ref="J26:J28"/>
    <mergeCell ref="K26:K28"/>
    <mergeCell ref="L26:L28"/>
    <mergeCell ref="M26:M28"/>
    <mergeCell ref="N26:N28"/>
    <mergeCell ref="M32:M34"/>
    <mergeCell ref="N32:N34"/>
    <mergeCell ref="L29:L31"/>
    <mergeCell ref="M29:M31"/>
    <mergeCell ref="N29:N31"/>
    <mergeCell ref="H32:H34"/>
    <mergeCell ref="J32:J34"/>
    <mergeCell ref="K32:K34"/>
    <mergeCell ref="L32:L34"/>
    <mergeCell ref="H35:H37"/>
    <mergeCell ref="I35:I37"/>
    <mergeCell ref="J35:J37"/>
    <mergeCell ref="K35:K37"/>
    <mergeCell ref="L35:L37"/>
    <mergeCell ref="M35:M37"/>
    <mergeCell ref="N35:N37"/>
    <mergeCell ref="M44:M46"/>
    <mergeCell ref="N44:N46"/>
    <mergeCell ref="M53:M55"/>
    <mergeCell ref="N53:N55"/>
    <mergeCell ref="F50:F52"/>
    <mergeCell ref="F53:F55"/>
    <mergeCell ref="H53:H55"/>
    <mergeCell ref="I53:I55"/>
    <mergeCell ref="J53:J55"/>
    <mergeCell ref="K53:K55"/>
    <mergeCell ref="L53:L55"/>
    <mergeCell ref="J56:J58"/>
    <mergeCell ref="J59:J61"/>
    <mergeCell ref="K59:K61"/>
    <mergeCell ref="L59:L61"/>
    <mergeCell ref="M59:M61"/>
    <mergeCell ref="N59:N61"/>
    <mergeCell ref="G53:G55"/>
    <mergeCell ref="G56:G58"/>
    <mergeCell ref="H56:H58"/>
    <mergeCell ref="K56:K58"/>
    <mergeCell ref="L56:L58"/>
    <mergeCell ref="M56:M58"/>
    <mergeCell ref="N56:N58"/>
    <mergeCell ref="F38:F40"/>
    <mergeCell ref="G38:G40"/>
    <mergeCell ref="F41:F43"/>
    <mergeCell ref="G41:G43"/>
    <mergeCell ref="F44:F46"/>
    <mergeCell ref="G47:G49"/>
    <mergeCell ref="G50:G52"/>
    <mergeCell ref="G65:G67"/>
    <mergeCell ref="H65:H67"/>
    <mergeCell ref="J65:J67"/>
    <mergeCell ref="K65:K67"/>
    <mergeCell ref="L65:L67"/>
    <mergeCell ref="M65:M67"/>
    <mergeCell ref="N65:N67"/>
    <mergeCell ref="G62:G64"/>
    <mergeCell ref="H62:H64"/>
    <mergeCell ref="J62:J64"/>
    <mergeCell ref="K62:K64"/>
    <mergeCell ref="L62:L64"/>
    <mergeCell ref="M62:M64"/>
    <mergeCell ref="N62:N64"/>
    <mergeCell ref="E32:E34"/>
    <mergeCell ref="E38:E40"/>
    <mergeCell ref="E47:E49"/>
    <mergeCell ref="E53:E55"/>
    <mergeCell ref="D32:D34"/>
    <mergeCell ref="D35:D37"/>
    <mergeCell ref="D38:D40"/>
    <mergeCell ref="D41:D43"/>
    <mergeCell ref="D44:D46"/>
    <mergeCell ref="D47:D49"/>
    <mergeCell ref="D50:D52"/>
    <mergeCell ref="D53:D55"/>
    <mergeCell ref="D56:D58"/>
    <mergeCell ref="F56:F58"/>
    <mergeCell ref="F59:F61"/>
    <mergeCell ref="G68:G70"/>
    <mergeCell ref="H68:H70"/>
    <mergeCell ref="I68:I70"/>
    <mergeCell ref="J68:J70"/>
    <mergeCell ref="K68:K70"/>
    <mergeCell ref="L68:L70"/>
    <mergeCell ref="M68:M70"/>
    <mergeCell ref="N68:N70"/>
    <mergeCell ref="D59:D61"/>
    <mergeCell ref="D62:D64"/>
    <mergeCell ref="E62:E64"/>
    <mergeCell ref="F62:F64"/>
    <mergeCell ref="D65:D67"/>
    <mergeCell ref="F65:F67"/>
    <mergeCell ref="D68:D70"/>
    <mergeCell ref="K71:K73"/>
    <mergeCell ref="K74:K76"/>
    <mergeCell ref="L74:L76"/>
    <mergeCell ref="M74:M76"/>
    <mergeCell ref="G71:G73"/>
    <mergeCell ref="H71:H73"/>
    <mergeCell ref="J71:J73"/>
    <mergeCell ref="L71:L73"/>
    <mergeCell ref="M71:M73"/>
    <mergeCell ref="N71:N73"/>
    <mergeCell ref="I74:I76"/>
    <mergeCell ref="N74:N76"/>
    <mergeCell ref="B17:B19"/>
    <mergeCell ref="B20:B22"/>
    <mergeCell ref="F20:F22"/>
    <mergeCell ref="E23:E25"/>
    <mergeCell ref="F23:F25"/>
    <mergeCell ref="D5:D7"/>
    <mergeCell ref="D8:D10"/>
    <mergeCell ref="B11:B13"/>
    <mergeCell ref="D11:D13"/>
    <mergeCell ref="D14:D16"/>
    <mergeCell ref="D17:D19"/>
    <mergeCell ref="D20:D22"/>
    <mergeCell ref="D23:D25"/>
    <mergeCell ref="D26:D28"/>
    <mergeCell ref="E26:E28"/>
    <mergeCell ref="F26:F28"/>
    <mergeCell ref="D29:D31"/>
    <mergeCell ref="F29:F31"/>
    <mergeCell ref="F35:F37"/>
    <mergeCell ref="B14:B16"/>
    <mergeCell ref="B23:B25"/>
    <mergeCell ref="B26:B28"/>
    <mergeCell ref="B29:B31"/>
    <mergeCell ref="B32:B34"/>
    <mergeCell ref="B35:B37"/>
    <mergeCell ref="B38:B40"/>
    <mergeCell ref="B62:B64"/>
    <mergeCell ref="B65:B67"/>
    <mergeCell ref="B68:B70"/>
    <mergeCell ref="B71:B73"/>
    <mergeCell ref="B74:B76"/>
    <mergeCell ref="B41:B43"/>
    <mergeCell ref="B44:B46"/>
    <mergeCell ref="B47:B49"/>
    <mergeCell ref="B50:B52"/>
    <mergeCell ref="B53:B55"/>
    <mergeCell ref="B56:B58"/>
    <mergeCell ref="B59:B61"/>
    <mergeCell ref="E68:E70"/>
    <mergeCell ref="F68:F70"/>
    <mergeCell ref="D71:D73"/>
    <mergeCell ref="E71:E73"/>
    <mergeCell ref="F71:F73"/>
    <mergeCell ref="D74:D76"/>
  </mergeCells>
  <conditionalFormatting sqref="A3:R1086">
    <cfRule type="expression" dxfId="0" priority="1">
      <formula>($B3&lt;&gt;"")*($D3="")</formula>
    </cfRule>
  </conditionalFormatting>
  <conditionalFormatting sqref="N1:N76 E5:K76 O17:O22 N78:N83 L81:L83 I84:J84 N86:N1086 J88:J1086">
    <cfRule type="cellIs" dxfId="1" priority="2" operator="lessThan">
      <formula>0</formula>
    </cfRule>
  </conditionalFormatting>
  <conditionalFormatting sqref="N5:N76">
    <cfRule type="cellIs" dxfId="2" priority="3" operator="greaterThanOrEqual">
      <formula>0</formula>
    </cfRule>
  </conditionalFormatting>
  <hyperlinks>
    <hyperlink r:id="rId1" location="gid=1619821413" ref="B1"/>
  </hyperlinks>
  <drawing r:id="rId2"/>
</worksheet>
</file>
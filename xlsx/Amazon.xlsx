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Gross (0525-0531)    " sheetId="1" r:id="rId5"/>
    <sheet state="visible" name="Weekly Gross (0518-0524)    " sheetId="2" r:id="rId6"/>
    <sheet state="visible" name="Weekly Gross (0511-0517)      " sheetId="3" r:id="rId7"/>
    <sheet state="visible" name="Weekly Gross (0504-0510)     " sheetId="4" r:id="rId8"/>
    <sheet state="visible" name="Weekly Gross (0427-0503)    " sheetId="5" r:id="rId9"/>
    <sheet state="visible" name="Weekly Gross (0420-0426)   " sheetId="6" r:id="rId10"/>
    <sheet state="visible" name="Weekly Gross (0413-0419)   " sheetId="7" r:id="rId11"/>
    <sheet state="visible" name="Weekly Gross (0406-0412)  " sheetId="8" r:id="rId12"/>
    <sheet state="visible" name="Weekly Gross (0330-0405)  " sheetId="9" r:id="rId13"/>
    <sheet state="visible" name="Weekly Gross (0323-0329) " sheetId="10" r:id="rId14"/>
    <sheet state="visible" name="Weekly Gross (0316-0322) " sheetId="11" r:id="rId15"/>
    <sheet state="visible" name="Weekly Gross (0309-0315)" sheetId="12" r:id="rId16"/>
  </sheets>
  <definedNames/>
  <calcPr/>
</workbook>
</file>

<file path=xl/sharedStrings.xml><?xml version="1.0" encoding="utf-8"?>
<sst xmlns="http://schemas.openxmlformats.org/spreadsheetml/2006/main" count="1881" uniqueCount="54">
  <si>
    <t>DAY</t>
  </si>
  <si>
    <t>Trucks</t>
  </si>
  <si>
    <t>Company balance</t>
  </si>
  <si>
    <t>Drivers</t>
  </si>
  <si>
    <t>Driver</t>
  </si>
  <si>
    <t>MON</t>
  </si>
  <si>
    <t>TUE</t>
  </si>
  <si>
    <t>WED</t>
  </si>
  <si>
    <t>THU</t>
  </si>
  <si>
    <t>FRI</t>
  </si>
  <si>
    <t>SAT</t>
  </si>
  <si>
    <t>SUN</t>
  </si>
  <si>
    <t>Sergei GL1263</t>
  </si>
  <si>
    <t>Gross</t>
  </si>
  <si>
    <t>Miles</t>
  </si>
  <si>
    <t>RPM</t>
  </si>
  <si>
    <t>Radik GL1882</t>
  </si>
  <si>
    <t>home</t>
  </si>
  <si>
    <t>Andrei GL4732</t>
  </si>
  <si>
    <t>Roman GL0922</t>
  </si>
  <si>
    <t>Onder Kulug GL3278</t>
  </si>
  <si>
    <t>Jurat GL2552</t>
  </si>
  <si>
    <t>Abdulla GL6881</t>
  </si>
  <si>
    <t>Muhamet Tamur</t>
  </si>
  <si>
    <t>enroute</t>
  </si>
  <si>
    <t xml:space="preserve">cancel </t>
  </si>
  <si>
    <t>cycle</t>
  </si>
  <si>
    <t>cancel</t>
  </si>
  <si>
    <t>fleet</t>
  </si>
  <si>
    <t>FLEET</t>
  </si>
  <si>
    <t>DOT</t>
  </si>
  <si>
    <t>OIL CHANGE</t>
  </si>
  <si>
    <t>Jurat</t>
  </si>
  <si>
    <t>truck issue</t>
  </si>
  <si>
    <t>service</t>
  </si>
  <si>
    <t>Abdulla</t>
  </si>
  <si>
    <t>DAY OFF</t>
  </si>
  <si>
    <t>office, truck change</t>
  </si>
  <si>
    <t>street</t>
  </si>
  <si>
    <t>refused loads</t>
  </si>
  <si>
    <t>refused load</t>
  </si>
  <si>
    <t>cycle/DOT</t>
  </si>
  <si>
    <t>shift/DOT</t>
  </si>
  <si>
    <t xml:space="preserve">home </t>
  </si>
  <si>
    <t>rest</t>
  </si>
  <si>
    <t xml:space="preserve">office </t>
  </si>
  <si>
    <t>Leonid  GL9745</t>
  </si>
  <si>
    <t>Ulugbek GL2552</t>
  </si>
  <si>
    <t xml:space="preserve">cycle </t>
  </si>
  <si>
    <t>broken truck reject</t>
  </si>
  <si>
    <t xml:space="preserve">driver took rest </t>
  </si>
  <si>
    <t>enorute</t>
  </si>
  <si>
    <t>no load/rest</t>
  </si>
  <si>
    <t>Abdulla/ Aziz GL6881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</si>
</sst>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12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>
      <color theme="1"/>
      <name val="Arial"/>
      <scheme val="minor"/>
    </font>
    <font>
      <b/>
      <sz val="12.0"/>
      <color theme="1"/>
      <name val="Arial"/>
    </font>
    <font>
      <b/>
      <color theme="1"/>
      <name val="Arial"/>
    </font>
    <font>
      <b/>
      <sz val="12.0"/>
      <color theme="1"/>
      <name val="Arial"/>
      <scheme val="minor"/>
    </font>
    <font>
      <b/>
      <sz val="11.0"/>
      <color theme="1"/>
      <name val="Arial"/>
    </font>
    <font>
      <b/>
      <sz val="10.0"/>
      <color theme="1"/>
      <name val="Arial"/>
      <scheme val="minor"/>
    </font>
    <font/>
    <font>
      <sz val="11.0"/>
      <color theme="1"/>
      <name val="Arial"/>
      <scheme val="minor"/>
    </font>
    <font>
      <b/>
      <sz val="15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theme="8"/>
        <bgColor theme="8"/>
      </patternFill>
    </fill>
    <fill>
      <patternFill patternType="solid">
        <fgColor rgb="FF93C47D"/>
        <bgColor rgb="FF93C47D"/>
      </patternFill>
    </fill>
    <fill>
      <patternFill patternType="solid">
        <fgColor rgb="FFB7E1CD"/>
        <bgColor rgb="FFB7E1CD"/>
      </patternFill>
    </fill>
    <fill>
      <patternFill patternType="solid">
        <fgColor rgb="FFFF6D01"/>
        <bgColor rgb="FFFF6D01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20" xfId="0" applyAlignment="1" applyBorder="1" applyFill="1" applyFont="1" applyNumberForma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readingOrder="0"/>
    </xf>
    <xf borderId="2" fillId="0" fontId="1" numFmtId="0" xfId="0" applyAlignment="1" applyBorder="1" applyFont="1">
      <alignment vertical="bottom"/>
    </xf>
    <xf borderId="3" fillId="0" fontId="4" numFmtId="0" xfId="0" applyAlignment="1" applyBorder="1" applyFont="1">
      <alignment horizontal="center" readingOrder="0" vertical="bottom"/>
    </xf>
    <xf borderId="4" fillId="0" fontId="4" numFmtId="0" xfId="0" applyAlignment="1" applyBorder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5" fillId="3" fontId="2" numFmtId="0" xfId="0" applyAlignment="1" applyBorder="1" applyFill="1" applyFont="1">
      <alignment horizontal="center" readingOrder="0" vertical="bottom"/>
    </xf>
    <xf borderId="4" fillId="0" fontId="1" numFmtId="164" xfId="0" applyAlignment="1" applyBorder="1" applyFont="1" applyNumberFormat="1">
      <alignment readingOrder="0" vertical="bottom"/>
    </xf>
    <xf borderId="0" fillId="0" fontId="5" numFmtId="164" xfId="0" applyAlignment="1" applyFont="1" applyNumberFormat="1">
      <alignment horizontal="right" vertical="bottom"/>
    </xf>
    <xf borderId="6" fillId="0" fontId="6" numFmtId="0" xfId="0" applyAlignment="1" applyBorder="1" applyFont="1">
      <alignment horizontal="center" readingOrder="0"/>
    </xf>
    <xf borderId="7" fillId="0" fontId="3" numFmtId="164" xfId="0" applyBorder="1" applyFont="1" applyNumberFormat="1"/>
    <xf borderId="6" fillId="0" fontId="7" numFmtId="0" xfId="0" applyAlignment="1" applyBorder="1" applyFont="1">
      <alignment horizontal="center" readingOrder="0" vertical="bottom"/>
    </xf>
    <xf borderId="6" fillId="0" fontId="4" numFmtId="164" xfId="0" applyAlignment="1" applyBorder="1" applyFont="1" applyNumberFormat="1">
      <alignment horizontal="center" readingOrder="0" vertical="bottom"/>
    </xf>
    <xf borderId="8" fillId="0" fontId="5" numFmtId="4" xfId="0" applyAlignment="1" applyBorder="1" applyFont="1" applyNumberFormat="1">
      <alignment horizontal="right" vertical="bottom"/>
    </xf>
    <xf borderId="9" fillId="4" fontId="4" numFmtId="0" xfId="0" applyAlignment="1" applyBorder="1" applyFill="1" applyFont="1">
      <alignment horizontal="center" readingOrder="0" vertical="center"/>
    </xf>
    <xf borderId="6" fillId="5" fontId="6" numFmtId="0" xfId="0" applyAlignment="1" applyBorder="1" applyFill="1" applyFont="1">
      <alignment horizontal="center" readingOrder="0"/>
    </xf>
    <xf borderId="6" fillId="5" fontId="8" numFmtId="164" xfId="0" applyAlignment="1" applyBorder="1" applyFont="1" applyNumberFormat="1">
      <alignment horizontal="center" readingOrder="0"/>
    </xf>
    <xf borderId="10" fillId="0" fontId="9" numFmtId="0" xfId="0" applyBorder="1" applyFont="1"/>
    <xf borderId="0" fillId="0" fontId="10" numFmtId="0" xfId="0" applyAlignment="1" applyFont="1">
      <alignment horizontal="center" readingOrder="0"/>
    </xf>
    <xf borderId="3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4" fillId="0" fontId="5" numFmtId="164" xfId="0" applyAlignment="1" applyBorder="1" applyFont="1" applyNumberFormat="1">
      <alignment readingOrder="0" vertical="bottom"/>
    </xf>
    <xf borderId="0" fillId="0" fontId="1" numFmtId="164" xfId="0" applyAlignment="1" applyFont="1" applyNumberFormat="1">
      <alignment vertical="bottom"/>
    </xf>
    <xf borderId="6" fillId="0" fontId="4" numFmtId="0" xfId="0" applyAlignment="1" applyBorder="1" applyFont="1">
      <alignment horizontal="center" vertical="bottom"/>
    </xf>
    <xf borderId="7" fillId="0" fontId="1" numFmtId="164" xfId="0" applyAlignment="1" applyBorder="1" applyFont="1" applyNumberFormat="1">
      <alignment horizontal="right" vertical="bottom"/>
    </xf>
    <xf borderId="6" fillId="0" fontId="7" numFmtId="0" xfId="0" applyAlignment="1" applyBorder="1" applyFont="1">
      <alignment horizontal="center" vertical="bottom"/>
    </xf>
    <xf borderId="6" fillId="0" fontId="4" numFmtId="164" xfId="0" applyAlignment="1" applyBorder="1" applyFont="1" applyNumberFormat="1">
      <alignment horizontal="center" vertical="bottom"/>
    </xf>
    <xf borderId="8" fillId="6" fontId="5" numFmtId="4" xfId="0" applyAlignment="1" applyBorder="1" applyFill="1" applyFont="1" applyNumberFormat="1">
      <alignment horizontal="right" vertical="bottom"/>
    </xf>
    <xf borderId="9" fillId="7" fontId="4" numFmtId="0" xfId="0" applyAlignment="1" applyBorder="1" applyFill="1" applyFont="1">
      <alignment horizontal="center"/>
    </xf>
    <xf borderId="6" fillId="0" fontId="1" numFmtId="0" xfId="0" applyAlignment="1" applyBorder="1" applyFont="1">
      <alignment readingOrder="0" vertical="bottom"/>
    </xf>
    <xf borderId="6" fillId="5" fontId="4" numFmtId="0" xfId="0" applyAlignment="1" applyBorder="1" applyFont="1">
      <alignment horizontal="center" vertical="bottom"/>
    </xf>
    <xf borderId="6" fillId="5" fontId="5" numFmtId="164" xfId="0" applyAlignment="1" applyBorder="1" applyFont="1" applyNumberFormat="1">
      <alignment horizontal="center" vertical="bottom"/>
    </xf>
    <xf borderId="0" fillId="0" fontId="1" numFmtId="164" xfId="0" applyAlignment="1" applyFont="1" applyNumberFormat="1">
      <alignment readingOrder="0" vertical="bottom"/>
    </xf>
    <xf borderId="6" fillId="5" fontId="5" numFmtId="0" xfId="0" applyAlignment="1" applyBorder="1" applyFont="1">
      <alignment horizontal="center" vertical="bottom"/>
    </xf>
    <xf borderId="5" fillId="3" fontId="11" numFmtId="0" xfId="0" applyAlignment="1" applyBorder="1" applyFont="1">
      <alignment horizontal="center" readingOrder="0" vertical="bottom"/>
    </xf>
    <xf borderId="4" fillId="0" fontId="1" numFmtId="164" xfId="0" applyAlignment="1" applyBorder="1" applyFont="1" applyNumberFormat="1">
      <alignment horizontal="center" readingOrder="0" vertical="bottom"/>
    </xf>
    <xf borderId="6" fillId="0" fontId="1" numFmtId="0" xfId="0" applyAlignment="1" applyBorder="1" applyFont="1">
      <alignment horizontal="center" readingOrder="0" vertical="bottom"/>
    </xf>
    <xf borderId="4" fillId="0" fontId="5" numFmtId="164" xfId="0" applyAlignment="1" applyBorder="1" applyFont="1" applyNumberFormat="1">
      <alignment horizontal="center" readingOrder="0" vertical="bottom"/>
    </xf>
    <xf borderId="4" fillId="0" fontId="1" numFmtId="164" xfId="0" applyAlignment="1" applyBorder="1" applyFont="1" applyNumberFormat="1">
      <alignment readingOrder="0" vertical="bottom"/>
    </xf>
    <xf borderId="6" fillId="5" fontId="8" numFmtId="0" xfId="0" applyAlignment="1" applyBorder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19.75"/>
    <col customWidth="1" min="3" max="3" width="16.88"/>
    <col customWidth="1" min="4" max="4" width="18.0"/>
    <col customWidth="1" min="5" max="5" width="16.75"/>
    <col customWidth="1" min="6" max="7" width="17.0"/>
    <col customWidth="1" min="8" max="8" width="16.63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>
        <v>9.0</v>
      </c>
      <c r="M1" s="4" t="s">
        <v>2</v>
      </c>
      <c r="N1" s="4">
        <v>1.0</v>
      </c>
    </row>
    <row r="2">
      <c r="A2" s="3"/>
      <c r="B2" s="3"/>
      <c r="C2" s="3"/>
      <c r="D2" s="3"/>
      <c r="E2" s="3"/>
      <c r="F2" s="3"/>
      <c r="G2" s="3"/>
      <c r="H2" s="3"/>
      <c r="I2" s="3"/>
      <c r="J2" s="4" t="s">
        <v>3</v>
      </c>
    </row>
    <row r="3">
      <c r="A3" s="5"/>
      <c r="B3" s="5"/>
      <c r="C3" s="5"/>
      <c r="D3" s="5"/>
      <c r="E3" s="5"/>
      <c r="F3" s="5"/>
      <c r="G3" s="5"/>
      <c r="H3" s="5"/>
      <c r="I3" s="3"/>
    </row>
    <row r="4">
      <c r="A4" s="6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3"/>
      <c r="J4" s="8"/>
    </row>
    <row r="5">
      <c r="A5" s="9" t="s">
        <v>12</v>
      </c>
      <c r="B5" s="10">
        <v>2011.99</v>
      </c>
      <c r="C5" s="10">
        <v>3096.36</v>
      </c>
      <c r="D5" s="10">
        <v>674.81</v>
      </c>
      <c r="E5" s="10"/>
      <c r="F5" s="10"/>
      <c r="G5" s="10"/>
      <c r="H5" s="10"/>
      <c r="I5" s="11"/>
      <c r="J5" s="12" t="s">
        <v>13</v>
      </c>
      <c r="K5" s="13">
        <f>SUM(B5:H6)</f>
        <v>7449.06</v>
      </c>
    </row>
    <row r="6">
      <c r="A6" s="14" t="s">
        <v>13</v>
      </c>
      <c r="B6" s="10">
        <v>1315.9</v>
      </c>
      <c r="C6" s="10">
        <v>350.0</v>
      </c>
      <c r="D6" s="10"/>
      <c r="E6" s="10"/>
      <c r="F6" s="10"/>
      <c r="G6" s="10"/>
      <c r="H6" s="10"/>
      <c r="I6" s="11"/>
      <c r="J6" s="15" t="s">
        <v>14</v>
      </c>
      <c r="K6" s="16">
        <f>sum(B7:H8)</f>
        <v>1900</v>
      </c>
    </row>
    <row r="7">
      <c r="A7" s="17" t="s">
        <v>14</v>
      </c>
      <c r="B7" s="14">
        <v>488.0</v>
      </c>
      <c r="C7" s="14">
        <v>760.0</v>
      </c>
      <c r="D7" s="14">
        <v>250.0</v>
      </c>
      <c r="E7" s="14"/>
      <c r="F7" s="14"/>
      <c r="G7" s="14"/>
      <c r="H7" s="14"/>
      <c r="I7" s="11"/>
      <c r="J7" s="18" t="s">
        <v>15</v>
      </c>
      <c r="K7" s="19">
        <f>K5/K6</f>
        <v>3.920557895</v>
      </c>
    </row>
    <row r="8">
      <c r="A8" s="20"/>
      <c r="B8" s="14">
        <v>354.0</v>
      </c>
      <c r="C8" s="14">
        <v>48.0</v>
      </c>
      <c r="D8" s="14"/>
      <c r="E8" s="14"/>
      <c r="F8" s="14"/>
      <c r="G8" s="14"/>
      <c r="H8" s="14"/>
      <c r="I8" s="3"/>
      <c r="J8" s="21"/>
    </row>
    <row r="9">
      <c r="A9" s="3"/>
      <c r="B9" s="3"/>
      <c r="C9" s="3"/>
      <c r="D9" s="3"/>
      <c r="E9" s="3"/>
      <c r="F9" s="3"/>
      <c r="G9" s="3"/>
      <c r="H9" s="3"/>
      <c r="I9" s="3"/>
    </row>
    <row r="10">
      <c r="A10" s="5"/>
      <c r="B10" s="5"/>
      <c r="C10" s="5"/>
      <c r="D10" s="5"/>
      <c r="E10" s="5"/>
      <c r="F10" s="5"/>
      <c r="G10" s="5"/>
      <c r="H10" s="5"/>
      <c r="I10" s="3"/>
    </row>
    <row r="11">
      <c r="A11" s="22" t="s">
        <v>4</v>
      </c>
      <c r="B11" s="23" t="s">
        <v>5</v>
      </c>
      <c r="C11" s="23" t="s">
        <v>6</v>
      </c>
      <c r="D11" s="23" t="s">
        <v>7</v>
      </c>
      <c r="E11" s="23" t="s">
        <v>8</v>
      </c>
      <c r="F11" s="23" t="s">
        <v>9</v>
      </c>
      <c r="G11" s="23" t="s">
        <v>10</v>
      </c>
      <c r="H11" s="23" t="s">
        <v>11</v>
      </c>
      <c r="I11" s="3"/>
      <c r="J11" s="3"/>
      <c r="K11" s="3"/>
    </row>
    <row r="12">
      <c r="A12" s="9" t="s">
        <v>16</v>
      </c>
      <c r="B12" s="24" t="s">
        <v>17</v>
      </c>
      <c r="C12" s="10">
        <v>1044.07</v>
      </c>
      <c r="D12" s="10">
        <v>1191.82</v>
      </c>
      <c r="E12" s="10"/>
      <c r="F12" s="10"/>
      <c r="G12" s="10"/>
      <c r="H12" s="10"/>
      <c r="I12" s="25"/>
      <c r="J12" s="26" t="s">
        <v>13</v>
      </c>
      <c r="K12" s="27">
        <f>SUM(B12:H13)</f>
        <v>2235.89</v>
      </c>
    </row>
    <row r="13">
      <c r="A13" s="28" t="s">
        <v>13</v>
      </c>
      <c r="B13" s="10"/>
      <c r="C13" s="10"/>
      <c r="D13" s="10"/>
      <c r="E13" s="10"/>
      <c r="F13" s="10"/>
      <c r="G13" s="10"/>
      <c r="H13" s="10"/>
      <c r="I13" s="25"/>
      <c r="J13" s="29" t="s">
        <v>14</v>
      </c>
      <c r="K13" s="30">
        <f>SUM(B14:H15)</f>
        <v>904</v>
      </c>
    </row>
    <row r="14">
      <c r="A14" s="31" t="s">
        <v>14</v>
      </c>
      <c r="B14" s="32"/>
      <c r="C14" s="32">
        <v>495.0</v>
      </c>
      <c r="D14" s="32">
        <v>409.0</v>
      </c>
      <c r="E14" s="32"/>
      <c r="F14" s="32"/>
      <c r="G14" s="32"/>
      <c r="H14" s="32"/>
      <c r="I14" s="25"/>
      <c r="J14" s="33" t="s">
        <v>15</v>
      </c>
      <c r="K14" s="34">
        <f>K12/K13</f>
        <v>2.473329646</v>
      </c>
    </row>
    <row r="15">
      <c r="A15" s="20"/>
      <c r="B15" s="32"/>
      <c r="C15" s="32"/>
      <c r="D15" s="32"/>
      <c r="E15" s="32"/>
      <c r="F15" s="32"/>
      <c r="G15" s="32"/>
      <c r="H15" s="32"/>
      <c r="I15" s="3"/>
      <c r="J15" s="3"/>
      <c r="K15" s="3"/>
    </row>
    <row r="18">
      <c r="A18" s="22" t="s">
        <v>4</v>
      </c>
      <c r="B18" s="23" t="s">
        <v>5</v>
      </c>
      <c r="C18" s="23" t="s">
        <v>6</v>
      </c>
      <c r="D18" s="23" t="s">
        <v>7</v>
      </c>
      <c r="E18" s="23" t="s">
        <v>8</v>
      </c>
      <c r="F18" s="23" t="s">
        <v>9</v>
      </c>
      <c r="G18" s="23" t="s">
        <v>10</v>
      </c>
      <c r="H18" s="23" t="s">
        <v>11</v>
      </c>
      <c r="I18" s="3"/>
      <c r="J18" s="3"/>
      <c r="K18" s="3"/>
    </row>
    <row r="19">
      <c r="A19" s="9" t="s">
        <v>18</v>
      </c>
      <c r="B19" s="24" t="s">
        <v>17</v>
      </c>
      <c r="C19" s="24" t="s">
        <v>17</v>
      </c>
      <c r="D19" s="24" t="s">
        <v>17</v>
      </c>
      <c r="E19" s="24" t="s">
        <v>17</v>
      </c>
      <c r="F19" s="24" t="s">
        <v>17</v>
      </c>
      <c r="G19" s="24" t="s">
        <v>17</v>
      </c>
      <c r="H19" s="24" t="s">
        <v>17</v>
      </c>
      <c r="I19" s="35"/>
      <c r="J19" s="26" t="s">
        <v>13</v>
      </c>
      <c r="K19" s="27">
        <f>SUM(B19:H20)</f>
        <v>0</v>
      </c>
    </row>
    <row r="20">
      <c r="A20" s="28" t="s">
        <v>13</v>
      </c>
      <c r="B20" s="10"/>
      <c r="C20" s="10"/>
      <c r="D20" s="10"/>
      <c r="E20" s="10"/>
      <c r="F20" s="10"/>
      <c r="G20" s="10"/>
      <c r="H20" s="10"/>
      <c r="I20" s="25"/>
      <c r="J20" s="29" t="s">
        <v>14</v>
      </c>
      <c r="K20" s="30">
        <f>SUM(B21:H22)</f>
        <v>0</v>
      </c>
    </row>
    <row r="21">
      <c r="A21" s="31" t="s">
        <v>14</v>
      </c>
      <c r="B21" s="32"/>
      <c r="C21" s="32"/>
      <c r="D21" s="32"/>
      <c r="E21" s="32"/>
      <c r="F21" s="32"/>
      <c r="G21" s="32"/>
      <c r="H21" s="32"/>
      <c r="I21" s="25"/>
      <c r="J21" s="33" t="s">
        <v>15</v>
      </c>
      <c r="K21" s="36" t="str">
        <f>K19/K20</f>
        <v>#DIV/0!</v>
      </c>
    </row>
    <row r="22">
      <c r="A22" s="20"/>
      <c r="B22" s="32"/>
      <c r="C22" s="32"/>
      <c r="D22" s="32"/>
      <c r="E22" s="32"/>
      <c r="F22" s="32"/>
      <c r="G22" s="32"/>
      <c r="H22" s="32"/>
      <c r="I22" s="3"/>
      <c r="J22" s="3"/>
      <c r="K22" s="3"/>
    </row>
    <row r="25">
      <c r="A25" s="22" t="s">
        <v>4</v>
      </c>
      <c r="B25" s="23" t="s">
        <v>5</v>
      </c>
      <c r="C25" s="23" t="s">
        <v>6</v>
      </c>
      <c r="D25" s="23" t="s">
        <v>7</v>
      </c>
      <c r="E25" s="23" t="s">
        <v>8</v>
      </c>
      <c r="F25" s="23" t="s">
        <v>9</v>
      </c>
      <c r="G25" s="23" t="s">
        <v>10</v>
      </c>
      <c r="H25" s="23" t="s">
        <v>11</v>
      </c>
      <c r="I25" s="3"/>
      <c r="J25" s="3"/>
      <c r="K25" s="3"/>
    </row>
    <row r="26">
      <c r="A26" s="37" t="s">
        <v>19</v>
      </c>
      <c r="B26" s="10">
        <v>1204.9</v>
      </c>
      <c r="C26" s="10">
        <v>1433.15</v>
      </c>
      <c r="D26" s="10">
        <v>2578.44</v>
      </c>
      <c r="E26" s="10"/>
      <c r="F26" s="10"/>
      <c r="G26" s="10"/>
      <c r="H26" s="10"/>
      <c r="I26" s="25"/>
      <c r="J26" s="26" t="s">
        <v>13</v>
      </c>
      <c r="K26" s="27">
        <f>SUM(B26:H27)</f>
        <v>5391.49</v>
      </c>
    </row>
    <row r="27">
      <c r="A27" s="28" t="s">
        <v>13</v>
      </c>
      <c r="B27" s="10"/>
      <c r="C27" s="10"/>
      <c r="D27" s="10">
        <v>175.0</v>
      </c>
      <c r="E27" s="10"/>
      <c r="F27" s="10"/>
      <c r="G27" s="10"/>
      <c r="H27" s="10"/>
      <c r="I27" s="25"/>
      <c r="J27" s="29" t="s">
        <v>14</v>
      </c>
      <c r="K27" s="30">
        <f>SUM(B28:H29)</f>
        <v>1385</v>
      </c>
    </row>
    <row r="28">
      <c r="A28" s="31" t="s">
        <v>14</v>
      </c>
      <c r="B28" s="32">
        <v>521.0</v>
      </c>
      <c r="C28" s="32">
        <v>505.0</v>
      </c>
      <c r="D28" s="32">
        <v>359.0</v>
      </c>
      <c r="E28" s="32"/>
      <c r="F28" s="32"/>
      <c r="G28" s="32"/>
      <c r="H28" s="32"/>
      <c r="I28" s="25"/>
      <c r="J28" s="33" t="s">
        <v>15</v>
      </c>
      <c r="K28" s="34">
        <f>K26/K27</f>
        <v>3.892772563</v>
      </c>
    </row>
    <row r="29">
      <c r="A29" s="20"/>
      <c r="B29" s="32"/>
      <c r="C29" s="32"/>
      <c r="D29" s="32"/>
      <c r="E29" s="32"/>
      <c r="F29" s="32"/>
      <c r="G29" s="32"/>
      <c r="H29" s="32"/>
      <c r="I29" s="3"/>
      <c r="J29" s="3"/>
      <c r="K29" s="3"/>
    </row>
    <row r="32">
      <c r="A32" s="22" t="s">
        <v>4</v>
      </c>
      <c r="B32" s="23" t="s">
        <v>5</v>
      </c>
      <c r="C32" s="23" t="s">
        <v>6</v>
      </c>
      <c r="D32" s="23" t="s">
        <v>7</v>
      </c>
      <c r="E32" s="23" t="s">
        <v>8</v>
      </c>
      <c r="F32" s="23" t="s">
        <v>9</v>
      </c>
      <c r="G32" s="23" t="s">
        <v>10</v>
      </c>
      <c r="H32" s="23" t="s">
        <v>11</v>
      </c>
      <c r="I32" s="3"/>
      <c r="J32" s="3"/>
      <c r="K32" s="3"/>
    </row>
    <row r="33">
      <c r="A33" s="37" t="s">
        <v>20</v>
      </c>
      <c r="B33" s="10">
        <v>1244.98</v>
      </c>
      <c r="C33" s="10">
        <v>1418.41</v>
      </c>
      <c r="D33" s="10">
        <v>2529.23</v>
      </c>
      <c r="E33" s="10"/>
      <c r="F33" s="10"/>
      <c r="G33" s="10"/>
      <c r="H33" s="10"/>
      <c r="I33" s="25"/>
      <c r="J33" s="26" t="s">
        <v>13</v>
      </c>
      <c r="K33" s="27">
        <f>SUM(B33:H34)</f>
        <v>5192.62</v>
      </c>
    </row>
    <row r="34">
      <c r="A34" s="28" t="s">
        <v>13</v>
      </c>
      <c r="B34" s="10"/>
      <c r="C34" s="10"/>
      <c r="D34" s="10"/>
      <c r="E34" s="10"/>
      <c r="F34" s="10"/>
      <c r="G34" s="10"/>
      <c r="H34" s="10"/>
      <c r="I34" s="25"/>
      <c r="J34" s="29" t="s">
        <v>14</v>
      </c>
      <c r="K34" s="30">
        <f>SUM(B35:H36)</f>
        <v>1813</v>
      </c>
    </row>
    <row r="35">
      <c r="A35" s="31" t="s">
        <v>14</v>
      </c>
      <c r="B35" s="32">
        <v>348.0</v>
      </c>
      <c r="C35" s="32">
        <v>487.0</v>
      </c>
      <c r="D35" s="32">
        <v>978.0</v>
      </c>
      <c r="E35" s="32"/>
      <c r="F35" s="32"/>
      <c r="G35" s="32"/>
      <c r="H35" s="32"/>
      <c r="I35" s="25"/>
      <c r="J35" s="33" t="s">
        <v>15</v>
      </c>
      <c r="K35" s="34">
        <f>K33/K34</f>
        <v>2.864103696</v>
      </c>
    </row>
    <row r="36">
      <c r="A36" s="20"/>
      <c r="B36" s="32"/>
      <c r="C36" s="32"/>
      <c r="D36" s="32"/>
      <c r="E36" s="32"/>
      <c r="F36" s="32"/>
      <c r="G36" s="32"/>
      <c r="H36" s="32"/>
      <c r="I36" s="3"/>
      <c r="J36" s="3"/>
      <c r="K36" s="3"/>
    </row>
    <row r="39">
      <c r="A39" s="22" t="s">
        <v>4</v>
      </c>
      <c r="B39" s="23" t="s">
        <v>5</v>
      </c>
      <c r="C39" s="23" t="s">
        <v>6</v>
      </c>
      <c r="D39" s="23" t="s">
        <v>7</v>
      </c>
      <c r="E39" s="23" t="s">
        <v>8</v>
      </c>
      <c r="F39" s="23" t="s">
        <v>9</v>
      </c>
      <c r="G39" s="23" t="s">
        <v>10</v>
      </c>
      <c r="H39" s="23" t="s">
        <v>11</v>
      </c>
      <c r="I39" s="3"/>
      <c r="J39" s="3"/>
      <c r="K39" s="3"/>
    </row>
    <row r="40">
      <c r="A40" s="37" t="s">
        <v>21</v>
      </c>
      <c r="B40" s="10">
        <v>1057.99</v>
      </c>
      <c r="C40" s="10">
        <v>1151.13</v>
      </c>
      <c r="D40" s="10">
        <v>634.2</v>
      </c>
      <c r="E40" s="24" t="s">
        <v>17</v>
      </c>
      <c r="F40" s="10"/>
      <c r="G40" s="10"/>
      <c r="H40" s="10"/>
      <c r="I40" s="25"/>
      <c r="J40" s="26" t="s">
        <v>13</v>
      </c>
      <c r="K40" s="27">
        <f>SUM(B40:H41)</f>
        <v>2843.32</v>
      </c>
    </row>
    <row r="41">
      <c r="A41" s="28" t="s">
        <v>13</v>
      </c>
      <c r="B41" s="10"/>
      <c r="C41" s="10"/>
      <c r="D41" s="24" t="s">
        <v>17</v>
      </c>
      <c r="E41" s="10"/>
      <c r="F41" s="10"/>
      <c r="G41" s="10"/>
      <c r="H41" s="10"/>
      <c r="I41" s="25"/>
      <c r="J41" s="29" t="s">
        <v>14</v>
      </c>
      <c r="K41" s="30">
        <f>SUM(B42:H43)</f>
        <v>1325</v>
      </c>
    </row>
    <row r="42">
      <c r="A42" s="31" t="s">
        <v>14</v>
      </c>
      <c r="B42" s="32">
        <v>521.0</v>
      </c>
      <c r="C42" s="32">
        <v>526.0</v>
      </c>
      <c r="D42" s="32">
        <v>278.0</v>
      </c>
      <c r="E42" s="32"/>
      <c r="F42" s="32"/>
      <c r="G42" s="32"/>
      <c r="H42" s="32"/>
      <c r="I42" s="25"/>
      <c r="J42" s="33" t="s">
        <v>15</v>
      </c>
      <c r="K42" s="34">
        <f>K40/K41</f>
        <v>2.145901887</v>
      </c>
    </row>
    <row r="43">
      <c r="A43" s="20"/>
      <c r="B43" s="32"/>
      <c r="C43" s="32"/>
      <c r="D43" s="32"/>
      <c r="E43" s="32"/>
      <c r="F43" s="32"/>
      <c r="G43" s="32"/>
      <c r="H43" s="32"/>
      <c r="I43" s="3"/>
      <c r="J43" s="3"/>
      <c r="K43" s="3"/>
    </row>
    <row r="46">
      <c r="A46" s="22" t="s">
        <v>4</v>
      </c>
      <c r="B46" s="23" t="s">
        <v>5</v>
      </c>
      <c r="C46" s="23" t="s">
        <v>6</v>
      </c>
      <c r="D46" s="23" t="s">
        <v>7</v>
      </c>
      <c r="E46" s="23" t="s">
        <v>8</v>
      </c>
      <c r="F46" s="23" t="s">
        <v>9</v>
      </c>
      <c r="G46" s="23" t="s">
        <v>10</v>
      </c>
      <c r="H46" s="23" t="s">
        <v>11</v>
      </c>
      <c r="I46" s="3"/>
      <c r="J46" s="3"/>
      <c r="K46" s="3"/>
    </row>
    <row r="47">
      <c r="A47" s="37" t="s">
        <v>22</v>
      </c>
      <c r="B47" s="10">
        <v>1888.42</v>
      </c>
      <c r="C47" s="24" t="s">
        <v>17</v>
      </c>
      <c r="D47" s="10">
        <v>2031.07</v>
      </c>
      <c r="E47" s="10"/>
      <c r="F47" s="10"/>
      <c r="G47" s="10"/>
      <c r="H47" s="10"/>
      <c r="I47" s="25"/>
      <c r="J47" s="26" t="s">
        <v>13</v>
      </c>
      <c r="K47" s="27">
        <f>SUM(B47:H48)</f>
        <v>3919.49</v>
      </c>
    </row>
    <row r="48">
      <c r="A48" s="28" t="s">
        <v>13</v>
      </c>
      <c r="B48" s="10"/>
      <c r="C48" s="10"/>
      <c r="D48" s="10"/>
      <c r="E48" s="10"/>
      <c r="F48" s="10"/>
      <c r="G48" s="10"/>
      <c r="H48" s="10"/>
      <c r="I48" s="25"/>
      <c r="J48" s="29" t="s">
        <v>14</v>
      </c>
      <c r="K48" s="30">
        <f>SUM(B49:H50)</f>
        <v>1528</v>
      </c>
    </row>
    <row r="49">
      <c r="A49" s="31" t="s">
        <v>14</v>
      </c>
      <c r="B49" s="32">
        <v>674.0</v>
      </c>
      <c r="C49" s="32"/>
      <c r="D49" s="32">
        <v>854.0</v>
      </c>
      <c r="E49" s="32"/>
      <c r="F49" s="32"/>
      <c r="G49" s="32"/>
      <c r="H49" s="32"/>
      <c r="I49" s="25"/>
      <c r="J49" s="33" t="s">
        <v>15</v>
      </c>
      <c r="K49" s="34">
        <f>K47/K48</f>
        <v>2.565111257</v>
      </c>
    </row>
    <row r="50">
      <c r="A50" s="20"/>
      <c r="B50" s="32"/>
      <c r="C50" s="32"/>
      <c r="D50" s="32"/>
      <c r="E50" s="32"/>
      <c r="F50" s="32"/>
      <c r="G50" s="32"/>
      <c r="H50" s="32"/>
      <c r="I50" s="3"/>
      <c r="J50" s="3"/>
      <c r="K50" s="3"/>
    </row>
    <row r="53">
      <c r="A53" s="22" t="s">
        <v>4</v>
      </c>
      <c r="B53" s="23" t="s">
        <v>5</v>
      </c>
      <c r="C53" s="23" t="s">
        <v>6</v>
      </c>
      <c r="D53" s="23" t="s">
        <v>7</v>
      </c>
      <c r="E53" s="23" t="s">
        <v>8</v>
      </c>
      <c r="F53" s="23" t="s">
        <v>9</v>
      </c>
      <c r="G53" s="23" t="s">
        <v>10</v>
      </c>
      <c r="H53" s="23" t="s">
        <v>11</v>
      </c>
      <c r="I53" s="3"/>
      <c r="J53" s="3"/>
      <c r="K53" s="3"/>
    </row>
    <row r="54">
      <c r="A54" s="37" t="s">
        <v>23</v>
      </c>
      <c r="B54" s="10"/>
      <c r="C54" s="10">
        <v>1746.79</v>
      </c>
      <c r="D54" s="10"/>
      <c r="E54" s="10">
        <v>1606.32</v>
      </c>
      <c r="F54" s="10"/>
      <c r="G54" s="10"/>
      <c r="H54" s="10"/>
      <c r="I54" s="25"/>
      <c r="J54" s="26" t="s">
        <v>13</v>
      </c>
      <c r="K54" s="27">
        <f>SUM(B54:H55)</f>
        <v>3353.11</v>
      </c>
    </row>
    <row r="55">
      <c r="A55" s="28" t="s">
        <v>13</v>
      </c>
      <c r="B55" s="10"/>
      <c r="C55" s="10"/>
      <c r="D55" s="10"/>
      <c r="E55" s="10"/>
      <c r="F55" s="10"/>
      <c r="G55" s="10"/>
      <c r="H55" s="10"/>
      <c r="I55" s="25"/>
      <c r="J55" s="29" t="s">
        <v>14</v>
      </c>
      <c r="K55" s="30">
        <f>SUM(B56:H57)</f>
        <v>1148</v>
      </c>
    </row>
    <row r="56">
      <c r="A56" s="31" t="s">
        <v>14</v>
      </c>
      <c r="B56" s="32"/>
      <c r="C56" s="32">
        <v>774.0</v>
      </c>
      <c r="D56" s="32"/>
      <c r="E56" s="32">
        <v>374.0</v>
      </c>
      <c r="F56" s="32"/>
      <c r="G56" s="32"/>
      <c r="H56" s="32"/>
      <c r="I56" s="25"/>
      <c r="J56" s="33" t="s">
        <v>15</v>
      </c>
      <c r="K56" s="34">
        <f>K54/K55</f>
        <v>2.920827526</v>
      </c>
    </row>
    <row r="57">
      <c r="A57" s="20"/>
      <c r="B57" s="32"/>
      <c r="C57" s="32"/>
      <c r="D57" s="32"/>
      <c r="E57" s="32"/>
      <c r="F57" s="32"/>
      <c r="G57" s="32"/>
      <c r="H57" s="32"/>
      <c r="I57" s="3"/>
      <c r="J57" s="3"/>
      <c r="K57" s="3"/>
    </row>
    <row r="60">
      <c r="A60" s="22" t="s">
        <v>4</v>
      </c>
      <c r="B60" s="23" t="s">
        <v>5</v>
      </c>
      <c r="C60" s="23" t="s">
        <v>6</v>
      </c>
      <c r="D60" s="23" t="s">
        <v>7</v>
      </c>
      <c r="E60" s="23" t="s">
        <v>8</v>
      </c>
      <c r="F60" s="23" t="s">
        <v>9</v>
      </c>
      <c r="G60" s="23" t="s">
        <v>10</v>
      </c>
      <c r="H60" s="23" t="s">
        <v>11</v>
      </c>
      <c r="I60" s="3"/>
      <c r="J60" s="3"/>
      <c r="K60" s="3"/>
    </row>
    <row r="61">
      <c r="A61" s="37"/>
      <c r="B61" s="38"/>
      <c r="C61" s="38"/>
      <c r="D61" s="38"/>
      <c r="E61" s="38"/>
      <c r="F61" s="38"/>
      <c r="G61" s="38"/>
      <c r="H61" s="38"/>
      <c r="I61" s="25"/>
      <c r="J61" s="26" t="s">
        <v>13</v>
      </c>
      <c r="K61" s="27">
        <f>SUM(B61:H62)</f>
        <v>0</v>
      </c>
    </row>
    <row r="62">
      <c r="A62" s="28" t="s">
        <v>13</v>
      </c>
      <c r="B62" s="38"/>
      <c r="C62" s="38"/>
      <c r="D62" s="38"/>
      <c r="E62" s="38"/>
      <c r="F62" s="38"/>
      <c r="G62" s="38"/>
      <c r="H62" s="38"/>
      <c r="I62" s="25"/>
      <c r="J62" s="29" t="s">
        <v>14</v>
      </c>
      <c r="K62" s="30">
        <f>SUM(B63:H64)</f>
        <v>0</v>
      </c>
    </row>
    <row r="63">
      <c r="A63" s="31" t="s">
        <v>14</v>
      </c>
      <c r="B63" s="39"/>
      <c r="C63" s="39"/>
      <c r="D63" s="39"/>
      <c r="E63" s="39"/>
      <c r="F63" s="39"/>
      <c r="G63" s="39"/>
      <c r="H63" s="39"/>
      <c r="I63" s="25"/>
      <c r="J63" s="33" t="s">
        <v>15</v>
      </c>
      <c r="K63" s="36" t="str">
        <f>K61/K62</f>
        <v>#DIV/0!</v>
      </c>
    </row>
    <row r="64">
      <c r="A64" s="20"/>
      <c r="B64" s="39"/>
      <c r="C64" s="39"/>
      <c r="D64" s="39"/>
      <c r="E64" s="39"/>
      <c r="F64" s="39"/>
      <c r="G64" s="39"/>
      <c r="H64" s="39"/>
      <c r="I64" s="3"/>
      <c r="J64" s="3"/>
      <c r="K64" s="3"/>
    </row>
    <row r="67">
      <c r="A67" s="22" t="s">
        <v>4</v>
      </c>
      <c r="B67" s="23" t="s">
        <v>5</v>
      </c>
      <c r="C67" s="23" t="s">
        <v>6</v>
      </c>
      <c r="D67" s="23" t="s">
        <v>7</v>
      </c>
      <c r="E67" s="23" t="s">
        <v>8</v>
      </c>
      <c r="F67" s="23" t="s">
        <v>9</v>
      </c>
      <c r="G67" s="23" t="s">
        <v>10</v>
      </c>
      <c r="H67" s="23" t="s">
        <v>11</v>
      </c>
      <c r="I67" s="3"/>
      <c r="J67" s="3"/>
      <c r="K67" s="3"/>
    </row>
    <row r="68">
      <c r="A68" s="37"/>
      <c r="B68" s="38"/>
      <c r="C68" s="38"/>
      <c r="D68" s="38"/>
      <c r="E68" s="38"/>
      <c r="F68" s="38"/>
      <c r="G68" s="38"/>
      <c r="H68" s="38"/>
      <c r="I68" s="25"/>
      <c r="J68" s="26" t="s">
        <v>13</v>
      </c>
      <c r="K68" s="27">
        <f>SUM(B68:H69)</f>
        <v>0</v>
      </c>
    </row>
    <row r="69">
      <c r="A69" s="28" t="s">
        <v>13</v>
      </c>
      <c r="B69" s="38"/>
      <c r="C69" s="38"/>
      <c r="D69" s="38"/>
      <c r="E69" s="38"/>
      <c r="F69" s="38"/>
      <c r="G69" s="38"/>
      <c r="H69" s="38"/>
      <c r="I69" s="25"/>
      <c r="J69" s="29" t="s">
        <v>14</v>
      </c>
      <c r="K69" s="30">
        <f>SUM(B70:H71)</f>
        <v>0</v>
      </c>
    </row>
    <row r="70">
      <c r="A70" s="31" t="s">
        <v>14</v>
      </c>
      <c r="B70" s="39"/>
      <c r="C70" s="39"/>
      <c r="D70" s="39"/>
      <c r="E70" s="39"/>
      <c r="F70" s="39"/>
      <c r="G70" s="39"/>
      <c r="H70" s="39"/>
      <c r="I70" s="25"/>
      <c r="J70" s="33" t="s">
        <v>15</v>
      </c>
      <c r="K70" s="36" t="str">
        <f>K68/K69</f>
        <v>#DIV/0!</v>
      </c>
    </row>
    <row r="71">
      <c r="A71" s="20"/>
      <c r="B71" s="39"/>
      <c r="C71" s="39"/>
      <c r="D71" s="39"/>
      <c r="E71" s="39"/>
      <c r="F71" s="39"/>
      <c r="G71" s="39"/>
      <c r="H71" s="39"/>
      <c r="I71" s="3"/>
      <c r="J71" s="3"/>
      <c r="K71" s="3"/>
    </row>
  </sheetData>
  <mergeCells count="10">
    <mergeCell ref="A56:A57"/>
    <mergeCell ref="A63:A64"/>
    <mergeCell ref="A70:A71"/>
    <mergeCell ref="A7:A8"/>
    <mergeCell ref="A14:A15"/>
    <mergeCell ref="A21:A22"/>
    <mergeCell ref="A28:A29"/>
    <mergeCell ref="A35:A36"/>
    <mergeCell ref="A42:A43"/>
    <mergeCell ref="A49:A50"/>
  </mergeCells>
  <conditionalFormatting sqref="K6">
    <cfRule type="notContainsBlanks" dxfId="0" priority="1">
      <formula>LEN(TRIM(K6))&gt;0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19.75"/>
    <col customWidth="1" min="3" max="3" width="16.88"/>
    <col customWidth="1" min="4" max="4" width="18.0"/>
    <col customWidth="1" min="5" max="5" width="16.75"/>
    <col customWidth="1" min="6" max="7" width="17.0"/>
    <col customWidth="1" min="8" max="8" width="16.63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>
        <v>9.0</v>
      </c>
      <c r="M1" s="4" t="s">
        <v>2</v>
      </c>
      <c r="N1" s="4">
        <v>1.0</v>
      </c>
    </row>
    <row r="2">
      <c r="A2" s="3"/>
      <c r="B2" s="3"/>
      <c r="C2" s="3"/>
      <c r="D2" s="3"/>
      <c r="E2" s="3"/>
      <c r="F2" s="3"/>
      <c r="G2" s="3"/>
      <c r="H2" s="3"/>
      <c r="I2" s="3"/>
      <c r="J2" s="4" t="s">
        <v>3</v>
      </c>
    </row>
    <row r="3">
      <c r="A3" s="5"/>
      <c r="B3" s="5"/>
      <c r="C3" s="5"/>
      <c r="D3" s="5"/>
      <c r="E3" s="5"/>
      <c r="F3" s="5"/>
      <c r="G3" s="5"/>
      <c r="H3" s="5"/>
      <c r="I3" s="3"/>
    </row>
    <row r="4">
      <c r="A4" s="6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3"/>
      <c r="J4" s="8"/>
    </row>
    <row r="5">
      <c r="A5" s="9" t="s">
        <v>12</v>
      </c>
      <c r="B5" s="10">
        <v>826.08</v>
      </c>
      <c r="C5" s="10">
        <v>840.2</v>
      </c>
      <c r="D5" s="10">
        <v>1276.27</v>
      </c>
      <c r="E5" s="10">
        <v>1010.0</v>
      </c>
      <c r="F5" s="10">
        <v>1623.2</v>
      </c>
      <c r="G5" s="10">
        <v>1190.72</v>
      </c>
      <c r="H5" s="10">
        <v>1767.54</v>
      </c>
      <c r="I5" s="11"/>
      <c r="J5" s="12" t="s">
        <v>13</v>
      </c>
      <c r="K5" s="13">
        <f>SUM(B5:H6)</f>
        <v>11926.91</v>
      </c>
    </row>
    <row r="6">
      <c r="A6" s="14" t="s">
        <v>13</v>
      </c>
      <c r="B6" s="10">
        <v>1850.36</v>
      </c>
      <c r="C6" s="10"/>
      <c r="D6" s="10"/>
      <c r="E6" s="10"/>
      <c r="F6" s="10">
        <v>795.16</v>
      </c>
      <c r="G6" s="10">
        <v>747.38</v>
      </c>
      <c r="H6" s="10"/>
      <c r="I6" s="11"/>
      <c r="J6" s="15" t="s">
        <v>14</v>
      </c>
      <c r="K6" s="16">
        <f>sum(B7:H8)</f>
        <v>3554</v>
      </c>
    </row>
    <row r="7">
      <c r="A7" s="17" t="s">
        <v>14</v>
      </c>
      <c r="B7" s="14">
        <v>171.0</v>
      </c>
      <c r="C7" s="14">
        <v>286.0</v>
      </c>
      <c r="D7" s="14">
        <v>547.0</v>
      </c>
      <c r="E7" s="14">
        <v>442.0</v>
      </c>
      <c r="F7" s="14">
        <v>348.0</v>
      </c>
      <c r="G7" s="14">
        <v>295.0</v>
      </c>
      <c r="H7" s="14">
        <v>466.0</v>
      </c>
      <c r="I7" s="11"/>
      <c r="J7" s="18" t="s">
        <v>15</v>
      </c>
      <c r="K7" s="19">
        <f>K5/K6</f>
        <v>3.355911649</v>
      </c>
    </row>
    <row r="8">
      <c r="A8" s="20"/>
      <c r="B8" s="14">
        <v>350.0</v>
      </c>
      <c r="C8" s="14"/>
      <c r="D8" s="14"/>
      <c r="E8" s="14"/>
      <c r="F8" s="14">
        <v>304.0</v>
      </c>
      <c r="G8" s="14">
        <v>345.0</v>
      </c>
      <c r="H8" s="14"/>
      <c r="I8" s="3"/>
      <c r="J8" s="21"/>
    </row>
    <row r="9">
      <c r="A9" s="3"/>
      <c r="B9" s="3"/>
      <c r="C9" s="3"/>
      <c r="D9" s="3"/>
      <c r="E9" s="3"/>
      <c r="F9" s="3"/>
      <c r="G9" s="3"/>
      <c r="H9" s="3"/>
      <c r="I9" s="3"/>
    </row>
    <row r="10">
      <c r="A10" s="5"/>
      <c r="B10" s="5"/>
      <c r="C10" s="5"/>
      <c r="D10" s="5"/>
      <c r="E10" s="5"/>
      <c r="F10" s="5"/>
      <c r="G10" s="5"/>
      <c r="H10" s="5"/>
      <c r="I10" s="3"/>
    </row>
    <row r="11">
      <c r="A11" s="22" t="s">
        <v>4</v>
      </c>
      <c r="B11" s="23" t="s">
        <v>5</v>
      </c>
      <c r="C11" s="23" t="s">
        <v>6</v>
      </c>
      <c r="D11" s="23" t="s">
        <v>7</v>
      </c>
      <c r="E11" s="23" t="s">
        <v>8</v>
      </c>
      <c r="F11" s="23" t="s">
        <v>9</v>
      </c>
      <c r="G11" s="23" t="s">
        <v>10</v>
      </c>
      <c r="H11" s="23" t="s">
        <v>11</v>
      </c>
      <c r="I11" s="3"/>
      <c r="J11" s="3"/>
      <c r="K11" s="3"/>
    </row>
    <row r="12">
      <c r="A12" s="9" t="s">
        <v>16</v>
      </c>
      <c r="B12" s="24" t="s">
        <v>17</v>
      </c>
      <c r="C12" s="24" t="s">
        <v>17</v>
      </c>
      <c r="D12" s="24" t="s">
        <v>17</v>
      </c>
      <c r="E12" s="24" t="s">
        <v>17</v>
      </c>
      <c r="F12" s="24" t="s">
        <v>17</v>
      </c>
      <c r="G12" s="24" t="s">
        <v>17</v>
      </c>
      <c r="H12" s="24" t="s">
        <v>17</v>
      </c>
      <c r="I12" s="25"/>
      <c r="J12" s="26" t="s">
        <v>13</v>
      </c>
      <c r="K12" s="27">
        <f>SUM(B12:H13)</f>
        <v>0</v>
      </c>
    </row>
    <row r="13">
      <c r="A13" s="28" t="s">
        <v>13</v>
      </c>
      <c r="B13" s="10"/>
      <c r="C13" s="10"/>
      <c r="D13" s="10"/>
      <c r="E13" s="10"/>
      <c r="F13" s="10"/>
      <c r="G13" s="10"/>
      <c r="H13" s="10"/>
      <c r="I13" s="25"/>
      <c r="J13" s="29" t="s">
        <v>14</v>
      </c>
      <c r="K13" s="30">
        <f>SUM(B14:H15)</f>
        <v>0</v>
      </c>
    </row>
    <row r="14">
      <c r="A14" s="31" t="s">
        <v>14</v>
      </c>
      <c r="B14" s="32"/>
      <c r="C14" s="32"/>
      <c r="D14" s="32"/>
      <c r="E14" s="32"/>
      <c r="F14" s="32"/>
      <c r="G14" s="32"/>
      <c r="H14" s="32"/>
      <c r="I14" s="25"/>
      <c r="J14" s="33" t="s">
        <v>15</v>
      </c>
      <c r="K14" s="36" t="str">
        <f>K12/K13</f>
        <v>#DIV/0!</v>
      </c>
    </row>
    <row r="15">
      <c r="A15" s="20"/>
      <c r="B15" s="32"/>
      <c r="C15" s="32"/>
      <c r="D15" s="32"/>
      <c r="E15" s="32"/>
      <c r="F15" s="32"/>
      <c r="G15" s="32"/>
      <c r="H15" s="32"/>
      <c r="I15" s="3"/>
      <c r="J15" s="3"/>
      <c r="K15" s="3"/>
    </row>
    <row r="18">
      <c r="A18" s="22" t="s">
        <v>4</v>
      </c>
      <c r="B18" s="23" t="s">
        <v>5</v>
      </c>
      <c r="C18" s="23" t="s">
        <v>6</v>
      </c>
      <c r="D18" s="23" t="s">
        <v>7</v>
      </c>
      <c r="E18" s="23" t="s">
        <v>8</v>
      </c>
      <c r="F18" s="23" t="s">
        <v>9</v>
      </c>
      <c r="G18" s="23" t="s">
        <v>10</v>
      </c>
      <c r="H18" s="23" t="s">
        <v>11</v>
      </c>
      <c r="I18" s="3"/>
      <c r="J18" s="3"/>
      <c r="K18" s="3"/>
    </row>
    <row r="19">
      <c r="A19" s="9" t="s">
        <v>18</v>
      </c>
      <c r="B19" s="10">
        <v>2556.05</v>
      </c>
      <c r="C19" s="10" t="s">
        <v>24</v>
      </c>
      <c r="D19" s="10">
        <v>1894.5</v>
      </c>
      <c r="E19" s="10">
        <v>1518.24</v>
      </c>
      <c r="F19" s="10">
        <v>531.2</v>
      </c>
      <c r="G19" s="10">
        <v>628.6</v>
      </c>
      <c r="H19" s="10">
        <v>1186.86</v>
      </c>
      <c r="I19" s="35"/>
      <c r="J19" s="26" t="s">
        <v>13</v>
      </c>
      <c r="K19" s="27">
        <f>SUM(B19:H20)</f>
        <v>15263.73</v>
      </c>
    </row>
    <row r="20">
      <c r="A20" s="28" t="s">
        <v>13</v>
      </c>
      <c r="B20" s="10"/>
      <c r="C20" s="10"/>
      <c r="D20" s="10">
        <v>1493.0</v>
      </c>
      <c r="E20" s="10">
        <v>3605.66</v>
      </c>
      <c r="F20" s="10">
        <v>175.0</v>
      </c>
      <c r="G20" s="10">
        <v>1674.62</v>
      </c>
      <c r="H20" s="10"/>
      <c r="I20" s="25"/>
      <c r="J20" s="29" t="s">
        <v>14</v>
      </c>
      <c r="K20" s="30">
        <f>SUM(B21:H22)</f>
        <v>5067</v>
      </c>
    </row>
    <row r="21">
      <c r="A21" s="31" t="s">
        <v>14</v>
      </c>
      <c r="B21" s="32">
        <v>1163.0</v>
      </c>
      <c r="C21" s="32"/>
      <c r="D21" s="32">
        <v>436.0</v>
      </c>
      <c r="E21" s="32">
        <v>454.0</v>
      </c>
      <c r="F21" s="32">
        <v>115.0</v>
      </c>
      <c r="G21" s="32">
        <v>231.0</v>
      </c>
      <c r="H21" s="32">
        <v>496.0</v>
      </c>
      <c r="I21" s="25"/>
      <c r="J21" s="33" t="s">
        <v>15</v>
      </c>
      <c r="K21" s="34">
        <f>K19/K20</f>
        <v>3.012380107</v>
      </c>
    </row>
    <row r="22">
      <c r="A22" s="20"/>
      <c r="B22" s="32"/>
      <c r="C22" s="32"/>
      <c r="D22" s="32">
        <v>469.0</v>
      </c>
      <c r="E22" s="32">
        <v>1072.0</v>
      </c>
      <c r="F22" s="32">
        <v>29.0</v>
      </c>
      <c r="G22" s="32">
        <v>602.0</v>
      </c>
      <c r="H22" s="32"/>
      <c r="I22" s="3"/>
      <c r="J22" s="3"/>
      <c r="K22" s="3"/>
    </row>
    <row r="25">
      <c r="A25" s="22" t="s">
        <v>4</v>
      </c>
      <c r="B25" s="23" t="s">
        <v>5</v>
      </c>
      <c r="C25" s="23" t="s">
        <v>6</v>
      </c>
      <c r="D25" s="23" t="s">
        <v>7</v>
      </c>
      <c r="E25" s="23" t="s">
        <v>8</v>
      </c>
      <c r="F25" s="23" t="s">
        <v>9</v>
      </c>
      <c r="G25" s="23" t="s">
        <v>10</v>
      </c>
      <c r="H25" s="23" t="s">
        <v>11</v>
      </c>
      <c r="I25" s="3"/>
      <c r="J25" s="3"/>
      <c r="K25" s="3"/>
    </row>
    <row r="26">
      <c r="A26" s="37" t="s">
        <v>19</v>
      </c>
      <c r="B26" s="24" t="s">
        <v>17</v>
      </c>
      <c r="C26" s="24" t="s">
        <v>17</v>
      </c>
      <c r="D26" s="10">
        <v>1657.15</v>
      </c>
      <c r="E26" s="10">
        <v>175.0</v>
      </c>
      <c r="F26" s="10">
        <v>823.72</v>
      </c>
      <c r="G26" s="10">
        <v>175.0</v>
      </c>
      <c r="H26" s="10">
        <v>1594.36</v>
      </c>
      <c r="I26" s="25"/>
      <c r="J26" s="26" t="s">
        <v>13</v>
      </c>
      <c r="K26" s="27">
        <f>SUM(B26:H27)</f>
        <v>8767.72</v>
      </c>
    </row>
    <row r="27">
      <c r="A27" s="28" t="s">
        <v>13</v>
      </c>
      <c r="B27" s="10"/>
      <c r="C27" s="10"/>
      <c r="D27" s="10"/>
      <c r="E27" s="10">
        <v>3040.37</v>
      </c>
      <c r="F27" s="10"/>
      <c r="G27" s="10">
        <v>576.5</v>
      </c>
      <c r="H27" s="10">
        <v>725.62</v>
      </c>
      <c r="I27" s="25"/>
      <c r="J27" s="29" t="s">
        <v>14</v>
      </c>
      <c r="K27" s="30">
        <f>SUM(B28:H29)</f>
        <v>2155</v>
      </c>
    </row>
    <row r="28">
      <c r="A28" s="31" t="s">
        <v>14</v>
      </c>
      <c r="B28" s="32"/>
      <c r="C28" s="32"/>
      <c r="D28" s="32">
        <v>542.0</v>
      </c>
      <c r="E28" s="32">
        <v>480.0</v>
      </c>
      <c r="F28" s="32">
        <v>373.0</v>
      </c>
      <c r="G28" s="32">
        <v>123.0</v>
      </c>
      <c r="H28" s="32">
        <v>330.0</v>
      </c>
      <c r="I28" s="25"/>
      <c r="J28" s="33" t="s">
        <v>15</v>
      </c>
      <c r="K28" s="34">
        <f>K26/K27</f>
        <v>4.068547564</v>
      </c>
    </row>
    <row r="29">
      <c r="A29" s="20"/>
      <c r="B29" s="32"/>
      <c r="C29" s="32"/>
      <c r="D29" s="32"/>
      <c r="E29" s="32"/>
      <c r="F29" s="32"/>
      <c r="G29" s="32">
        <v>1.0</v>
      </c>
      <c r="H29" s="32">
        <v>306.0</v>
      </c>
      <c r="I29" s="3"/>
      <c r="J29" s="3"/>
      <c r="K29" s="3"/>
    </row>
    <row r="32">
      <c r="A32" s="22" t="s">
        <v>4</v>
      </c>
      <c r="B32" s="23" t="s">
        <v>5</v>
      </c>
      <c r="C32" s="23" t="s">
        <v>6</v>
      </c>
      <c r="D32" s="23" t="s">
        <v>7</v>
      </c>
      <c r="E32" s="23" t="s">
        <v>8</v>
      </c>
      <c r="F32" s="23" t="s">
        <v>9</v>
      </c>
      <c r="G32" s="23" t="s">
        <v>10</v>
      </c>
      <c r="H32" s="23" t="s">
        <v>11</v>
      </c>
      <c r="I32" s="3"/>
      <c r="J32" s="3"/>
      <c r="K32" s="3"/>
    </row>
    <row r="33">
      <c r="A33" s="37" t="s">
        <v>20</v>
      </c>
      <c r="B33" s="10" t="s">
        <v>24</v>
      </c>
      <c r="C33" s="10">
        <v>4056.02</v>
      </c>
      <c r="D33" s="10" t="s">
        <v>24</v>
      </c>
      <c r="E33" s="10">
        <v>936.48</v>
      </c>
      <c r="F33" s="10">
        <v>300.82</v>
      </c>
      <c r="G33" s="10" t="s">
        <v>24</v>
      </c>
      <c r="H33" s="10" t="s">
        <v>24</v>
      </c>
      <c r="I33" s="25"/>
      <c r="J33" s="26" t="s">
        <v>13</v>
      </c>
      <c r="K33" s="27">
        <f>SUM(B33:H34)</f>
        <v>11298.33</v>
      </c>
    </row>
    <row r="34">
      <c r="A34" s="28" t="s">
        <v>13</v>
      </c>
      <c r="B34" s="10"/>
      <c r="C34" s="10"/>
      <c r="D34" s="10"/>
      <c r="E34" s="10"/>
      <c r="F34" s="10">
        <v>6005.01</v>
      </c>
      <c r="G34" s="10"/>
      <c r="H34" s="10"/>
      <c r="I34" s="25"/>
      <c r="J34" s="29" t="s">
        <v>14</v>
      </c>
      <c r="K34" s="30">
        <f>SUM(B35:H36)</f>
        <v>3774</v>
      </c>
    </row>
    <row r="35">
      <c r="A35" s="31" t="s">
        <v>14</v>
      </c>
      <c r="B35" s="32"/>
      <c r="C35" s="32">
        <v>1725.0</v>
      </c>
      <c r="D35" s="32"/>
      <c r="E35" s="32">
        <v>397.0</v>
      </c>
      <c r="F35" s="32">
        <v>131.0</v>
      </c>
      <c r="G35" s="32"/>
      <c r="H35" s="32"/>
      <c r="I35" s="25"/>
      <c r="J35" s="33" t="s">
        <v>15</v>
      </c>
      <c r="K35" s="34">
        <f>K33/K34</f>
        <v>2.99372814</v>
      </c>
    </row>
    <row r="36">
      <c r="A36" s="20"/>
      <c r="B36" s="32"/>
      <c r="C36" s="32"/>
      <c r="D36" s="32"/>
      <c r="E36" s="32"/>
      <c r="F36" s="32">
        <v>1521.0</v>
      </c>
      <c r="G36" s="32"/>
      <c r="H36" s="32"/>
      <c r="I36" s="3"/>
      <c r="J36" s="3"/>
      <c r="K36" s="3"/>
    </row>
    <row r="39">
      <c r="A39" s="22" t="s">
        <v>4</v>
      </c>
      <c r="B39" s="23" t="s">
        <v>5</v>
      </c>
      <c r="C39" s="23" t="s">
        <v>6</v>
      </c>
      <c r="D39" s="23" t="s">
        <v>7</v>
      </c>
      <c r="E39" s="23" t="s">
        <v>8</v>
      </c>
      <c r="F39" s="23" t="s">
        <v>9</v>
      </c>
      <c r="G39" s="23" t="s">
        <v>10</v>
      </c>
      <c r="H39" s="23" t="s">
        <v>11</v>
      </c>
      <c r="I39" s="3"/>
      <c r="J39" s="3"/>
      <c r="K39" s="3"/>
    </row>
    <row r="40">
      <c r="A40" s="37" t="s">
        <v>21</v>
      </c>
      <c r="B40" s="10" t="s">
        <v>24</v>
      </c>
      <c r="C40" s="10">
        <v>520.08</v>
      </c>
      <c r="D40" s="10">
        <v>2105.23</v>
      </c>
      <c r="E40" s="10">
        <v>926.84</v>
      </c>
      <c r="F40" s="10">
        <v>1368.53</v>
      </c>
      <c r="G40" s="10"/>
      <c r="H40" s="10"/>
      <c r="I40" s="25"/>
      <c r="J40" s="26" t="s">
        <v>13</v>
      </c>
      <c r="K40" s="27">
        <f>SUM(B40:H41)</f>
        <v>10510.3</v>
      </c>
    </row>
    <row r="41">
      <c r="A41" s="28" t="s">
        <v>13</v>
      </c>
      <c r="B41" s="10"/>
      <c r="C41" s="10"/>
      <c r="D41" s="10"/>
      <c r="E41" s="10"/>
      <c r="F41" s="10">
        <v>5589.62</v>
      </c>
      <c r="G41" s="10"/>
      <c r="H41" s="10"/>
      <c r="I41" s="25"/>
      <c r="J41" s="29" t="s">
        <v>14</v>
      </c>
      <c r="K41" s="30">
        <f>SUM(B42:H43)</f>
        <v>3929</v>
      </c>
    </row>
    <row r="42">
      <c r="A42" s="31" t="s">
        <v>14</v>
      </c>
      <c r="B42" s="32"/>
      <c r="C42" s="32">
        <v>317.0</v>
      </c>
      <c r="D42" s="32">
        <v>814.0</v>
      </c>
      <c r="E42" s="32">
        <v>487.0</v>
      </c>
      <c r="F42" s="32">
        <v>578.0</v>
      </c>
      <c r="G42" s="32"/>
      <c r="H42" s="32"/>
      <c r="I42" s="25"/>
      <c r="J42" s="33" t="s">
        <v>15</v>
      </c>
      <c r="K42" s="34">
        <f>K40/K41</f>
        <v>2.675057266</v>
      </c>
    </row>
    <row r="43">
      <c r="A43" s="20"/>
      <c r="B43" s="32"/>
      <c r="C43" s="32"/>
      <c r="D43" s="32"/>
      <c r="E43" s="32"/>
      <c r="F43" s="32">
        <v>1733.0</v>
      </c>
      <c r="G43" s="32"/>
      <c r="H43" s="32"/>
      <c r="I43" s="3"/>
      <c r="J43" s="3"/>
      <c r="K43" s="3"/>
    </row>
    <row r="46">
      <c r="A46" s="22" t="s">
        <v>4</v>
      </c>
      <c r="B46" s="23" t="s">
        <v>5</v>
      </c>
      <c r="C46" s="23" t="s">
        <v>6</v>
      </c>
      <c r="D46" s="23" t="s">
        <v>7</v>
      </c>
      <c r="E46" s="23" t="s">
        <v>8</v>
      </c>
      <c r="F46" s="23" t="s">
        <v>9</v>
      </c>
      <c r="G46" s="23" t="s">
        <v>10</v>
      </c>
      <c r="H46" s="23" t="s">
        <v>11</v>
      </c>
      <c r="I46" s="3"/>
      <c r="J46" s="3"/>
      <c r="K46" s="3"/>
    </row>
    <row r="47">
      <c r="A47" s="37" t="s">
        <v>22</v>
      </c>
      <c r="B47" s="10">
        <v>1422.42</v>
      </c>
      <c r="C47" s="10">
        <v>1089.81</v>
      </c>
      <c r="D47" s="10">
        <v>753.71</v>
      </c>
      <c r="E47" s="10">
        <v>1234.89</v>
      </c>
      <c r="F47" s="10">
        <v>1163.74</v>
      </c>
      <c r="G47" s="10">
        <v>802.42</v>
      </c>
      <c r="H47" s="10">
        <v>802.12</v>
      </c>
      <c r="I47" s="25"/>
      <c r="J47" s="26" t="s">
        <v>13</v>
      </c>
      <c r="K47" s="27">
        <f>SUM(B47:H48)</f>
        <v>8512.53</v>
      </c>
    </row>
    <row r="48">
      <c r="A48" s="28" t="s">
        <v>13</v>
      </c>
      <c r="B48" s="10"/>
      <c r="C48" s="10">
        <v>1243.42</v>
      </c>
      <c r="D48" s="10"/>
      <c r="E48" s="10"/>
      <c r="F48" s="10"/>
      <c r="G48" s="10"/>
      <c r="H48" s="10"/>
      <c r="I48" s="25"/>
      <c r="J48" s="29" t="s">
        <v>14</v>
      </c>
      <c r="K48" s="30">
        <f>SUM(B49:H50)</f>
        <v>3342</v>
      </c>
    </row>
    <row r="49">
      <c r="A49" s="31" t="s">
        <v>14</v>
      </c>
      <c r="B49" s="32">
        <v>450.0</v>
      </c>
      <c r="C49" s="32">
        <v>457.0</v>
      </c>
      <c r="D49" s="32">
        <v>310.0</v>
      </c>
      <c r="E49" s="32">
        <v>543.0</v>
      </c>
      <c r="F49" s="32">
        <v>498.0</v>
      </c>
      <c r="G49" s="32">
        <v>292.0</v>
      </c>
      <c r="H49" s="32">
        <v>313.0</v>
      </c>
      <c r="I49" s="25"/>
      <c r="J49" s="33" t="s">
        <v>15</v>
      </c>
      <c r="K49" s="34">
        <f>K47/K48</f>
        <v>2.547136445</v>
      </c>
    </row>
    <row r="50">
      <c r="A50" s="20"/>
      <c r="B50" s="32"/>
      <c r="C50" s="32">
        <v>479.0</v>
      </c>
      <c r="D50" s="32"/>
      <c r="E50" s="32"/>
      <c r="F50" s="32"/>
      <c r="G50" s="32"/>
      <c r="H50" s="32"/>
      <c r="I50" s="3"/>
      <c r="J50" s="3"/>
      <c r="K50" s="3"/>
    </row>
    <row r="53">
      <c r="A53" s="22" t="s">
        <v>4</v>
      </c>
      <c r="B53" s="23" t="s">
        <v>5</v>
      </c>
      <c r="C53" s="23" t="s">
        <v>6</v>
      </c>
      <c r="D53" s="23" t="s">
        <v>7</v>
      </c>
      <c r="E53" s="23" t="s">
        <v>8</v>
      </c>
      <c r="F53" s="23" t="s">
        <v>9</v>
      </c>
      <c r="G53" s="23" t="s">
        <v>10</v>
      </c>
      <c r="H53" s="23" t="s">
        <v>11</v>
      </c>
      <c r="I53" s="3"/>
      <c r="J53" s="3"/>
      <c r="K53" s="3"/>
    </row>
    <row r="54">
      <c r="A54" s="37" t="s">
        <v>23</v>
      </c>
      <c r="B54" s="10">
        <v>175.0</v>
      </c>
      <c r="C54" s="10">
        <v>103.87</v>
      </c>
      <c r="D54" s="10">
        <v>865.98</v>
      </c>
      <c r="E54" s="10">
        <v>666.23</v>
      </c>
      <c r="F54" s="10">
        <v>1610.56</v>
      </c>
      <c r="G54" s="10">
        <v>1546.25</v>
      </c>
      <c r="H54" s="10">
        <v>5873.4</v>
      </c>
      <c r="I54" s="25"/>
      <c r="J54" s="26" t="s">
        <v>13</v>
      </c>
      <c r="K54" s="27">
        <f>SUM(B54:H55)</f>
        <v>12672.41</v>
      </c>
    </row>
    <row r="55">
      <c r="A55" s="28" t="s">
        <v>13</v>
      </c>
      <c r="B55" s="10">
        <v>1230.96</v>
      </c>
      <c r="C55" s="10" t="s">
        <v>25</v>
      </c>
      <c r="D55" s="10">
        <v>600.16</v>
      </c>
      <c r="E55" s="10"/>
      <c r="F55" s="10"/>
      <c r="G55" s="10"/>
      <c r="H55" s="10"/>
      <c r="I55" s="25"/>
      <c r="J55" s="29" t="s">
        <v>14</v>
      </c>
      <c r="K55" s="30">
        <f>SUM(B56:H57)</f>
        <v>4444</v>
      </c>
    </row>
    <row r="56">
      <c r="A56" s="31" t="s">
        <v>14</v>
      </c>
      <c r="B56" s="32">
        <v>50.0</v>
      </c>
      <c r="C56" s="32">
        <v>30.0</v>
      </c>
      <c r="D56" s="32">
        <v>306.0</v>
      </c>
      <c r="E56" s="32">
        <v>180.0</v>
      </c>
      <c r="F56" s="32">
        <v>741.0</v>
      </c>
      <c r="G56" s="32">
        <v>839.0</v>
      </c>
      <c r="H56" s="32">
        <v>1741.0</v>
      </c>
      <c r="I56" s="25"/>
      <c r="J56" s="33" t="s">
        <v>15</v>
      </c>
      <c r="K56" s="34">
        <f>K54/K55</f>
        <v>2.851577408</v>
      </c>
    </row>
    <row r="57">
      <c r="A57" s="20"/>
      <c r="B57" s="32">
        <v>315.0</v>
      </c>
      <c r="C57" s="32"/>
      <c r="D57" s="32">
        <v>242.0</v>
      </c>
      <c r="E57" s="32"/>
      <c r="F57" s="32"/>
      <c r="G57" s="32"/>
      <c r="H57" s="32"/>
      <c r="I57" s="3"/>
      <c r="J57" s="3"/>
      <c r="K57" s="3"/>
    </row>
    <row r="60">
      <c r="A60" s="22" t="s">
        <v>4</v>
      </c>
      <c r="B60" s="23" t="s">
        <v>5</v>
      </c>
      <c r="C60" s="23" t="s">
        <v>6</v>
      </c>
      <c r="D60" s="23" t="s">
        <v>7</v>
      </c>
      <c r="E60" s="23" t="s">
        <v>8</v>
      </c>
      <c r="F60" s="23" t="s">
        <v>9</v>
      </c>
      <c r="G60" s="23" t="s">
        <v>10</v>
      </c>
      <c r="H60" s="23" t="s">
        <v>11</v>
      </c>
      <c r="I60" s="3"/>
      <c r="J60" s="3"/>
      <c r="K60" s="3"/>
    </row>
    <row r="61">
      <c r="A61" s="37"/>
      <c r="B61" s="38"/>
      <c r="C61" s="38"/>
      <c r="D61" s="38"/>
      <c r="E61" s="38"/>
      <c r="F61" s="38"/>
      <c r="G61" s="38"/>
      <c r="H61" s="38"/>
      <c r="I61" s="25"/>
      <c r="J61" s="26" t="s">
        <v>13</v>
      </c>
      <c r="K61" s="27">
        <f>SUM(B61:H62)</f>
        <v>0</v>
      </c>
    </row>
    <row r="62">
      <c r="A62" s="28" t="s">
        <v>13</v>
      </c>
      <c r="B62" s="38"/>
      <c r="C62" s="38"/>
      <c r="D62" s="38"/>
      <c r="E62" s="38"/>
      <c r="F62" s="38"/>
      <c r="G62" s="38"/>
      <c r="H62" s="38"/>
      <c r="I62" s="25"/>
      <c r="J62" s="29" t="s">
        <v>14</v>
      </c>
      <c r="K62" s="30">
        <f>SUM(B63:H64)</f>
        <v>0</v>
      </c>
    </row>
    <row r="63">
      <c r="A63" s="31" t="s">
        <v>14</v>
      </c>
      <c r="B63" s="39"/>
      <c r="C63" s="39"/>
      <c r="D63" s="39"/>
      <c r="E63" s="39"/>
      <c r="F63" s="39"/>
      <c r="G63" s="39"/>
      <c r="H63" s="39"/>
      <c r="I63" s="25"/>
      <c r="J63" s="33" t="s">
        <v>15</v>
      </c>
      <c r="K63" s="36" t="str">
        <f>K61/K62</f>
        <v>#DIV/0!</v>
      </c>
    </row>
    <row r="64">
      <c r="A64" s="20"/>
      <c r="B64" s="39"/>
      <c r="C64" s="39"/>
      <c r="D64" s="39"/>
      <c r="E64" s="39"/>
      <c r="F64" s="39"/>
      <c r="G64" s="39"/>
      <c r="H64" s="39"/>
      <c r="I64" s="3"/>
      <c r="J64" s="3"/>
      <c r="K64" s="3"/>
    </row>
    <row r="67">
      <c r="A67" s="22" t="s">
        <v>4</v>
      </c>
      <c r="B67" s="23" t="s">
        <v>5</v>
      </c>
      <c r="C67" s="23" t="s">
        <v>6</v>
      </c>
      <c r="D67" s="23" t="s">
        <v>7</v>
      </c>
      <c r="E67" s="23" t="s">
        <v>8</v>
      </c>
      <c r="F67" s="23" t="s">
        <v>9</v>
      </c>
      <c r="G67" s="23" t="s">
        <v>10</v>
      </c>
      <c r="H67" s="23" t="s">
        <v>11</v>
      </c>
      <c r="I67" s="3"/>
      <c r="J67" s="3"/>
      <c r="K67" s="3"/>
    </row>
    <row r="68">
      <c r="A68" s="37"/>
      <c r="B68" s="38"/>
      <c r="C68" s="38"/>
      <c r="D68" s="38"/>
      <c r="E68" s="38"/>
      <c r="F68" s="38"/>
      <c r="G68" s="38"/>
      <c r="H68" s="38"/>
      <c r="I68" s="25"/>
      <c r="J68" s="26" t="s">
        <v>13</v>
      </c>
      <c r="K68" s="27">
        <f>SUM(B68:H69)</f>
        <v>0</v>
      </c>
    </row>
    <row r="69">
      <c r="A69" s="28" t="s">
        <v>13</v>
      </c>
      <c r="B69" s="38"/>
      <c r="C69" s="38"/>
      <c r="D69" s="38"/>
      <c r="E69" s="38"/>
      <c r="F69" s="38"/>
      <c r="G69" s="38"/>
      <c r="H69" s="38"/>
      <c r="I69" s="25"/>
      <c r="J69" s="29" t="s">
        <v>14</v>
      </c>
      <c r="K69" s="30">
        <f>SUM(B70:H71)</f>
        <v>0</v>
      </c>
    </row>
    <row r="70">
      <c r="A70" s="31" t="s">
        <v>14</v>
      </c>
      <c r="B70" s="39"/>
      <c r="C70" s="39"/>
      <c r="D70" s="39"/>
      <c r="E70" s="39"/>
      <c r="F70" s="39"/>
      <c r="G70" s="39"/>
      <c r="H70" s="39"/>
      <c r="I70" s="25"/>
      <c r="J70" s="33" t="s">
        <v>15</v>
      </c>
      <c r="K70" s="36" t="str">
        <f>K68/K69</f>
        <v>#DIV/0!</v>
      </c>
    </row>
    <row r="71">
      <c r="A71" s="20"/>
      <c r="B71" s="39"/>
      <c r="C71" s="39"/>
      <c r="D71" s="39"/>
      <c r="E71" s="39"/>
      <c r="F71" s="39"/>
      <c r="G71" s="39"/>
      <c r="H71" s="39"/>
      <c r="I71" s="3"/>
      <c r="J71" s="3"/>
      <c r="K71" s="3"/>
    </row>
  </sheetData>
  <mergeCells count="10">
    <mergeCell ref="A56:A57"/>
    <mergeCell ref="A63:A64"/>
    <mergeCell ref="A70:A71"/>
    <mergeCell ref="A7:A8"/>
    <mergeCell ref="A14:A15"/>
    <mergeCell ref="A21:A22"/>
    <mergeCell ref="A28:A29"/>
    <mergeCell ref="A35:A36"/>
    <mergeCell ref="A42:A43"/>
    <mergeCell ref="A49:A50"/>
  </mergeCells>
  <conditionalFormatting sqref="K6">
    <cfRule type="notContainsBlanks" dxfId="0" priority="1">
      <formula>LEN(TRIM(K6))&gt;0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19.75"/>
    <col customWidth="1" min="3" max="3" width="16.88"/>
    <col customWidth="1" min="4" max="4" width="18.0"/>
    <col customWidth="1" min="5" max="5" width="16.75"/>
    <col customWidth="1" min="6" max="7" width="17.0"/>
    <col customWidth="1" min="8" max="8" width="16.63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>
        <v>9.0</v>
      </c>
      <c r="M1" s="4" t="s">
        <v>2</v>
      </c>
      <c r="N1" s="4">
        <v>1.0</v>
      </c>
    </row>
    <row r="2">
      <c r="A2" s="3"/>
      <c r="B2" s="3"/>
      <c r="C2" s="3"/>
      <c r="D2" s="3"/>
      <c r="E2" s="3"/>
      <c r="F2" s="3"/>
      <c r="G2" s="3"/>
      <c r="H2" s="3"/>
      <c r="I2" s="3"/>
      <c r="J2" s="4" t="s">
        <v>3</v>
      </c>
    </row>
    <row r="3">
      <c r="A3" s="5"/>
      <c r="B3" s="5"/>
      <c r="C3" s="5"/>
      <c r="D3" s="5"/>
      <c r="E3" s="5"/>
      <c r="F3" s="5"/>
      <c r="G3" s="5"/>
      <c r="H3" s="5"/>
      <c r="I3" s="3"/>
    </row>
    <row r="4">
      <c r="A4" s="6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3"/>
      <c r="J4" s="8"/>
    </row>
    <row r="5">
      <c r="A5" s="9" t="s">
        <v>12</v>
      </c>
      <c r="B5" s="10">
        <v>1438.81</v>
      </c>
      <c r="C5" s="10">
        <v>1179.09</v>
      </c>
      <c r="D5" s="10">
        <v>175.0</v>
      </c>
      <c r="E5" s="24" t="s">
        <v>26</v>
      </c>
      <c r="F5" s="10">
        <v>2000.01</v>
      </c>
      <c r="G5" s="10">
        <v>926.52</v>
      </c>
      <c r="H5" s="10">
        <v>860.62</v>
      </c>
      <c r="I5" s="11"/>
      <c r="J5" s="12" t="s">
        <v>13</v>
      </c>
      <c r="K5" s="13">
        <f>SUM(B5:H6)</f>
        <v>9747.62</v>
      </c>
    </row>
    <row r="6">
      <c r="A6" s="14" t="s">
        <v>13</v>
      </c>
      <c r="B6" s="10"/>
      <c r="C6" s="10"/>
      <c r="D6" s="10">
        <v>2000.0</v>
      </c>
      <c r="E6" s="10"/>
      <c r="F6" s="10"/>
      <c r="G6" s="10">
        <v>1167.57</v>
      </c>
      <c r="H6" s="10"/>
      <c r="I6" s="11"/>
      <c r="J6" s="15" t="s">
        <v>14</v>
      </c>
      <c r="K6" s="16">
        <f>sum(B7:H8)</f>
        <v>2523</v>
      </c>
    </row>
    <row r="7">
      <c r="A7" s="17" t="s">
        <v>14</v>
      </c>
      <c r="B7" s="14">
        <v>521.0</v>
      </c>
      <c r="C7" s="14">
        <v>306.0</v>
      </c>
      <c r="D7" s="14"/>
      <c r="E7" s="14"/>
      <c r="F7" s="14">
        <v>314.0</v>
      </c>
      <c r="G7" s="14">
        <v>285.0</v>
      </c>
      <c r="H7" s="14">
        <v>394.0</v>
      </c>
      <c r="I7" s="11"/>
      <c r="J7" s="18" t="s">
        <v>15</v>
      </c>
      <c r="K7" s="19">
        <f>K5/K6</f>
        <v>3.863503765</v>
      </c>
    </row>
    <row r="8">
      <c r="A8" s="20"/>
      <c r="B8" s="14"/>
      <c r="C8" s="14"/>
      <c r="D8" s="14">
        <v>350.0</v>
      </c>
      <c r="E8" s="14"/>
      <c r="F8" s="14"/>
      <c r="G8" s="14">
        <v>353.0</v>
      </c>
      <c r="H8" s="14"/>
      <c r="I8" s="3"/>
      <c r="J8" s="21"/>
    </row>
    <row r="9">
      <c r="A9" s="3"/>
      <c r="B9" s="3"/>
      <c r="C9" s="3"/>
      <c r="D9" s="3"/>
      <c r="E9" s="3"/>
      <c r="F9" s="3"/>
      <c r="G9" s="3"/>
      <c r="H9" s="3"/>
      <c r="I9" s="3"/>
    </row>
    <row r="10">
      <c r="A10" s="5"/>
      <c r="B10" s="5"/>
      <c r="C10" s="5"/>
      <c r="D10" s="5"/>
      <c r="E10" s="5"/>
      <c r="F10" s="5"/>
      <c r="G10" s="5"/>
      <c r="H10" s="5"/>
      <c r="I10" s="3"/>
    </row>
    <row r="11">
      <c r="A11" s="22" t="s">
        <v>4</v>
      </c>
      <c r="B11" s="23" t="s">
        <v>5</v>
      </c>
      <c r="C11" s="23" t="s">
        <v>6</v>
      </c>
      <c r="D11" s="23" t="s">
        <v>7</v>
      </c>
      <c r="E11" s="23" t="s">
        <v>8</v>
      </c>
      <c r="F11" s="23" t="s">
        <v>9</v>
      </c>
      <c r="G11" s="23" t="s">
        <v>10</v>
      </c>
      <c r="H11" s="23" t="s">
        <v>11</v>
      </c>
      <c r="I11" s="3"/>
      <c r="J11" s="3"/>
      <c r="K11" s="3"/>
    </row>
    <row r="12">
      <c r="A12" s="9" t="s">
        <v>16</v>
      </c>
      <c r="B12" s="10">
        <v>1918.03</v>
      </c>
      <c r="C12" s="10">
        <v>1170.45</v>
      </c>
      <c r="D12" s="10">
        <v>999.97</v>
      </c>
      <c r="E12" s="24" t="s">
        <v>17</v>
      </c>
      <c r="F12" s="24" t="s">
        <v>17</v>
      </c>
      <c r="G12" s="24" t="s">
        <v>17</v>
      </c>
      <c r="H12" s="24" t="s">
        <v>17</v>
      </c>
      <c r="I12" s="25"/>
      <c r="J12" s="26" t="s">
        <v>13</v>
      </c>
      <c r="K12" s="27">
        <f>SUM(B12:H13)</f>
        <v>4088.45</v>
      </c>
    </row>
    <row r="13">
      <c r="A13" s="28" t="s">
        <v>13</v>
      </c>
      <c r="B13" s="10"/>
      <c r="C13" s="10"/>
      <c r="D13" s="10"/>
      <c r="E13" s="10"/>
      <c r="F13" s="10"/>
      <c r="G13" s="10"/>
      <c r="H13" s="10"/>
      <c r="I13" s="25"/>
      <c r="J13" s="29" t="s">
        <v>14</v>
      </c>
      <c r="K13" s="30">
        <f>SUM(B14:H15)</f>
        <v>1492</v>
      </c>
    </row>
    <row r="14">
      <c r="A14" s="31" t="s">
        <v>14</v>
      </c>
      <c r="B14" s="32">
        <v>888.0</v>
      </c>
      <c r="C14" s="32">
        <v>417.0</v>
      </c>
      <c r="D14" s="32">
        <v>187.0</v>
      </c>
      <c r="E14" s="32"/>
      <c r="F14" s="32"/>
      <c r="G14" s="32"/>
      <c r="H14" s="32"/>
      <c r="I14" s="25"/>
      <c r="J14" s="33" t="s">
        <v>15</v>
      </c>
      <c r="K14" s="34">
        <f>K12/K13</f>
        <v>2.740247989</v>
      </c>
    </row>
    <row r="15">
      <c r="A15" s="20"/>
      <c r="B15" s="32"/>
      <c r="C15" s="32"/>
      <c r="D15" s="32"/>
      <c r="E15" s="32"/>
      <c r="F15" s="32"/>
      <c r="G15" s="32"/>
      <c r="H15" s="32"/>
      <c r="I15" s="3"/>
      <c r="J15" s="3"/>
      <c r="K15" s="3"/>
    </row>
    <row r="18">
      <c r="A18" s="22" t="s">
        <v>4</v>
      </c>
      <c r="B18" s="23" t="s">
        <v>5</v>
      </c>
      <c r="C18" s="23" t="s">
        <v>6</v>
      </c>
      <c r="D18" s="23" t="s">
        <v>7</v>
      </c>
      <c r="E18" s="23" t="s">
        <v>8</v>
      </c>
      <c r="F18" s="23" t="s">
        <v>9</v>
      </c>
      <c r="G18" s="23" t="s">
        <v>10</v>
      </c>
      <c r="H18" s="23" t="s">
        <v>11</v>
      </c>
      <c r="I18" s="3"/>
      <c r="J18" s="3"/>
      <c r="K18" s="3"/>
    </row>
    <row r="19">
      <c r="A19" s="9" t="s">
        <v>18</v>
      </c>
      <c r="B19" s="10">
        <v>1575.06</v>
      </c>
      <c r="C19" s="10" t="s">
        <v>26</v>
      </c>
      <c r="D19" s="10">
        <v>1409.8</v>
      </c>
      <c r="E19" s="10">
        <v>665.92</v>
      </c>
      <c r="F19" s="10">
        <v>1027.25</v>
      </c>
      <c r="G19" s="10" t="s">
        <v>24</v>
      </c>
      <c r="H19" s="10" t="s">
        <v>24</v>
      </c>
      <c r="I19" s="35"/>
      <c r="J19" s="26" t="s">
        <v>13</v>
      </c>
      <c r="K19" s="27">
        <f>SUM(B19:H20)</f>
        <v>11684.13</v>
      </c>
    </row>
    <row r="20">
      <c r="A20" s="28" t="s">
        <v>13</v>
      </c>
      <c r="B20" s="10"/>
      <c r="C20" s="10"/>
      <c r="D20" s="10"/>
      <c r="E20" s="10">
        <v>1924.1</v>
      </c>
      <c r="F20" s="10">
        <v>5082.0</v>
      </c>
      <c r="G20" s="10"/>
      <c r="H20" s="10"/>
      <c r="I20" s="25"/>
      <c r="J20" s="29" t="s">
        <v>14</v>
      </c>
      <c r="K20" s="30">
        <f>SUM(B21:H22)</f>
        <v>2680</v>
      </c>
    </row>
    <row r="21">
      <c r="A21" s="31" t="s">
        <v>14</v>
      </c>
      <c r="B21" s="32">
        <v>435.0</v>
      </c>
      <c r="C21" s="32"/>
      <c r="D21" s="32">
        <v>345.0</v>
      </c>
      <c r="E21" s="32">
        <v>115.0</v>
      </c>
      <c r="F21" s="32">
        <v>314.0</v>
      </c>
      <c r="G21" s="32"/>
      <c r="H21" s="32"/>
      <c r="I21" s="25"/>
      <c r="J21" s="33" t="s">
        <v>15</v>
      </c>
      <c r="K21" s="34">
        <f>K19/K20</f>
        <v>4.35975</v>
      </c>
    </row>
    <row r="22">
      <c r="A22" s="20"/>
      <c r="B22" s="32"/>
      <c r="C22" s="32"/>
      <c r="D22" s="32"/>
      <c r="E22" s="32">
        <v>317.0</v>
      </c>
      <c r="F22" s="32">
        <v>1154.0</v>
      </c>
      <c r="G22" s="32"/>
      <c r="H22" s="32"/>
      <c r="I22" s="3"/>
      <c r="J22" s="3"/>
      <c r="K22" s="3"/>
    </row>
    <row r="25">
      <c r="A25" s="22" t="s">
        <v>4</v>
      </c>
      <c r="B25" s="23" t="s">
        <v>5</v>
      </c>
      <c r="C25" s="23" t="s">
        <v>6</v>
      </c>
      <c r="D25" s="23" t="s">
        <v>7</v>
      </c>
      <c r="E25" s="23" t="s">
        <v>8</v>
      </c>
      <c r="F25" s="23" t="s">
        <v>9</v>
      </c>
      <c r="G25" s="23" t="s">
        <v>10</v>
      </c>
      <c r="H25" s="23" t="s">
        <v>11</v>
      </c>
      <c r="I25" s="3"/>
      <c r="J25" s="3"/>
      <c r="K25" s="3"/>
    </row>
    <row r="26">
      <c r="A26" s="37" t="s">
        <v>19</v>
      </c>
      <c r="B26" s="24" t="s">
        <v>17</v>
      </c>
      <c r="C26" s="24" t="s">
        <v>17</v>
      </c>
      <c r="D26" s="24" t="s">
        <v>17</v>
      </c>
      <c r="E26" s="24" t="s">
        <v>17</v>
      </c>
      <c r="F26" s="24" t="s">
        <v>17</v>
      </c>
      <c r="G26" s="24" t="s">
        <v>17</v>
      </c>
      <c r="H26" s="24" t="s">
        <v>17</v>
      </c>
      <c r="I26" s="25"/>
      <c r="J26" s="26" t="s">
        <v>13</v>
      </c>
      <c r="K26" s="27">
        <f>SUM(B26:H27)</f>
        <v>0</v>
      </c>
    </row>
    <row r="27">
      <c r="A27" s="28" t="s">
        <v>13</v>
      </c>
      <c r="B27" s="10"/>
      <c r="C27" s="10"/>
      <c r="D27" s="10"/>
      <c r="E27" s="10"/>
      <c r="F27" s="10"/>
      <c r="G27" s="10"/>
      <c r="H27" s="10"/>
      <c r="I27" s="25"/>
      <c r="J27" s="29" t="s">
        <v>14</v>
      </c>
      <c r="K27" s="30">
        <f>SUM(B28:H29)</f>
        <v>0</v>
      </c>
    </row>
    <row r="28">
      <c r="A28" s="31" t="s">
        <v>14</v>
      </c>
      <c r="B28" s="32"/>
      <c r="C28" s="32"/>
      <c r="D28" s="32"/>
      <c r="E28" s="32"/>
      <c r="F28" s="32"/>
      <c r="G28" s="32"/>
      <c r="H28" s="32"/>
      <c r="I28" s="25"/>
      <c r="J28" s="33" t="s">
        <v>15</v>
      </c>
      <c r="K28" s="36" t="str">
        <f>K26/K27</f>
        <v>#DIV/0!</v>
      </c>
    </row>
    <row r="29">
      <c r="A29" s="20"/>
      <c r="B29" s="32"/>
      <c r="C29" s="32"/>
      <c r="D29" s="32"/>
      <c r="E29" s="32"/>
      <c r="F29" s="32"/>
      <c r="G29" s="32"/>
      <c r="H29" s="32"/>
      <c r="I29" s="3"/>
      <c r="J29" s="3"/>
      <c r="K29" s="3"/>
    </row>
    <row r="32">
      <c r="A32" s="22" t="s">
        <v>4</v>
      </c>
      <c r="B32" s="23" t="s">
        <v>5</v>
      </c>
      <c r="C32" s="23" t="s">
        <v>6</v>
      </c>
      <c r="D32" s="23" t="s">
        <v>7</v>
      </c>
      <c r="E32" s="23" t="s">
        <v>8</v>
      </c>
      <c r="F32" s="23" t="s">
        <v>9</v>
      </c>
      <c r="G32" s="23" t="s">
        <v>10</v>
      </c>
      <c r="H32" s="23" t="s">
        <v>11</v>
      </c>
      <c r="I32" s="3"/>
      <c r="J32" s="3"/>
      <c r="K32" s="3"/>
    </row>
    <row r="33">
      <c r="A33" s="37" t="s">
        <v>20</v>
      </c>
      <c r="B33" s="10" t="s">
        <v>26</v>
      </c>
      <c r="C33" s="10" t="s">
        <v>26</v>
      </c>
      <c r="D33" s="10">
        <v>2216.42</v>
      </c>
      <c r="E33" s="10" t="s">
        <v>24</v>
      </c>
      <c r="F33" s="10">
        <v>1355.085</v>
      </c>
      <c r="G33" s="10">
        <v>1044.91</v>
      </c>
      <c r="H33" s="10" t="s">
        <v>24</v>
      </c>
      <c r="I33" s="25"/>
      <c r="J33" s="26" t="s">
        <v>13</v>
      </c>
      <c r="K33" s="27">
        <f>SUM(B33:H34)</f>
        <v>10256.605</v>
      </c>
    </row>
    <row r="34">
      <c r="A34" s="28" t="s">
        <v>13</v>
      </c>
      <c r="B34" s="10"/>
      <c r="C34" s="10"/>
      <c r="D34" s="10"/>
      <c r="E34" s="10">
        <v>388.45</v>
      </c>
      <c r="F34" s="10"/>
      <c r="G34" s="10">
        <v>5251.74</v>
      </c>
      <c r="H34" s="10"/>
      <c r="I34" s="25"/>
      <c r="J34" s="29" t="s">
        <v>14</v>
      </c>
      <c r="K34" s="30">
        <f>SUM(B35:H36)</f>
        <v>3146</v>
      </c>
    </row>
    <row r="35">
      <c r="A35" s="31" t="s">
        <v>14</v>
      </c>
      <c r="B35" s="32"/>
      <c r="C35" s="32"/>
      <c r="D35" s="32">
        <v>822.0</v>
      </c>
      <c r="E35" s="32">
        <v>103.0</v>
      </c>
      <c r="F35" s="32">
        <v>481.0</v>
      </c>
      <c r="G35" s="32">
        <v>329.0</v>
      </c>
      <c r="H35" s="32"/>
      <c r="I35" s="25"/>
      <c r="J35" s="33" t="s">
        <v>15</v>
      </c>
      <c r="K35" s="34">
        <f>K33/K34</f>
        <v>3.260205022</v>
      </c>
    </row>
    <row r="36">
      <c r="A36" s="20"/>
      <c r="B36" s="32"/>
      <c r="C36" s="32"/>
      <c r="D36" s="32"/>
      <c r="E36" s="32"/>
      <c r="F36" s="32"/>
      <c r="G36" s="32">
        <v>1411.0</v>
      </c>
      <c r="H36" s="32"/>
      <c r="I36" s="3"/>
      <c r="J36" s="3"/>
      <c r="K36" s="3"/>
    </row>
    <row r="39">
      <c r="A39" s="22" t="s">
        <v>4</v>
      </c>
      <c r="B39" s="23" t="s">
        <v>5</v>
      </c>
      <c r="C39" s="23" t="s">
        <v>6</v>
      </c>
      <c r="D39" s="23" t="s">
        <v>7</v>
      </c>
      <c r="E39" s="23" t="s">
        <v>8</v>
      </c>
      <c r="F39" s="23" t="s">
        <v>9</v>
      </c>
      <c r="G39" s="23" t="s">
        <v>10</v>
      </c>
      <c r="H39" s="23" t="s">
        <v>11</v>
      </c>
      <c r="I39" s="3"/>
      <c r="J39" s="3"/>
      <c r="K39" s="3"/>
    </row>
    <row r="40">
      <c r="A40" s="37"/>
      <c r="B40" s="10" t="s">
        <v>17</v>
      </c>
      <c r="C40" s="10" t="s">
        <v>17</v>
      </c>
      <c r="D40" s="10" t="s">
        <v>17</v>
      </c>
      <c r="E40" s="10" t="s">
        <v>17</v>
      </c>
      <c r="F40" s="10" t="s">
        <v>17</v>
      </c>
      <c r="G40" s="10" t="s">
        <v>17</v>
      </c>
      <c r="H40" s="10" t="s">
        <v>17</v>
      </c>
      <c r="I40" s="25"/>
      <c r="J40" s="26" t="s">
        <v>13</v>
      </c>
      <c r="K40" s="27">
        <f>SUM(B40:H41)</f>
        <v>0</v>
      </c>
    </row>
    <row r="41">
      <c r="A41" s="28" t="s">
        <v>13</v>
      </c>
      <c r="B41" s="10"/>
      <c r="C41" s="10"/>
      <c r="D41" s="10"/>
      <c r="E41" s="10"/>
      <c r="F41" s="10"/>
      <c r="G41" s="10"/>
      <c r="H41" s="10"/>
      <c r="I41" s="25"/>
      <c r="J41" s="29" t="s">
        <v>14</v>
      </c>
      <c r="K41" s="30">
        <f>SUM(B42:H43)</f>
        <v>0</v>
      </c>
    </row>
    <row r="42">
      <c r="A42" s="31" t="s">
        <v>14</v>
      </c>
      <c r="B42" s="32"/>
      <c r="C42" s="32"/>
      <c r="D42" s="32"/>
      <c r="E42" s="32"/>
      <c r="F42" s="32"/>
      <c r="G42" s="32"/>
      <c r="H42" s="32"/>
      <c r="I42" s="25"/>
      <c r="J42" s="33" t="s">
        <v>15</v>
      </c>
      <c r="K42" s="36" t="str">
        <f>K40/K41</f>
        <v>#DIV/0!</v>
      </c>
    </row>
    <row r="43">
      <c r="A43" s="20"/>
      <c r="B43" s="32"/>
      <c r="C43" s="32"/>
      <c r="D43" s="32"/>
      <c r="E43" s="32"/>
      <c r="F43" s="32"/>
      <c r="G43" s="32"/>
      <c r="H43" s="32"/>
      <c r="I43" s="3"/>
      <c r="J43" s="3"/>
      <c r="K43" s="3"/>
    </row>
    <row r="46">
      <c r="A46" s="22" t="s">
        <v>4</v>
      </c>
      <c r="B46" s="23" t="s">
        <v>5</v>
      </c>
      <c r="C46" s="23" t="s">
        <v>6</v>
      </c>
      <c r="D46" s="23" t="s">
        <v>7</v>
      </c>
      <c r="E46" s="23" t="s">
        <v>8</v>
      </c>
      <c r="F46" s="23" t="s">
        <v>9</v>
      </c>
      <c r="G46" s="23" t="s">
        <v>10</v>
      </c>
      <c r="H46" s="23" t="s">
        <v>11</v>
      </c>
      <c r="I46" s="3"/>
      <c r="J46" s="3"/>
      <c r="K46" s="3"/>
    </row>
    <row r="47">
      <c r="A47" s="37"/>
      <c r="B47" s="10" t="s">
        <v>17</v>
      </c>
      <c r="C47" s="10" t="s">
        <v>17</v>
      </c>
      <c r="D47" s="10" t="s">
        <v>17</v>
      </c>
      <c r="E47" s="10" t="s">
        <v>17</v>
      </c>
      <c r="F47" s="10" t="s">
        <v>17</v>
      </c>
      <c r="G47" s="10" t="s">
        <v>17</v>
      </c>
      <c r="H47" s="10" t="s">
        <v>17</v>
      </c>
      <c r="I47" s="25"/>
      <c r="J47" s="26" t="s">
        <v>13</v>
      </c>
      <c r="K47" s="27">
        <f>SUM(B47:H48)</f>
        <v>0</v>
      </c>
    </row>
    <row r="48">
      <c r="A48" s="28" t="s">
        <v>13</v>
      </c>
      <c r="B48" s="10"/>
      <c r="C48" s="10"/>
      <c r="D48" s="10"/>
      <c r="E48" s="10"/>
      <c r="F48" s="10"/>
      <c r="G48" s="10"/>
      <c r="H48" s="10"/>
      <c r="I48" s="25"/>
      <c r="J48" s="29" t="s">
        <v>14</v>
      </c>
      <c r="K48" s="30">
        <f>SUM(B49:H50)</f>
        <v>0</v>
      </c>
    </row>
    <row r="49">
      <c r="A49" s="31" t="s">
        <v>14</v>
      </c>
      <c r="B49" s="32"/>
      <c r="C49" s="32"/>
      <c r="D49" s="32"/>
      <c r="E49" s="32"/>
      <c r="F49" s="32"/>
      <c r="G49" s="32"/>
      <c r="H49" s="32"/>
      <c r="I49" s="25"/>
      <c r="J49" s="33" t="s">
        <v>15</v>
      </c>
      <c r="K49" s="36" t="str">
        <f>K47/K48</f>
        <v>#DIV/0!</v>
      </c>
    </row>
    <row r="50">
      <c r="A50" s="20"/>
      <c r="B50" s="32"/>
      <c r="C50" s="32"/>
      <c r="D50" s="32"/>
      <c r="E50" s="32"/>
      <c r="F50" s="32"/>
      <c r="G50" s="32"/>
      <c r="H50" s="32"/>
      <c r="I50" s="3"/>
      <c r="J50" s="3"/>
      <c r="K50" s="3"/>
    </row>
    <row r="53">
      <c r="A53" s="22" t="s">
        <v>4</v>
      </c>
      <c r="B53" s="23" t="s">
        <v>5</v>
      </c>
      <c r="C53" s="23" t="s">
        <v>6</v>
      </c>
      <c r="D53" s="23" t="s">
        <v>7</v>
      </c>
      <c r="E53" s="23" t="s">
        <v>8</v>
      </c>
      <c r="F53" s="23" t="s">
        <v>9</v>
      </c>
      <c r="G53" s="23" t="s">
        <v>10</v>
      </c>
      <c r="H53" s="23" t="s">
        <v>11</v>
      </c>
      <c r="I53" s="3"/>
      <c r="J53" s="3"/>
      <c r="K53" s="3"/>
    </row>
    <row r="54">
      <c r="A54" s="37" t="s">
        <v>21</v>
      </c>
      <c r="B54" s="10">
        <v>1288.59</v>
      </c>
      <c r="C54" s="40" t="s">
        <v>24</v>
      </c>
      <c r="D54" s="40" t="s">
        <v>26</v>
      </c>
      <c r="E54" s="10">
        <v>1730.69</v>
      </c>
      <c r="F54" s="10">
        <v>1965.47</v>
      </c>
      <c r="G54" s="10">
        <v>5573.59</v>
      </c>
      <c r="H54" s="10" t="s">
        <v>24</v>
      </c>
      <c r="I54" s="25"/>
      <c r="J54" s="26" t="s">
        <v>13</v>
      </c>
      <c r="K54" s="27">
        <f>SUM(B54:H55)</f>
        <v>10558.34</v>
      </c>
    </row>
    <row r="55">
      <c r="A55" s="28" t="s">
        <v>13</v>
      </c>
      <c r="B55" s="10"/>
      <c r="C55" s="40" t="s">
        <v>24</v>
      </c>
      <c r="D55" s="40" t="s">
        <v>26</v>
      </c>
      <c r="E55" s="10"/>
      <c r="F55" s="10"/>
      <c r="G55" s="10"/>
      <c r="H55" s="10"/>
      <c r="I55" s="25"/>
      <c r="J55" s="29" t="s">
        <v>14</v>
      </c>
      <c r="K55" s="30">
        <f>SUM(B56:H57)</f>
        <v>4007</v>
      </c>
    </row>
    <row r="56">
      <c r="A56" s="31" t="s">
        <v>14</v>
      </c>
      <c r="B56" s="32">
        <v>699.0</v>
      </c>
      <c r="C56" s="32"/>
      <c r="D56" s="32"/>
      <c r="E56" s="32">
        <v>386.0</v>
      </c>
      <c r="F56" s="32">
        <v>848.0</v>
      </c>
      <c r="G56" s="32">
        <v>1770.0</v>
      </c>
      <c r="H56" s="32"/>
      <c r="I56" s="25"/>
      <c r="J56" s="33" t="s">
        <v>15</v>
      </c>
      <c r="K56" s="34">
        <f>K54/K55</f>
        <v>2.634973796</v>
      </c>
    </row>
    <row r="57">
      <c r="A57" s="20"/>
      <c r="B57" s="32">
        <v>304.0</v>
      </c>
      <c r="C57" s="32"/>
      <c r="D57" s="32"/>
      <c r="E57" s="32"/>
      <c r="F57" s="32"/>
      <c r="G57" s="32"/>
      <c r="H57" s="32"/>
      <c r="I57" s="3"/>
      <c r="J57" s="3"/>
      <c r="K57" s="3"/>
    </row>
    <row r="60">
      <c r="A60" s="22" t="s">
        <v>4</v>
      </c>
      <c r="B60" s="23" t="s">
        <v>5</v>
      </c>
      <c r="C60" s="23" t="s">
        <v>6</v>
      </c>
      <c r="D60" s="23" t="s">
        <v>7</v>
      </c>
      <c r="E60" s="23" t="s">
        <v>8</v>
      </c>
      <c r="F60" s="23" t="s">
        <v>9</v>
      </c>
      <c r="G60" s="23" t="s">
        <v>10</v>
      </c>
      <c r="H60" s="23" t="s">
        <v>11</v>
      </c>
      <c r="I60" s="3"/>
      <c r="J60" s="3"/>
      <c r="K60" s="3"/>
    </row>
    <row r="61">
      <c r="A61" s="37" t="s">
        <v>22</v>
      </c>
      <c r="B61" s="38">
        <v>2579.94</v>
      </c>
      <c r="C61" s="38">
        <v>911.21</v>
      </c>
      <c r="D61" s="40" t="s">
        <v>17</v>
      </c>
      <c r="E61" s="38">
        <v>1580.0</v>
      </c>
      <c r="F61" s="38">
        <v>1298.75</v>
      </c>
      <c r="G61" s="38">
        <v>1104.86</v>
      </c>
      <c r="H61" s="38" t="s">
        <v>27</v>
      </c>
      <c r="I61" s="25"/>
      <c r="J61" s="26" t="s">
        <v>13</v>
      </c>
      <c r="K61" s="27">
        <f>SUM(B61:H62)</f>
        <v>7474.76</v>
      </c>
    </row>
    <row r="62">
      <c r="A62" s="28" t="s">
        <v>13</v>
      </c>
      <c r="B62" s="38"/>
      <c r="C62" s="40" t="s">
        <v>17</v>
      </c>
      <c r="D62" s="40" t="s">
        <v>17</v>
      </c>
      <c r="E62" s="38"/>
      <c r="F62" s="38"/>
      <c r="G62" s="38"/>
      <c r="H62" s="38"/>
      <c r="I62" s="25"/>
      <c r="J62" s="29" t="s">
        <v>14</v>
      </c>
      <c r="K62" s="30">
        <f>SUM(B63:H64)</f>
        <v>1916</v>
      </c>
    </row>
    <row r="63">
      <c r="A63" s="31" t="s">
        <v>14</v>
      </c>
      <c r="B63" s="39">
        <v>582.0</v>
      </c>
      <c r="C63" s="39">
        <v>123.0</v>
      </c>
      <c r="D63" s="39"/>
      <c r="E63" s="39">
        <v>453.0</v>
      </c>
      <c r="F63" s="39">
        <v>381.0</v>
      </c>
      <c r="G63" s="39">
        <v>377.0</v>
      </c>
      <c r="H63" s="39"/>
      <c r="I63" s="25"/>
      <c r="J63" s="33" t="s">
        <v>15</v>
      </c>
      <c r="K63" s="34">
        <f>K61/K62</f>
        <v>3.901231733</v>
      </c>
    </row>
    <row r="64">
      <c r="A64" s="20"/>
      <c r="B64" s="39"/>
      <c r="C64" s="39"/>
      <c r="D64" s="39"/>
      <c r="E64" s="39"/>
      <c r="F64" s="39"/>
      <c r="G64" s="39"/>
      <c r="H64" s="39"/>
      <c r="I64" s="3"/>
      <c r="J64" s="3"/>
      <c r="K64" s="3"/>
    </row>
    <row r="67">
      <c r="A67" s="22" t="s">
        <v>4</v>
      </c>
      <c r="B67" s="23" t="s">
        <v>5</v>
      </c>
      <c r="C67" s="23" t="s">
        <v>6</v>
      </c>
      <c r="D67" s="23" t="s">
        <v>7</v>
      </c>
      <c r="E67" s="23" t="s">
        <v>8</v>
      </c>
      <c r="F67" s="23" t="s">
        <v>9</v>
      </c>
      <c r="G67" s="23" t="s">
        <v>10</v>
      </c>
      <c r="H67" s="23" t="s">
        <v>11</v>
      </c>
      <c r="I67" s="3"/>
      <c r="J67" s="3"/>
      <c r="K67" s="3"/>
    </row>
    <row r="68">
      <c r="A68" s="37" t="s">
        <v>23</v>
      </c>
      <c r="B68" s="38">
        <v>921.58</v>
      </c>
      <c r="C68" s="38" t="s">
        <v>24</v>
      </c>
      <c r="D68" s="38">
        <v>1023.86</v>
      </c>
      <c r="E68" s="38">
        <v>1239.35</v>
      </c>
      <c r="F68" s="38" t="s">
        <v>26</v>
      </c>
      <c r="G68" s="38">
        <v>1292.61</v>
      </c>
      <c r="H68" s="38">
        <v>890.25</v>
      </c>
      <c r="I68" s="25"/>
      <c r="J68" s="26" t="s">
        <v>13</v>
      </c>
      <c r="K68" s="27">
        <f>SUM(B68:H69)</f>
        <v>9331.59</v>
      </c>
    </row>
    <row r="69">
      <c r="A69" s="28" t="s">
        <v>13</v>
      </c>
      <c r="B69" s="38">
        <v>2009.31</v>
      </c>
      <c r="C69" s="38"/>
      <c r="D69" s="38">
        <v>1954.63</v>
      </c>
      <c r="E69" s="38"/>
      <c r="F69" s="38"/>
      <c r="G69" s="38"/>
      <c r="H69" s="38"/>
      <c r="I69" s="25"/>
      <c r="J69" s="29" t="s">
        <v>14</v>
      </c>
      <c r="K69" s="30">
        <f>SUM(B70:H71)</f>
        <v>3156</v>
      </c>
    </row>
    <row r="70">
      <c r="A70" s="31" t="s">
        <v>14</v>
      </c>
      <c r="B70" s="39">
        <v>400.0</v>
      </c>
      <c r="C70" s="39"/>
      <c r="D70" s="39">
        <v>230.0</v>
      </c>
      <c r="E70" s="39">
        <v>328.0</v>
      </c>
      <c r="F70" s="39"/>
      <c r="G70" s="39">
        <v>466.0</v>
      </c>
      <c r="H70" s="39">
        <v>326.0</v>
      </c>
      <c r="I70" s="25"/>
      <c r="J70" s="33" t="s">
        <v>15</v>
      </c>
      <c r="K70" s="34">
        <f>K68/K69</f>
        <v>2.956777567</v>
      </c>
    </row>
    <row r="71">
      <c r="A71" s="20"/>
      <c r="B71" s="39">
        <v>769.0</v>
      </c>
      <c r="C71" s="39"/>
      <c r="D71" s="39">
        <v>637.0</v>
      </c>
      <c r="E71" s="39"/>
      <c r="F71" s="39"/>
      <c r="G71" s="39"/>
      <c r="H71" s="39"/>
      <c r="I71" s="3"/>
      <c r="J71" s="3"/>
      <c r="K71" s="3"/>
    </row>
  </sheetData>
  <mergeCells count="10">
    <mergeCell ref="A56:A57"/>
    <mergeCell ref="A63:A64"/>
    <mergeCell ref="A70:A71"/>
    <mergeCell ref="A7:A8"/>
    <mergeCell ref="A14:A15"/>
    <mergeCell ref="A21:A22"/>
    <mergeCell ref="A28:A29"/>
    <mergeCell ref="A35:A36"/>
    <mergeCell ref="A42:A43"/>
    <mergeCell ref="A49:A50"/>
  </mergeCells>
  <conditionalFormatting sqref="K6">
    <cfRule type="notContainsBlanks" dxfId="0" priority="1">
      <formula>LEN(TRIM(K6))&gt;0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19.75"/>
    <col customWidth="1" min="3" max="3" width="16.88"/>
    <col customWidth="1" min="4" max="4" width="18.0"/>
    <col customWidth="1" min="5" max="5" width="16.75"/>
    <col customWidth="1" min="6" max="7" width="17.0"/>
    <col customWidth="1" min="8" max="8" width="16.63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>
        <v>9.0</v>
      </c>
      <c r="M1" s="4" t="s">
        <v>2</v>
      </c>
      <c r="N1" s="4">
        <v>1.0</v>
      </c>
    </row>
    <row r="2">
      <c r="A2" s="3"/>
      <c r="B2" s="3"/>
      <c r="C2" s="3"/>
      <c r="D2" s="3"/>
      <c r="E2" s="3"/>
      <c r="F2" s="3"/>
      <c r="G2" s="3"/>
      <c r="H2" s="3"/>
      <c r="I2" s="3"/>
      <c r="J2" s="4" t="s">
        <v>3</v>
      </c>
    </row>
    <row r="3">
      <c r="A3" s="5"/>
      <c r="B3" s="5"/>
      <c r="C3" s="5"/>
      <c r="D3" s="5"/>
      <c r="E3" s="5"/>
      <c r="F3" s="5"/>
      <c r="G3" s="5"/>
      <c r="H3" s="5"/>
      <c r="I3" s="3"/>
    </row>
    <row r="4">
      <c r="A4" s="6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3"/>
      <c r="J4" s="8"/>
    </row>
    <row r="5">
      <c r="A5" s="9" t="s">
        <v>12</v>
      </c>
      <c r="B5" s="10">
        <v>430.81</v>
      </c>
      <c r="C5" s="10">
        <v>737.359</v>
      </c>
      <c r="D5" s="10">
        <v>905.37</v>
      </c>
      <c r="E5" s="10">
        <v>1041.72</v>
      </c>
      <c r="F5" s="10"/>
      <c r="G5" s="10">
        <v>1213.09</v>
      </c>
      <c r="H5" s="10">
        <v>175.0</v>
      </c>
      <c r="I5" s="11"/>
      <c r="J5" s="12" t="s">
        <v>13</v>
      </c>
      <c r="K5" s="13">
        <f>SUM(B5:H6)</f>
        <v>9778.048</v>
      </c>
    </row>
    <row r="6">
      <c r="A6" s="14" t="s">
        <v>13</v>
      </c>
      <c r="B6" s="10">
        <v>906.909</v>
      </c>
      <c r="C6" s="10">
        <v>1250.0</v>
      </c>
      <c r="D6" s="10">
        <v>660.07</v>
      </c>
      <c r="E6" s="10"/>
      <c r="F6" s="10">
        <v>841.9</v>
      </c>
      <c r="G6" s="10"/>
      <c r="H6" s="10">
        <v>1615.82</v>
      </c>
      <c r="I6" s="11"/>
      <c r="J6" s="15" t="s">
        <v>14</v>
      </c>
      <c r="K6" s="16">
        <f>sum(B7:H8)</f>
        <v>3562</v>
      </c>
    </row>
    <row r="7">
      <c r="A7" s="17" t="s">
        <v>14</v>
      </c>
      <c r="B7" s="14">
        <v>216.0</v>
      </c>
      <c r="C7" s="14">
        <v>297.0</v>
      </c>
      <c r="D7" s="14">
        <v>422.0</v>
      </c>
      <c r="E7" s="14">
        <v>520.0</v>
      </c>
      <c r="F7" s="14"/>
      <c r="G7" s="14">
        <v>242.0</v>
      </c>
      <c r="H7" s="14"/>
      <c r="I7" s="11"/>
      <c r="J7" s="18" t="s">
        <v>15</v>
      </c>
      <c r="K7" s="19">
        <f>K5/K6</f>
        <v>2.745100505</v>
      </c>
    </row>
    <row r="8">
      <c r="A8" s="20"/>
      <c r="B8" s="14">
        <v>324.0</v>
      </c>
      <c r="C8" s="14">
        <v>417.0</v>
      </c>
      <c r="D8" s="14">
        <v>238.0</v>
      </c>
      <c r="E8" s="14"/>
      <c r="F8" s="14">
        <v>366.0</v>
      </c>
      <c r="G8" s="14"/>
      <c r="H8" s="14">
        <v>520.0</v>
      </c>
      <c r="I8" s="3"/>
      <c r="J8" s="21"/>
    </row>
    <row r="9">
      <c r="A9" s="3"/>
      <c r="B9" s="3"/>
      <c r="C9" s="3"/>
      <c r="D9" s="3"/>
      <c r="E9" s="3"/>
      <c r="F9" s="3"/>
      <c r="G9" s="3"/>
      <c r="H9" s="3"/>
      <c r="I9" s="3"/>
    </row>
    <row r="10">
      <c r="A10" s="5"/>
      <c r="B10" s="5"/>
      <c r="C10" s="5"/>
      <c r="D10" s="5"/>
      <c r="E10" s="5"/>
      <c r="F10" s="5"/>
      <c r="G10" s="5"/>
      <c r="H10" s="5"/>
      <c r="I10" s="3"/>
    </row>
    <row r="11">
      <c r="A11" s="22" t="s">
        <v>4</v>
      </c>
      <c r="B11" s="23" t="s">
        <v>5</v>
      </c>
      <c r="C11" s="23" t="s">
        <v>6</v>
      </c>
      <c r="D11" s="23" t="s">
        <v>7</v>
      </c>
      <c r="E11" s="23" t="s">
        <v>8</v>
      </c>
      <c r="F11" s="23" t="s">
        <v>9</v>
      </c>
      <c r="G11" s="23" t="s">
        <v>10</v>
      </c>
      <c r="H11" s="23" t="s">
        <v>11</v>
      </c>
      <c r="I11" s="3"/>
      <c r="J11" s="3"/>
      <c r="K11" s="3"/>
    </row>
    <row r="12">
      <c r="A12" s="9" t="s">
        <v>16</v>
      </c>
      <c r="B12" s="10">
        <v>1155.33</v>
      </c>
      <c r="C12" s="10">
        <v>1210.386</v>
      </c>
      <c r="D12" s="10">
        <v>482.38</v>
      </c>
      <c r="E12" s="10">
        <v>814.61</v>
      </c>
      <c r="F12" s="10">
        <v>882.33</v>
      </c>
      <c r="G12" s="10">
        <v>175.0</v>
      </c>
      <c r="H12" s="10">
        <v>630.15</v>
      </c>
      <c r="I12" s="25"/>
      <c r="J12" s="26" t="s">
        <v>13</v>
      </c>
      <c r="K12" s="27">
        <f>SUM(B12:H13)</f>
        <v>8717.272</v>
      </c>
    </row>
    <row r="13">
      <c r="A13" s="28" t="s">
        <v>13</v>
      </c>
      <c r="B13" s="10"/>
      <c r="C13" s="10"/>
      <c r="D13" s="10">
        <v>706.776</v>
      </c>
      <c r="E13" s="10">
        <v>900.14</v>
      </c>
      <c r="F13" s="10">
        <v>1760.17</v>
      </c>
      <c r="G13" s="10"/>
      <c r="H13" s="10"/>
      <c r="I13" s="25"/>
      <c r="J13" s="29" t="s">
        <v>14</v>
      </c>
      <c r="K13" s="30">
        <f>SUM(B14:H15)</f>
        <v>3308</v>
      </c>
    </row>
    <row r="14">
      <c r="A14" s="31" t="s">
        <v>14</v>
      </c>
      <c r="B14" s="32">
        <v>497.0</v>
      </c>
      <c r="C14" s="32">
        <v>508.0</v>
      </c>
      <c r="D14" s="32">
        <v>168.0</v>
      </c>
      <c r="E14" s="32">
        <v>255.0</v>
      </c>
      <c r="F14" s="32">
        <v>374.0</v>
      </c>
      <c r="G14" s="32"/>
      <c r="H14" s="32">
        <v>208.0</v>
      </c>
      <c r="I14" s="25"/>
      <c r="J14" s="33" t="s">
        <v>15</v>
      </c>
      <c r="K14" s="34">
        <f>K12/K13</f>
        <v>2.63520919</v>
      </c>
    </row>
    <row r="15">
      <c r="A15" s="20"/>
      <c r="B15" s="32"/>
      <c r="C15" s="32"/>
      <c r="D15" s="32">
        <v>313.0</v>
      </c>
      <c r="E15" s="32">
        <v>308.0</v>
      </c>
      <c r="F15" s="32">
        <v>677.0</v>
      </c>
      <c r="G15" s="32"/>
      <c r="H15" s="32"/>
      <c r="I15" s="3"/>
      <c r="J15" s="3"/>
      <c r="K15" s="3"/>
    </row>
    <row r="18">
      <c r="A18" s="22" t="s">
        <v>4</v>
      </c>
      <c r="B18" s="23" t="s">
        <v>5</v>
      </c>
      <c r="C18" s="23" t="s">
        <v>6</v>
      </c>
      <c r="D18" s="23" t="s">
        <v>7</v>
      </c>
      <c r="E18" s="23" t="s">
        <v>8</v>
      </c>
      <c r="F18" s="23" t="s">
        <v>9</v>
      </c>
      <c r="G18" s="23" t="s">
        <v>10</v>
      </c>
      <c r="H18" s="23" t="s">
        <v>11</v>
      </c>
      <c r="I18" s="3"/>
      <c r="J18" s="3"/>
      <c r="K18" s="3"/>
    </row>
    <row r="19">
      <c r="A19" s="9" t="s">
        <v>18</v>
      </c>
      <c r="B19" s="10">
        <v>1975.46</v>
      </c>
      <c r="C19" s="10" t="s">
        <v>24</v>
      </c>
      <c r="D19" s="10">
        <v>3643.94</v>
      </c>
      <c r="E19" s="10" t="s">
        <v>24</v>
      </c>
      <c r="F19" s="10" t="s">
        <v>24</v>
      </c>
      <c r="G19" s="10">
        <v>1705.99</v>
      </c>
      <c r="H19" s="10">
        <v>1107.12</v>
      </c>
      <c r="I19" s="35"/>
      <c r="J19" s="26" t="s">
        <v>13</v>
      </c>
      <c r="K19" s="27">
        <f>SUM(B19:H20)</f>
        <v>9315.93</v>
      </c>
    </row>
    <row r="20">
      <c r="A20" s="28" t="s">
        <v>13</v>
      </c>
      <c r="B20" s="10"/>
      <c r="C20" s="10"/>
      <c r="D20" s="10"/>
      <c r="E20" s="10"/>
      <c r="F20" s="10"/>
      <c r="G20" s="10"/>
      <c r="H20" s="10">
        <v>883.42</v>
      </c>
      <c r="I20" s="25"/>
      <c r="J20" s="29" t="s">
        <v>14</v>
      </c>
      <c r="K20" s="30">
        <f>SUM(B21:H22)</f>
        <v>3725</v>
      </c>
    </row>
    <row r="21">
      <c r="A21" s="31" t="s">
        <v>14</v>
      </c>
      <c r="B21" s="32">
        <v>891.0</v>
      </c>
      <c r="C21" s="32"/>
      <c r="D21" s="32">
        <v>1814.0</v>
      </c>
      <c r="E21" s="32"/>
      <c r="F21" s="32"/>
      <c r="G21" s="32">
        <v>445.0</v>
      </c>
      <c r="H21" s="32">
        <v>431.0</v>
      </c>
      <c r="I21" s="25"/>
      <c r="J21" s="33" t="s">
        <v>15</v>
      </c>
      <c r="K21" s="34">
        <f>K19/K20</f>
        <v>2.500920805</v>
      </c>
    </row>
    <row r="22">
      <c r="A22" s="20"/>
      <c r="B22" s="32"/>
      <c r="C22" s="32"/>
      <c r="D22" s="32"/>
      <c r="E22" s="32"/>
      <c r="F22" s="32"/>
      <c r="G22" s="32"/>
      <c r="H22" s="32">
        <v>144.0</v>
      </c>
      <c r="I22" s="3"/>
      <c r="J22" s="3"/>
      <c r="K22" s="3"/>
    </row>
    <row r="25">
      <c r="A25" s="22" t="s">
        <v>4</v>
      </c>
      <c r="B25" s="23" t="s">
        <v>5</v>
      </c>
      <c r="C25" s="23" t="s">
        <v>6</v>
      </c>
      <c r="D25" s="23" t="s">
        <v>7</v>
      </c>
      <c r="E25" s="23" t="s">
        <v>8</v>
      </c>
      <c r="F25" s="23" t="s">
        <v>9</v>
      </c>
      <c r="G25" s="23" t="s">
        <v>10</v>
      </c>
      <c r="H25" s="23" t="s">
        <v>11</v>
      </c>
      <c r="I25" s="3"/>
      <c r="J25" s="3"/>
      <c r="K25" s="3"/>
    </row>
    <row r="26">
      <c r="A26" s="37" t="s">
        <v>19</v>
      </c>
      <c r="B26" s="10">
        <v>1126.7</v>
      </c>
      <c r="C26" s="24" t="s">
        <v>28</v>
      </c>
      <c r="D26" s="24" t="s">
        <v>28</v>
      </c>
      <c r="E26" s="24" t="s">
        <v>17</v>
      </c>
      <c r="F26" s="24" t="s">
        <v>17</v>
      </c>
      <c r="G26" s="24" t="s">
        <v>17</v>
      </c>
      <c r="H26" s="24" t="s">
        <v>17</v>
      </c>
      <c r="I26" s="25"/>
      <c r="J26" s="26" t="s">
        <v>13</v>
      </c>
      <c r="K26" s="27">
        <f>SUM(B26:H27)</f>
        <v>1126.7</v>
      </c>
    </row>
    <row r="27">
      <c r="A27" s="28" t="s">
        <v>13</v>
      </c>
      <c r="B27" s="10"/>
      <c r="C27" s="10"/>
      <c r="D27" s="10"/>
      <c r="E27" s="10"/>
      <c r="F27" s="10"/>
      <c r="G27" s="10"/>
      <c r="H27" s="10"/>
      <c r="I27" s="25"/>
      <c r="J27" s="29" t="s">
        <v>14</v>
      </c>
      <c r="K27" s="30">
        <f>SUM(B28:H29)</f>
        <v>417</v>
      </c>
    </row>
    <row r="28">
      <c r="A28" s="31" t="s">
        <v>14</v>
      </c>
      <c r="B28" s="32">
        <v>417.0</v>
      </c>
      <c r="C28" s="32"/>
      <c r="D28" s="32"/>
      <c r="E28" s="32"/>
      <c r="F28" s="32"/>
      <c r="G28" s="32"/>
      <c r="H28" s="32"/>
      <c r="I28" s="25"/>
      <c r="J28" s="33" t="s">
        <v>15</v>
      </c>
      <c r="K28" s="34">
        <f>K26/K27</f>
        <v>2.701918465</v>
      </c>
    </row>
    <row r="29">
      <c r="A29" s="20"/>
      <c r="B29" s="32"/>
      <c r="C29" s="32"/>
      <c r="D29" s="32"/>
      <c r="E29" s="32"/>
      <c r="F29" s="32"/>
      <c r="G29" s="32"/>
      <c r="H29" s="32"/>
      <c r="I29" s="3"/>
      <c r="J29" s="3"/>
      <c r="K29" s="3"/>
    </row>
    <row r="32">
      <c r="A32" s="22" t="s">
        <v>4</v>
      </c>
      <c r="B32" s="23" t="s">
        <v>5</v>
      </c>
      <c r="C32" s="23" t="s">
        <v>6</v>
      </c>
      <c r="D32" s="23" t="s">
        <v>7</v>
      </c>
      <c r="E32" s="23" t="s">
        <v>8</v>
      </c>
      <c r="F32" s="23" t="s">
        <v>9</v>
      </c>
      <c r="G32" s="23" t="s">
        <v>10</v>
      </c>
      <c r="H32" s="23" t="s">
        <v>11</v>
      </c>
      <c r="I32" s="3"/>
      <c r="J32" s="3"/>
      <c r="K32" s="3"/>
    </row>
    <row r="33">
      <c r="A33" s="37" t="s">
        <v>20</v>
      </c>
      <c r="B33" s="10">
        <v>194.44</v>
      </c>
      <c r="C33" s="10">
        <v>1009.0</v>
      </c>
      <c r="D33" s="10">
        <v>1285.75</v>
      </c>
      <c r="E33" s="24" t="s">
        <v>28</v>
      </c>
      <c r="F33" s="10">
        <v>315.71</v>
      </c>
      <c r="G33" s="10">
        <v>1753.7</v>
      </c>
      <c r="H33" s="10">
        <v>1211.27</v>
      </c>
      <c r="I33" s="25"/>
      <c r="J33" s="26" t="s">
        <v>13</v>
      </c>
      <c r="K33" s="27">
        <f>SUM(B33:H34)</f>
        <v>5940.04</v>
      </c>
    </row>
    <row r="34">
      <c r="A34" s="28" t="s">
        <v>13</v>
      </c>
      <c r="B34" s="10"/>
      <c r="C34" s="10"/>
      <c r="D34" s="10"/>
      <c r="E34" s="10"/>
      <c r="F34" s="10">
        <v>170.17</v>
      </c>
      <c r="G34" s="10"/>
      <c r="H34" s="10"/>
      <c r="I34" s="25"/>
      <c r="J34" s="29" t="s">
        <v>14</v>
      </c>
      <c r="K34" s="30">
        <f>SUM(B35:H36)</f>
        <v>2446</v>
      </c>
    </row>
    <row r="35">
      <c r="A35" s="31" t="s">
        <v>14</v>
      </c>
      <c r="B35" s="32">
        <v>29.0</v>
      </c>
      <c r="C35" s="32">
        <v>437.0</v>
      </c>
      <c r="D35" s="32">
        <v>528.0</v>
      </c>
      <c r="E35" s="32"/>
      <c r="F35" s="32">
        <v>97.0</v>
      </c>
      <c r="G35" s="32">
        <v>813.0</v>
      </c>
      <c r="H35" s="32">
        <v>542.0</v>
      </c>
      <c r="I35" s="25"/>
      <c r="J35" s="33" t="s">
        <v>15</v>
      </c>
      <c r="K35" s="34">
        <f>K33/K34</f>
        <v>2.428470973</v>
      </c>
    </row>
    <row r="36">
      <c r="A36" s="20"/>
      <c r="B36" s="32"/>
      <c r="C36" s="32"/>
      <c r="D36" s="32"/>
      <c r="E36" s="32"/>
      <c r="F36" s="32"/>
      <c r="G36" s="32"/>
      <c r="H36" s="32"/>
      <c r="I36" s="3"/>
      <c r="J36" s="3"/>
      <c r="K36" s="3"/>
    </row>
    <row r="39">
      <c r="A39" s="22" t="s">
        <v>4</v>
      </c>
      <c r="B39" s="23" t="s">
        <v>5</v>
      </c>
      <c r="C39" s="23" t="s">
        <v>6</v>
      </c>
      <c r="D39" s="23" t="s">
        <v>7</v>
      </c>
      <c r="E39" s="23" t="s">
        <v>8</v>
      </c>
      <c r="F39" s="23" t="s">
        <v>9</v>
      </c>
      <c r="G39" s="23" t="s">
        <v>10</v>
      </c>
      <c r="H39" s="23" t="s">
        <v>11</v>
      </c>
      <c r="I39" s="3"/>
      <c r="J39" s="3"/>
      <c r="K39" s="3"/>
    </row>
    <row r="40">
      <c r="A40" s="37"/>
      <c r="B40" s="10" t="s">
        <v>17</v>
      </c>
      <c r="C40" s="10" t="s">
        <v>17</v>
      </c>
      <c r="D40" s="10" t="s">
        <v>17</v>
      </c>
      <c r="E40" s="10" t="s">
        <v>17</v>
      </c>
      <c r="F40" s="10" t="s">
        <v>17</v>
      </c>
      <c r="G40" s="10" t="s">
        <v>17</v>
      </c>
      <c r="H40" s="10" t="s">
        <v>17</v>
      </c>
      <c r="I40" s="25"/>
      <c r="J40" s="26" t="s">
        <v>13</v>
      </c>
      <c r="K40" s="27">
        <f>SUM(B40:H41)</f>
        <v>0</v>
      </c>
    </row>
    <row r="41">
      <c r="A41" s="28" t="s">
        <v>13</v>
      </c>
      <c r="B41" s="10"/>
      <c r="C41" s="10"/>
      <c r="D41" s="10"/>
      <c r="E41" s="10"/>
      <c r="F41" s="10"/>
      <c r="G41" s="10"/>
      <c r="H41" s="10"/>
      <c r="I41" s="25"/>
      <c r="J41" s="29" t="s">
        <v>14</v>
      </c>
      <c r="K41" s="30">
        <f>SUM(B42:H43)</f>
        <v>0</v>
      </c>
    </row>
    <row r="42">
      <c r="A42" s="31" t="s">
        <v>14</v>
      </c>
      <c r="B42" s="32"/>
      <c r="C42" s="32"/>
      <c r="D42" s="32"/>
      <c r="E42" s="32"/>
      <c r="F42" s="32"/>
      <c r="G42" s="32"/>
      <c r="H42" s="32"/>
      <c r="I42" s="25"/>
      <c r="J42" s="33" t="s">
        <v>15</v>
      </c>
      <c r="K42" s="36" t="str">
        <f>K40/K41</f>
        <v>#DIV/0!</v>
      </c>
    </row>
    <row r="43">
      <c r="A43" s="20"/>
      <c r="B43" s="32"/>
      <c r="C43" s="32"/>
      <c r="D43" s="32"/>
      <c r="E43" s="32"/>
      <c r="F43" s="32"/>
      <c r="G43" s="32"/>
      <c r="H43" s="32"/>
      <c r="I43" s="3"/>
      <c r="J43" s="3"/>
      <c r="K43" s="3"/>
    </row>
    <row r="46">
      <c r="A46" s="22" t="s">
        <v>4</v>
      </c>
      <c r="B46" s="23" t="s">
        <v>5</v>
      </c>
      <c r="C46" s="23" t="s">
        <v>6</v>
      </c>
      <c r="D46" s="23" t="s">
        <v>7</v>
      </c>
      <c r="E46" s="23" t="s">
        <v>8</v>
      </c>
      <c r="F46" s="23" t="s">
        <v>9</v>
      </c>
      <c r="G46" s="23" t="s">
        <v>10</v>
      </c>
      <c r="H46" s="23" t="s">
        <v>11</v>
      </c>
      <c r="I46" s="3"/>
      <c r="J46" s="3"/>
      <c r="K46" s="3"/>
    </row>
    <row r="47">
      <c r="A47" s="37"/>
      <c r="B47" s="10" t="s">
        <v>17</v>
      </c>
      <c r="C47" s="10" t="s">
        <v>17</v>
      </c>
      <c r="D47" s="10" t="s">
        <v>17</v>
      </c>
      <c r="E47" s="10" t="s">
        <v>17</v>
      </c>
      <c r="F47" s="10" t="s">
        <v>17</v>
      </c>
      <c r="G47" s="10" t="s">
        <v>17</v>
      </c>
      <c r="H47" s="10" t="s">
        <v>17</v>
      </c>
      <c r="I47" s="25"/>
      <c r="J47" s="26" t="s">
        <v>13</v>
      </c>
      <c r="K47" s="27">
        <f>SUM(B47:H48)</f>
        <v>0</v>
      </c>
    </row>
    <row r="48">
      <c r="A48" s="28" t="s">
        <v>13</v>
      </c>
      <c r="B48" s="10"/>
      <c r="C48" s="10"/>
      <c r="D48" s="10"/>
      <c r="E48" s="10"/>
      <c r="F48" s="10"/>
      <c r="G48" s="10"/>
      <c r="H48" s="10"/>
      <c r="I48" s="25"/>
      <c r="J48" s="29" t="s">
        <v>14</v>
      </c>
      <c r="K48" s="30">
        <f>SUM(B49:H50)</f>
        <v>0</v>
      </c>
    </row>
    <row r="49">
      <c r="A49" s="31" t="s">
        <v>14</v>
      </c>
      <c r="B49" s="32"/>
      <c r="C49" s="32"/>
      <c r="D49" s="32"/>
      <c r="E49" s="32"/>
      <c r="F49" s="32"/>
      <c r="G49" s="32"/>
      <c r="H49" s="32"/>
      <c r="I49" s="25"/>
      <c r="J49" s="33" t="s">
        <v>15</v>
      </c>
      <c r="K49" s="36" t="str">
        <f>K47/K48</f>
        <v>#DIV/0!</v>
      </c>
    </row>
    <row r="50">
      <c r="A50" s="20"/>
      <c r="B50" s="32"/>
      <c r="C50" s="32"/>
      <c r="D50" s="32"/>
      <c r="E50" s="32"/>
      <c r="F50" s="32"/>
      <c r="G50" s="32"/>
      <c r="H50" s="32"/>
      <c r="I50" s="3"/>
      <c r="J50" s="3"/>
      <c r="K50" s="3"/>
    </row>
    <row r="53">
      <c r="A53" s="22" t="s">
        <v>4</v>
      </c>
      <c r="B53" s="23" t="s">
        <v>5</v>
      </c>
      <c r="C53" s="23" t="s">
        <v>6</v>
      </c>
      <c r="D53" s="23" t="s">
        <v>7</v>
      </c>
      <c r="E53" s="23" t="s">
        <v>8</v>
      </c>
      <c r="F53" s="23" t="s">
        <v>9</v>
      </c>
      <c r="G53" s="23" t="s">
        <v>10</v>
      </c>
      <c r="H53" s="23" t="s">
        <v>11</v>
      </c>
      <c r="I53" s="3"/>
      <c r="J53" s="3"/>
      <c r="K53" s="3"/>
    </row>
    <row r="54">
      <c r="A54" s="37" t="s">
        <v>21</v>
      </c>
      <c r="B54" s="24" t="s">
        <v>29</v>
      </c>
      <c r="C54" s="24" t="s">
        <v>29</v>
      </c>
      <c r="D54" s="24" t="s">
        <v>29</v>
      </c>
      <c r="E54" s="10">
        <v>3864.39</v>
      </c>
      <c r="F54" s="10" t="s">
        <v>24</v>
      </c>
      <c r="G54" s="10" t="s">
        <v>24</v>
      </c>
      <c r="H54" s="10">
        <v>1094.33</v>
      </c>
      <c r="I54" s="25"/>
      <c r="J54" s="26" t="s">
        <v>13</v>
      </c>
      <c r="K54" s="27">
        <f>SUM(B54:H55)</f>
        <v>4958.72</v>
      </c>
    </row>
    <row r="55">
      <c r="A55" s="28" t="s">
        <v>13</v>
      </c>
      <c r="B55" s="10"/>
      <c r="C55" s="10"/>
      <c r="D55" s="10"/>
      <c r="E55" s="10"/>
      <c r="F55" s="10"/>
      <c r="G55" s="10"/>
      <c r="H55" s="10"/>
      <c r="I55" s="25"/>
      <c r="J55" s="29" t="s">
        <v>14</v>
      </c>
      <c r="K55" s="30">
        <f>SUM(B56:H57)</f>
        <v>1990</v>
      </c>
    </row>
    <row r="56">
      <c r="A56" s="31" t="s">
        <v>14</v>
      </c>
      <c r="B56" s="32"/>
      <c r="C56" s="32"/>
      <c r="D56" s="32"/>
      <c r="E56" s="32">
        <v>1583.0</v>
      </c>
      <c r="F56" s="32"/>
      <c r="G56" s="32"/>
      <c r="H56" s="32">
        <v>407.0</v>
      </c>
      <c r="I56" s="25"/>
      <c r="J56" s="33" t="s">
        <v>15</v>
      </c>
      <c r="K56" s="34">
        <f>K54/K55</f>
        <v>2.491819095</v>
      </c>
    </row>
    <row r="57">
      <c r="A57" s="20"/>
      <c r="B57" s="32"/>
      <c r="C57" s="32"/>
      <c r="D57" s="32"/>
      <c r="E57" s="32"/>
      <c r="F57" s="32"/>
      <c r="G57" s="32"/>
      <c r="H57" s="32"/>
      <c r="I57" s="3"/>
      <c r="J57" s="3"/>
      <c r="K57" s="3"/>
    </row>
    <row r="60">
      <c r="A60" s="22" t="s">
        <v>4</v>
      </c>
      <c r="B60" s="23" t="s">
        <v>5</v>
      </c>
      <c r="C60" s="23" t="s">
        <v>6</v>
      </c>
      <c r="D60" s="23" t="s">
        <v>7</v>
      </c>
      <c r="E60" s="23" t="s">
        <v>8</v>
      </c>
      <c r="F60" s="23" t="s">
        <v>9</v>
      </c>
      <c r="G60" s="23" t="s">
        <v>10</v>
      </c>
      <c r="H60" s="23" t="s">
        <v>11</v>
      </c>
      <c r="I60" s="3"/>
      <c r="J60" s="3"/>
      <c r="K60" s="3"/>
    </row>
    <row r="61">
      <c r="A61" s="37" t="s">
        <v>22</v>
      </c>
      <c r="B61" s="38">
        <v>848.58</v>
      </c>
      <c r="C61" s="38">
        <v>175.0</v>
      </c>
      <c r="D61" s="38">
        <v>1347.5</v>
      </c>
      <c r="E61" s="38">
        <v>947.57</v>
      </c>
      <c r="F61" s="38"/>
      <c r="G61" s="38">
        <v>1924.93</v>
      </c>
      <c r="H61" s="38">
        <v>1352.77</v>
      </c>
      <c r="I61" s="25"/>
      <c r="J61" s="26" t="s">
        <v>13</v>
      </c>
      <c r="K61" s="27">
        <f>SUM(B61:H62)</f>
        <v>7043.5</v>
      </c>
    </row>
    <row r="62">
      <c r="A62" s="28" t="s">
        <v>13</v>
      </c>
      <c r="B62" s="38"/>
      <c r="C62" s="38"/>
      <c r="D62" s="38">
        <v>447.15</v>
      </c>
      <c r="E62" s="38"/>
      <c r="F62" s="38"/>
      <c r="G62" s="38"/>
      <c r="H62" s="38"/>
      <c r="I62" s="25"/>
      <c r="J62" s="29" t="s">
        <v>14</v>
      </c>
      <c r="K62" s="30">
        <f>SUM(B63:H64)</f>
        <v>2300</v>
      </c>
    </row>
    <row r="63">
      <c r="A63" s="31" t="s">
        <v>14</v>
      </c>
      <c r="B63" s="39">
        <v>155.0</v>
      </c>
      <c r="C63" s="39"/>
      <c r="D63" s="39">
        <v>364.0</v>
      </c>
      <c r="E63" s="39">
        <v>463.0</v>
      </c>
      <c r="F63" s="39"/>
      <c r="G63" s="39">
        <v>618.0</v>
      </c>
      <c r="H63" s="39">
        <v>498.0</v>
      </c>
      <c r="I63" s="25"/>
      <c r="J63" s="33" t="s">
        <v>15</v>
      </c>
      <c r="K63" s="34">
        <f>K61/K62</f>
        <v>3.062391304</v>
      </c>
    </row>
    <row r="64">
      <c r="A64" s="20"/>
      <c r="B64" s="39"/>
      <c r="C64" s="39"/>
      <c r="D64" s="39">
        <v>202.0</v>
      </c>
      <c r="E64" s="39"/>
      <c r="F64" s="39"/>
      <c r="G64" s="39"/>
      <c r="H64" s="39"/>
      <c r="I64" s="3"/>
      <c r="J64" s="3"/>
      <c r="K64" s="3"/>
    </row>
    <row r="67">
      <c r="A67" s="22" t="s">
        <v>4</v>
      </c>
      <c r="B67" s="23" t="s">
        <v>5</v>
      </c>
      <c r="C67" s="23" t="s">
        <v>6</v>
      </c>
      <c r="D67" s="23" t="s">
        <v>7</v>
      </c>
      <c r="E67" s="23" t="s">
        <v>8</v>
      </c>
      <c r="F67" s="23" t="s">
        <v>9</v>
      </c>
      <c r="G67" s="23" t="s">
        <v>10</v>
      </c>
      <c r="H67" s="23" t="s">
        <v>11</v>
      </c>
      <c r="I67" s="3"/>
      <c r="J67" s="3"/>
      <c r="K67" s="3"/>
    </row>
    <row r="68">
      <c r="A68" s="37" t="s">
        <v>23</v>
      </c>
      <c r="B68" s="38"/>
      <c r="C68" s="38"/>
      <c r="D68" s="38"/>
      <c r="E68" s="38">
        <v>175.0</v>
      </c>
      <c r="F68" s="38">
        <v>1343.94</v>
      </c>
      <c r="G68" s="38" t="s">
        <v>24</v>
      </c>
      <c r="H68" s="38">
        <v>906.43</v>
      </c>
      <c r="I68" s="25"/>
      <c r="J68" s="26" t="s">
        <v>13</v>
      </c>
      <c r="K68" s="27">
        <f>SUM(B68:H69)</f>
        <v>2661.41</v>
      </c>
    </row>
    <row r="69">
      <c r="A69" s="28" t="s">
        <v>13</v>
      </c>
      <c r="B69" s="38"/>
      <c r="C69" s="38"/>
      <c r="D69" s="38"/>
      <c r="E69" s="38">
        <v>236.04</v>
      </c>
      <c r="F69" s="38"/>
      <c r="G69" s="38"/>
      <c r="H69" s="38"/>
      <c r="I69" s="25"/>
      <c r="J69" s="29" t="s">
        <v>14</v>
      </c>
      <c r="K69" s="30">
        <f>SUM(B70:H71)</f>
        <v>1110</v>
      </c>
    </row>
    <row r="70">
      <c r="A70" s="31" t="s">
        <v>14</v>
      </c>
      <c r="B70" s="39"/>
      <c r="C70" s="39"/>
      <c r="D70" s="39"/>
      <c r="E70" s="39"/>
      <c r="F70" s="39">
        <v>670.0</v>
      </c>
      <c r="G70" s="39"/>
      <c r="H70" s="39">
        <v>350.0</v>
      </c>
      <c r="I70" s="25"/>
      <c r="J70" s="33" t="s">
        <v>15</v>
      </c>
      <c r="K70" s="34">
        <f>K68/K69</f>
        <v>2.397666667</v>
      </c>
    </row>
    <row r="71">
      <c r="A71" s="20"/>
      <c r="B71" s="39"/>
      <c r="C71" s="39"/>
      <c r="D71" s="39"/>
      <c r="E71" s="39">
        <v>90.0</v>
      </c>
      <c r="F71" s="39"/>
      <c r="G71" s="39"/>
      <c r="H71" s="39"/>
      <c r="I71" s="3"/>
      <c r="J71" s="3"/>
      <c r="K71" s="3"/>
    </row>
  </sheetData>
  <mergeCells count="10">
    <mergeCell ref="A56:A57"/>
    <mergeCell ref="A63:A64"/>
    <mergeCell ref="A70:A71"/>
    <mergeCell ref="A7:A8"/>
    <mergeCell ref="A14:A15"/>
    <mergeCell ref="A21:A22"/>
    <mergeCell ref="A28:A29"/>
    <mergeCell ref="A35:A36"/>
    <mergeCell ref="A42:A43"/>
    <mergeCell ref="A49:A50"/>
  </mergeCells>
  <conditionalFormatting sqref="K6">
    <cfRule type="notContainsBlanks" dxfId="0" priority="1">
      <formula>LEN(TRIM(K6))&gt;0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19.75"/>
    <col customWidth="1" min="3" max="3" width="16.88"/>
    <col customWidth="1" min="4" max="4" width="18.0"/>
    <col customWidth="1" min="5" max="5" width="16.75"/>
    <col customWidth="1" min="6" max="7" width="17.0"/>
    <col customWidth="1" min="8" max="8" width="16.63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>
        <v>9.0</v>
      </c>
      <c r="M1" s="4" t="s">
        <v>2</v>
      </c>
      <c r="N1" s="4">
        <v>1.0</v>
      </c>
    </row>
    <row r="2">
      <c r="A2" s="3"/>
      <c r="B2" s="3"/>
      <c r="C2" s="3"/>
      <c r="D2" s="3"/>
      <c r="E2" s="3"/>
      <c r="F2" s="3"/>
      <c r="G2" s="3"/>
      <c r="H2" s="3"/>
      <c r="I2" s="3"/>
      <c r="J2" s="4" t="s">
        <v>3</v>
      </c>
    </row>
    <row r="3">
      <c r="A3" s="5"/>
      <c r="B3" s="5"/>
      <c r="C3" s="5"/>
      <c r="D3" s="5"/>
      <c r="E3" s="5"/>
      <c r="F3" s="5"/>
      <c r="G3" s="5"/>
      <c r="H3" s="5"/>
      <c r="I3" s="3"/>
    </row>
    <row r="4">
      <c r="A4" s="6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3"/>
      <c r="J4" s="8"/>
    </row>
    <row r="5">
      <c r="A5" s="9" t="s">
        <v>12</v>
      </c>
      <c r="B5" s="10">
        <v>1050.0</v>
      </c>
      <c r="C5" s="10">
        <v>557.24</v>
      </c>
      <c r="D5" s="10">
        <v>769.72</v>
      </c>
      <c r="E5" s="10">
        <v>715.18</v>
      </c>
      <c r="F5" s="10">
        <v>1146.35</v>
      </c>
      <c r="G5" s="10">
        <v>563.38</v>
      </c>
      <c r="H5" s="10">
        <v>1042.7</v>
      </c>
      <c r="I5" s="11"/>
      <c r="J5" s="12" t="s">
        <v>13</v>
      </c>
      <c r="K5" s="13">
        <f>SUM(B5:H6)</f>
        <v>7947.75</v>
      </c>
    </row>
    <row r="6">
      <c r="A6" s="14" t="s">
        <v>13</v>
      </c>
      <c r="B6" s="10"/>
      <c r="C6" s="10">
        <v>651.4</v>
      </c>
      <c r="D6" s="10">
        <v>175.0</v>
      </c>
      <c r="E6" s="10">
        <v>611.38</v>
      </c>
      <c r="F6" s="10">
        <v>665.4</v>
      </c>
      <c r="G6" s="10"/>
      <c r="H6" s="10"/>
      <c r="I6" s="11"/>
      <c r="J6" s="15" t="s">
        <v>14</v>
      </c>
      <c r="K6" s="16">
        <f>sum(B7:H8)</f>
        <v>2919</v>
      </c>
    </row>
    <row r="7">
      <c r="A7" s="17" t="s">
        <v>14</v>
      </c>
      <c r="B7" s="14">
        <v>383.0</v>
      </c>
      <c r="C7" s="14">
        <v>268.0</v>
      </c>
      <c r="D7" s="14">
        <v>382.0</v>
      </c>
      <c r="E7" s="14">
        <v>317.0</v>
      </c>
      <c r="F7" s="14">
        <v>463.0</v>
      </c>
      <c r="G7" s="14">
        <v>254.0</v>
      </c>
      <c r="H7" s="14">
        <v>205.0</v>
      </c>
      <c r="I7" s="11"/>
      <c r="J7" s="18" t="s">
        <v>15</v>
      </c>
      <c r="K7" s="19">
        <f>K5/K6</f>
        <v>2.722764645</v>
      </c>
    </row>
    <row r="8">
      <c r="A8" s="20"/>
      <c r="B8" s="14"/>
      <c r="C8" s="14">
        <v>231.0</v>
      </c>
      <c r="D8" s="14"/>
      <c r="E8" s="14">
        <v>206.0</v>
      </c>
      <c r="F8" s="14">
        <v>210.0</v>
      </c>
      <c r="G8" s="14"/>
      <c r="H8" s="14"/>
      <c r="I8" s="3"/>
      <c r="J8" s="21"/>
    </row>
    <row r="9">
      <c r="A9" s="3"/>
      <c r="B9" s="3"/>
      <c r="C9" s="3"/>
      <c r="D9" s="3"/>
      <c r="E9" s="3"/>
      <c r="F9" s="3"/>
      <c r="G9" s="3"/>
      <c r="H9" s="3"/>
      <c r="I9" s="3"/>
    </row>
    <row r="10">
      <c r="A10" s="5"/>
      <c r="B10" s="5"/>
      <c r="C10" s="5"/>
      <c r="D10" s="5"/>
      <c r="E10" s="5"/>
      <c r="F10" s="5"/>
      <c r="G10" s="5"/>
      <c r="H10" s="5"/>
      <c r="I10" s="3"/>
    </row>
    <row r="11">
      <c r="A11" s="22" t="s">
        <v>4</v>
      </c>
      <c r="B11" s="23" t="s">
        <v>5</v>
      </c>
      <c r="C11" s="23" t="s">
        <v>6</v>
      </c>
      <c r="D11" s="23" t="s">
        <v>7</v>
      </c>
      <c r="E11" s="23" t="s">
        <v>8</v>
      </c>
      <c r="F11" s="23" t="s">
        <v>9</v>
      </c>
      <c r="G11" s="23" t="s">
        <v>10</v>
      </c>
      <c r="H11" s="23" t="s">
        <v>11</v>
      </c>
      <c r="I11" s="3"/>
      <c r="J11" s="3"/>
      <c r="K11" s="3"/>
    </row>
    <row r="12">
      <c r="A12" s="9" t="s">
        <v>16</v>
      </c>
      <c r="B12" s="10">
        <v>915.91</v>
      </c>
      <c r="C12" s="10">
        <v>894.46</v>
      </c>
      <c r="D12" s="10">
        <v>1322.58</v>
      </c>
      <c r="E12" s="10">
        <v>748.68</v>
      </c>
      <c r="F12" s="10">
        <v>566.65</v>
      </c>
      <c r="G12" s="24" t="s">
        <v>17</v>
      </c>
      <c r="H12" s="24" t="s">
        <v>17</v>
      </c>
      <c r="I12" s="25"/>
      <c r="J12" s="26" t="s">
        <v>13</v>
      </c>
      <c r="K12" s="27">
        <f>SUM(B12:H13)</f>
        <v>6561.96</v>
      </c>
    </row>
    <row r="13">
      <c r="A13" s="28" t="s">
        <v>13</v>
      </c>
      <c r="B13" s="10">
        <v>652.49</v>
      </c>
      <c r="C13" s="10"/>
      <c r="D13" s="24" t="s">
        <v>30</v>
      </c>
      <c r="E13" s="41">
        <v>500.08</v>
      </c>
      <c r="F13" s="10">
        <v>961.11</v>
      </c>
      <c r="G13" s="24" t="s">
        <v>26</v>
      </c>
      <c r="H13" s="24" t="s">
        <v>26</v>
      </c>
      <c r="I13" s="25"/>
      <c r="J13" s="29" t="s">
        <v>14</v>
      </c>
      <c r="K13" s="30">
        <f>SUM(B14:H15)</f>
        <v>2550</v>
      </c>
    </row>
    <row r="14">
      <c r="A14" s="31" t="s">
        <v>14</v>
      </c>
      <c r="B14" s="32">
        <v>454.0</v>
      </c>
      <c r="C14" s="32">
        <v>379.0</v>
      </c>
      <c r="D14" s="32">
        <v>489.0</v>
      </c>
      <c r="E14" s="32">
        <v>279.0</v>
      </c>
      <c r="F14" s="32">
        <v>190.0</v>
      </c>
      <c r="G14" s="32"/>
      <c r="H14" s="32"/>
      <c r="I14" s="25"/>
      <c r="J14" s="33" t="s">
        <v>15</v>
      </c>
      <c r="K14" s="34">
        <f>K12/K13</f>
        <v>2.573317647</v>
      </c>
    </row>
    <row r="15">
      <c r="A15" s="20"/>
      <c r="B15" s="32">
        <v>253.0</v>
      </c>
      <c r="C15" s="32"/>
      <c r="D15" s="32"/>
      <c r="E15" s="32">
        <v>103.0</v>
      </c>
      <c r="F15" s="32">
        <v>403.0</v>
      </c>
      <c r="G15" s="32"/>
      <c r="H15" s="32"/>
      <c r="I15" s="3"/>
      <c r="J15" s="3"/>
      <c r="K15" s="3"/>
    </row>
    <row r="18">
      <c r="A18" s="22" t="s">
        <v>4</v>
      </c>
      <c r="B18" s="23" t="s">
        <v>5</v>
      </c>
      <c r="C18" s="23" t="s">
        <v>6</v>
      </c>
      <c r="D18" s="23" t="s">
        <v>7</v>
      </c>
      <c r="E18" s="23" t="s">
        <v>8</v>
      </c>
      <c r="F18" s="23" t="s">
        <v>9</v>
      </c>
      <c r="G18" s="23" t="s">
        <v>10</v>
      </c>
      <c r="H18" s="23" t="s">
        <v>11</v>
      </c>
      <c r="I18" s="3"/>
      <c r="J18" s="3"/>
      <c r="K18" s="3"/>
    </row>
    <row r="19">
      <c r="A19" s="9" t="s">
        <v>18</v>
      </c>
      <c r="B19" s="10" t="s">
        <v>24</v>
      </c>
      <c r="C19" s="10">
        <v>1704.83</v>
      </c>
      <c r="D19" s="10">
        <v>1966.22</v>
      </c>
      <c r="E19" s="24" t="s">
        <v>17</v>
      </c>
      <c r="F19" s="24" t="s">
        <v>17</v>
      </c>
      <c r="G19" s="24" t="s">
        <v>17</v>
      </c>
      <c r="H19" s="24" t="s">
        <v>17</v>
      </c>
      <c r="I19" s="35"/>
      <c r="J19" s="26" t="s">
        <v>13</v>
      </c>
      <c r="K19" s="27">
        <f>SUM(B19:H20)</f>
        <v>3671.05</v>
      </c>
    </row>
    <row r="20">
      <c r="A20" s="28" t="s">
        <v>13</v>
      </c>
      <c r="B20" s="10"/>
      <c r="C20" s="10"/>
      <c r="D20" s="10"/>
      <c r="E20" s="10"/>
      <c r="F20" s="10"/>
      <c r="G20" s="10"/>
      <c r="H20" s="10"/>
      <c r="I20" s="25"/>
      <c r="J20" s="29" t="s">
        <v>14</v>
      </c>
      <c r="K20" s="30">
        <f>SUM(B21:H22)</f>
        <v>1566</v>
      </c>
    </row>
    <row r="21">
      <c r="A21" s="31" t="s">
        <v>14</v>
      </c>
      <c r="B21" s="32"/>
      <c r="C21" s="32">
        <v>811.0</v>
      </c>
      <c r="D21" s="32">
        <v>755.0</v>
      </c>
      <c r="E21" s="32"/>
      <c r="F21" s="32"/>
      <c r="G21" s="32"/>
      <c r="H21" s="32"/>
      <c r="I21" s="25"/>
      <c r="J21" s="33" t="s">
        <v>15</v>
      </c>
      <c r="K21" s="34">
        <f>K19/K20</f>
        <v>2.344220945</v>
      </c>
    </row>
    <row r="22">
      <c r="A22" s="20"/>
      <c r="B22" s="32"/>
      <c r="C22" s="32"/>
      <c r="D22" s="32"/>
      <c r="E22" s="32"/>
      <c r="F22" s="32"/>
      <c r="G22" s="32"/>
      <c r="H22" s="32"/>
      <c r="I22" s="3"/>
      <c r="J22" s="3"/>
      <c r="K22" s="3"/>
    </row>
    <row r="25">
      <c r="A25" s="22" t="s">
        <v>4</v>
      </c>
      <c r="B25" s="23" t="s">
        <v>5</v>
      </c>
      <c r="C25" s="23" t="s">
        <v>6</v>
      </c>
      <c r="D25" s="23" t="s">
        <v>7</v>
      </c>
      <c r="E25" s="23" t="s">
        <v>8</v>
      </c>
      <c r="F25" s="23" t="s">
        <v>9</v>
      </c>
      <c r="G25" s="23" t="s">
        <v>10</v>
      </c>
      <c r="H25" s="23" t="s">
        <v>11</v>
      </c>
      <c r="I25" s="3"/>
      <c r="J25" s="3"/>
      <c r="K25" s="3"/>
    </row>
    <row r="26">
      <c r="A26" s="37" t="s">
        <v>19</v>
      </c>
      <c r="B26" s="10">
        <v>648.2</v>
      </c>
      <c r="C26" s="10">
        <v>600.4</v>
      </c>
      <c r="D26" s="10">
        <v>764.47</v>
      </c>
      <c r="E26" s="10">
        <v>762.0</v>
      </c>
      <c r="F26" s="10">
        <v>900.0</v>
      </c>
      <c r="G26" s="10">
        <v>600.0</v>
      </c>
      <c r="H26" s="10">
        <v>1130.72</v>
      </c>
      <c r="I26" s="25"/>
      <c r="J26" s="26" t="s">
        <v>13</v>
      </c>
      <c r="K26" s="27">
        <f>SUM(B26:H27)</f>
        <v>9082.11</v>
      </c>
    </row>
    <row r="27">
      <c r="A27" s="28" t="s">
        <v>13</v>
      </c>
      <c r="B27" s="10">
        <v>710.07</v>
      </c>
      <c r="C27" s="10"/>
      <c r="D27" s="10">
        <v>1114.14</v>
      </c>
      <c r="E27" s="10">
        <v>516.4</v>
      </c>
      <c r="F27" s="10">
        <v>966.31</v>
      </c>
      <c r="G27" s="10"/>
      <c r="H27" s="10">
        <v>369.4</v>
      </c>
      <c r="I27" s="25"/>
      <c r="J27" s="29" t="s">
        <v>14</v>
      </c>
      <c r="K27" s="30">
        <f>SUM(B28:H29)</f>
        <v>3014</v>
      </c>
    </row>
    <row r="28">
      <c r="A28" s="31" t="s">
        <v>14</v>
      </c>
      <c r="B28" s="32">
        <v>187.0</v>
      </c>
      <c r="C28" s="32">
        <v>235.0</v>
      </c>
      <c r="D28" s="32">
        <v>312.0</v>
      </c>
      <c r="E28" s="32">
        <v>229.0</v>
      </c>
      <c r="F28" s="32">
        <v>324.0</v>
      </c>
      <c r="G28" s="32">
        <v>229.0</v>
      </c>
      <c r="H28" s="32">
        <v>344.0</v>
      </c>
      <c r="I28" s="25"/>
      <c r="J28" s="33" t="s">
        <v>15</v>
      </c>
      <c r="K28" s="34">
        <f>K26/K27</f>
        <v>3.013307896</v>
      </c>
    </row>
    <row r="29">
      <c r="A29" s="20"/>
      <c r="B29" s="32">
        <v>234.0</v>
      </c>
      <c r="C29" s="32"/>
      <c r="D29" s="32">
        <v>349.0</v>
      </c>
      <c r="E29" s="32">
        <v>153.0</v>
      </c>
      <c r="F29" s="32">
        <v>296.0</v>
      </c>
      <c r="G29" s="32"/>
      <c r="H29" s="32">
        <v>122.0</v>
      </c>
      <c r="I29" s="3"/>
      <c r="J29" s="3"/>
      <c r="K29" s="3"/>
    </row>
    <row r="32">
      <c r="A32" s="22" t="s">
        <v>4</v>
      </c>
      <c r="B32" s="23" t="s">
        <v>5</v>
      </c>
      <c r="C32" s="23" t="s">
        <v>6</v>
      </c>
      <c r="D32" s="23" t="s">
        <v>7</v>
      </c>
      <c r="E32" s="23" t="s">
        <v>8</v>
      </c>
      <c r="F32" s="23" t="s">
        <v>9</v>
      </c>
      <c r="G32" s="23" t="s">
        <v>10</v>
      </c>
      <c r="H32" s="23" t="s">
        <v>11</v>
      </c>
      <c r="I32" s="3"/>
      <c r="J32" s="3"/>
      <c r="K32" s="3"/>
    </row>
    <row r="33">
      <c r="A33" s="37" t="s">
        <v>20</v>
      </c>
      <c r="B33" s="10">
        <v>737.8</v>
      </c>
      <c r="C33" s="10">
        <v>2745.1</v>
      </c>
      <c r="D33" s="10" t="s">
        <v>24</v>
      </c>
      <c r="E33" s="24" t="s">
        <v>31</v>
      </c>
      <c r="F33" s="10" t="s">
        <v>24</v>
      </c>
      <c r="G33" s="10" t="s">
        <v>24</v>
      </c>
      <c r="H33" s="10" t="s">
        <v>24</v>
      </c>
      <c r="I33" s="25"/>
      <c r="J33" s="26" t="s">
        <v>13</v>
      </c>
      <c r="K33" s="27">
        <f>SUM(B33:H34)</f>
        <v>8158.06</v>
      </c>
    </row>
    <row r="34">
      <c r="A34" s="28" t="s">
        <v>13</v>
      </c>
      <c r="B34" s="10"/>
      <c r="C34" s="10"/>
      <c r="D34" s="10"/>
      <c r="E34" s="10">
        <v>3920.3</v>
      </c>
      <c r="F34" s="10"/>
      <c r="G34" s="10"/>
      <c r="H34" s="10">
        <v>754.86</v>
      </c>
      <c r="I34" s="25"/>
      <c r="J34" s="29" t="s">
        <v>14</v>
      </c>
      <c r="K34" s="30">
        <f>SUM(B35:H36)</f>
        <v>3964</v>
      </c>
    </row>
    <row r="35">
      <c r="A35" s="31" t="s">
        <v>14</v>
      </c>
      <c r="B35" s="32">
        <v>245.0</v>
      </c>
      <c r="C35" s="32">
        <v>1366.0</v>
      </c>
      <c r="D35" s="32"/>
      <c r="E35" s="32"/>
      <c r="F35" s="32"/>
      <c r="G35" s="32"/>
      <c r="H35" s="32"/>
      <c r="I35" s="25"/>
      <c r="J35" s="33" t="s">
        <v>15</v>
      </c>
      <c r="K35" s="34">
        <f>K33/K34</f>
        <v>2.058037336</v>
      </c>
    </row>
    <row r="36">
      <c r="A36" s="20"/>
      <c r="B36" s="32"/>
      <c r="C36" s="32"/>
      <c r="D36" s="32"/>
      <c r="E36" s="32">
        <v>1960.0</v>
      </c>
      <c r="F36" s="32"/>
      <c r="G36" s="32"/>
      <c r="H36" s="32">
        <v>393.0</v>
      </c>
      <c r="I36" s="3"/>
      <c r="J36" s="3"/>
      <c r="K36" s="3"/>
    </row>
    <row r="39">
      <c r="A39" s="22" t="s">
        <v>4</v>
      </c>
      <c r="B39" s="23" t="s">
        <v>5</v>
      </c>
      <c r="C39" s="23" t="s">
        <v>6</v>
      </c>
      <c r="D39" s="23" t="s">
        <v>7</v>
      </c>
      <c r="E39" s="23" t="s">
        <v>8</v>
      </c>
      <c r="F39" s="23" t="s">
        <v>9</v>
      </c>
      <c r="G39" s="23" t="s">
        <v>10</v>
      </c>
      <c r="H39" s="23" t="s">
        <v>11</v>
      </c>
      <c r="I39" s="3"/>
      <c r="J39" s="3"/>
      <c r="K39" s="3"/>
    </row>
    <row r="40">
      <c r="A40" s="37"/>
      <c r="B40" s="10" t="s">
        <v>17</v>
      </c>
      <c r="C40" s="10" t="s">
        <v>17</v>
      </c>
      <c r="D40" s="10" t="s">
        <v>17</v>
      </c>
      <c r="E40" s="10" t="s">
        <v>17</v>
      </c>
      <c r="F40" s="10" t="s">
        <v>17</v>
      </c>
      <c r="G40" s="10" t="s">
        <v>17</v>
      </c>
      <c r="H40" s="10" t="s">
        <v>17</v>
      </c>
      <c r="I40" s="25"/>
      <c r="J40" s="26" t="s">
        <v>13</v>
      </c>
      <c r="K40" s="27">
        <f>SUM(B40:H41)</f>
        <v>0</v>
      </c>
    </row>
    <row r="41">
      <c r="A41" s="28" t="s">
        <v>13</v>
      </c>
      <c r="B41" s="10"/>
      <c r="C41" s="10"/>
      <c r="D41" s="10"/>
      <c r="E41" s="10"/>
      <c r="F41" s="10"/>
      <c r="G41" s="10"/>
      <c r="H41" s="10"/>
      <c r="I41" s="25"/>
      <c r="J41" s="29" t="s">
        <v>14</v>
      </c>
      <c r="K41" s="30">
        <f>SUM(B42:H43)</f>
        <v>0</v>
      </c>
    </row>
    <row r="42">
      <c r="A42" s="31" t="s">
        <v>14</v>
      </c>
      <c r="B42" s="32"/>
      <c r="C42" s="32"/>
      <c r="D42" s="32"/>
      <c r="E42" s="32"/>
      <c r="F42" s="32"/>
      <c r="G42" s="32"/>
      <c r="H42" s="32"/>
      <c r="I42" s="25"/>
      <c r="J42" s="33" t="s">
        <v>15</v>
      </c>
      <c r="K42" s="36" t="str">
        <f>K40/K41</f>
        <v>#DIV/0!</v>
      </c>
    </row>
    <row r="43">
      <c r="A43" s="20"/>
      <c r="B43" s="32"/>
      <c r="C43" s="32"/>
      <c r="D43" s="32"/>
      <c r="E43" s="32"/>
      <c r="F43" s="32"/>
      <c r="G43" s="32"/>
      <c r="H43" s="32"/>
      <c r="I43" s="3"/>
      <c r="J43" s="3"/>
      <c r="K43" s="3"/>
    </row>
    <row r="46">
      <c r="A46" s="22" t="s">
        <v>4</v>
      </c>
      <c r="B46" s="23" t="s">
        <v>5</v>
      </c>
      <c r="C46" s="23" t="s">
        <v>6</v>
      </c>
      <c r="D46" s="23" t="s">
        <v>7</v>
      </c>
      <c r="E46" s="23" t="s">
        <v>8</v>
      </c>
      <c r="F46" s="23" t="s">
        <v>9</v>
      </c>
      <c r="G46" s="23" t="s">
        <v>10</v>
      </c>
      <c r="H46" s="23" t="s">
        <v>11</v>
      </c>
      <c r="I46" s="3"/>
      <c r="J46" s="3"/>
      <c r="K46" s="3"/>
    </row>
    <row r="47">
      <c r="A47" s="37"/>
      <c r="B47" s="10" t="s">
        <v>17</v>
      </c>
      <c r="C47" s="10" t="s">
        <v>17</v>
      </c>
      <c r="D47" s="10" t="s">
        <v>17</v>
      </c>
      <c r="E47" s="10" t="s">
        <v>17</v>
      </c>
      <c r="F47" s="10" t="s">
        <v>17</v>
      </c>
      <c r="G47" s="10" t="s">
        <v>17</v>
      </c>
      <c r="H47" s="10" t="s">
        <v>17</v>
      </c>
      <c r="I47" s="25"/>
      <c r="J47" s="26" t="s">
        <v>13</v>
      </c>
      <c r="K47" s="27">
        <f>SUM(B47:H48)</f>
        <v>0</v>
      </c>
    </row>
    <row r="48">
      <c r="A48" s="28" t="s">
        <v>13</v>
      </c>
      <c r="B48" s="10"/>
      <c r="C48" s="10"/>
      <c r="D48" s="10"/>
      <c r="E48" s="10"/>
      <c r="F48" s="10"/>
      <c r="G48" s="10"/>
      <c r="H48" s="10"/>
      <c r="I48" s="25"/>
      <c r="J48" s="29" t="s">
        <v>14</v>
      </c>
      <c r="K48" s="30">
        <f>SUM(B49:H50)</f>
        <v>0</v>
      </c>
    </row>
    <row r="49">
      <c r="A49" s="31" t="s">
        <v>14</v>
      </c>
      <c r="B49" s="32"/>
      <c r="C49" s="32"/>
      <c r="D49" s="32"/>
      <c r="E49" s="32"/>
      <c r="F49" s="32"/>
      <c r="G49" s="32"/>
      <c r="H49" s="32"/>
      <c r="I49" s="25"/>
      <c r="J49" s="33" t="s">
        <v>15</v>
      </c>
      <c r="K49" s="36" t="str">
        <f>K47/K48</f>
        <v>#DIV/0!</v>
      </c>
    </row>
    <row r="50">
      <c r="A50" s="20"/>
      <c r="B50" s="32"/>
      <c r="C50" s="32"/>
      <c r="D50" s="32"/>
      <c r="E50" s="32"/>
      <c r="F50" s="32"/>
      <c r="G50" s="32"/>
      <c r="H50" s="32"/>
      <c r="I50" s="3"/>
      <c r="J50" s="3"/>
      <c r="K50" s="3"/>
    </row>
    <row r="53">
      <c r="A53" s="22" t="s">
        <v>4</v>
      </c>
      <c r="B53" s="23" t="s">
        <v>5</v>
      </c>
      <c r="C53" s="23" t="s">
        <v>6</v>
      </c>
      <c r="D53" s="23" t="s">
        <v>7</v>
      </c>
      <c r="E53" s="23" t="s">
        <v>8</v>
      </c>
      <c r="F53" s="23" t="s">
        <v>9</v>
      </c>
      <c r="G53" s="23" t="s">
        <v>10</v>
      </c>
      <c r="H53" s="23" t="s">
        <v>11</v>
      </c>
      <c r="I53" s="3"/>
      <c r="J53" s="3"/>
      <c r="K53" s="3"/>
    </row>
    <row r="54">
      <c r="A54" s="37" t="s">
        <v>32</v>
      </c>
      <c r="B54" s="10">
        <v>2982.17</v>
      </c>
      <c r="C54" s="10">
        <v>1271.84</v>
      </c>
      <c r="D54" s="10">
        <v>2914.3</v>
      </c>
      <c r="E54" s="10" t="s">
        <v>24</v>
      </c>
      <c r="F54" s="10">
        <v>1500.0</v>
      </c>
      <c r="G54" s="24" t="s">
        <v>33</v>
      </c>
      <c r="H54" s="24" t="s">
        <v>34</v>
      </c>
      <c r="I54" s="25"/>
      <c r="J54" s="26" t="s">
        <v>13</v>
      </c>
      <c r="K54" s="27">
        <f>SUM(B54:H55)</f>
        <v>8668.31</v>
      </c>
    </row>
    <row r="55">
      <c r="A55" s="28" t="s">
        <v>13</v>
      </c>
      <c r="B55" s="10"/>
      <c r="C55" s="10"/>
      <c r="D55" s="10"/>
      <c r="E55" s="10"/>
      <c r="F55" s="10"/>
      <c r="G55" s="10"/>
      <c r="H55" s="10"/>
      <c r="I55" s="25"/>
      <c r="J55" s="29" t="s">
        <v>14</v>
      </c>
      <c r="K55" s="30">
        <f>SUM(B56:H57)</f>
        <v>3201</v>
      </c>
    </row>
    <row r="56">
      <c r="A56" s="31" t="s">
        <v>14</v>
      </c>
      <c r="B56" s="32">
        <v>1069.0</v>
      </c>
      <c r="C56" s="32">
        <v>669.0</v>
      </c>
      <c r="D56" s="32">
        <v>1028.0</v>
      </c>
      <c r="E56" s="32"/>
      <c r="F56" s="32">
        <v>435.0</v>
      </c>
      <c r="G56" s="32"/>
      <c r="H56" s="32"/>
      <c r="I56" s="25"/>
      <c r="J56" s="33" t="s">
        <v>15</v>
      </c>
      <c r="K56" s="34">
        <f>K54/K55</f>
        <v>2.708000625</v>
      </c>
    </row>
    <row r="57">
      <c r="A57" s="20"/>
      <c r="B57" s="32"/>
      <c r="C57" s="32"/>
      <c r="D57" s="32"/>
      <c r="E57" s="32"/>
      <c r="F57" s="32"/>
      <c r="G57" s="32"/>
      <c r="H57" s="32"/>
      <c r="I57" s="3"/>
      <c r="J57" s="3"/>
      <c r="K57" s="3"/>
    </row>
    <row r="60">
      <c r="A60" s="22" t="s">
        <v>4</v>
      </c>
      <c r="B60" s="23" t="s">
        <v>5</v>
      </c>
      <c r="C60" s="23" t="s">
        <v>6</v>
      </c>
      <c r="D60" s="23" t="s">
        <v>7</v>
      </c>
      <c r="E60" s="23" t="s">
        <v>8</v>
      </c>
      <c r="F60" s="23" t="s">
        <v>9</v>
      </c>
      <c r="G60" s="23" t="s">
        <v>10</v>
      </c>
      <c r="H60" s="23" t="s">
        <v>11</v>
      </c>
      <c r="I60" s="3"/>
      <c r="J60" s="3"/>
      <c r="K60" s="3"/>
    </row>
    <row r="61">
      <c r="A61" s="37" t="s">
        <v>35</v>
      </c>
      <c r="B61" s="38">
        <v>634.51</v>
      </c>
      <c r="C61" s="38">
        <v>803.54</v>
      </c>
      <c r="D61" s="38">
        <v>175.0</v>
      </c>
      <c r="E61" s="38">
        <v>668.07</v>
      </c>
      <c r="F61" s="38">
        <v>701.01</v>
      </c>
      <c r="G61" s="38">
        <v>838.22</v>
      </c>
      <c r="H61" s="38">
        <v>700.0</v>
      </c>
      <c r="I61" s="25"/>
      <c r="J61" s="26" t="s">
        <v>13</v>
      </c>
      <c r="K61" s="27">
        <f>SUM(B61:H62)</f>
        <v>8894.91</v>
      </c>
    </row>
    <row r="62">
      <c r="A62" s="28" t="s">
        <v>13</v>
      </c>
      <c r="B62" s="38"/>
      <c r="C62" s="38">
        <v>738.03</v>
      </c>
      <c r="D62" s="38">
        <v>1343.58</v>
      </c>
      <c r="E62" s="38">
        <v>500.02</v>
      </c>
      <c r="F62" s="38">
        <v>611.76</v>
      </c>
      <c r="G62" s="38"/>
      <c r="H62" s="38">
        <v>1181.17</v>
      </c>
      <c r="I62" s="25"/>
      <c r="J62" s="29" t="s">
        <v>14</v>
      </c>
      <c r="K62" s="30">
        <f>SUM(B63:H64)</f>
        <v>3184</v>
      </c>
    </row>
    <row r="63">
      <c r="A63" s="31" t="s">
        <v>14</v>
      </c>
      <c r="B63" s="39">
        <v>310.0</v>
      </c>
      <c r="C63" s="39">
        <v>273.0</v>
      </c>
      <c r="D63" s="39"/>
      <c r="E63" s="39">
        <v>307.0</v>
      </c>
      <c r="F63" s="39">
        <v>198.0</v>
      </c>
      <c r="G63" s="39">
        <v>279.0</v>
      </c>
      <c r="H63" s="39">
        <v>140.0</v>
      </c>
      <c r="I63" s="25"/>
      <c r="J63" s="33" t="s">
        <v>15</v>
      </c>
      <c r="K63" s="34">
        <f>K61/K62</f>
        <v>2.793627513</v>
      </c>
    </row>
    <row r="64">
      <c r="A64" s="20"/>
      <c r="B64" s="39"/>
      <c r="C64" s="39">
        <v>341.0</v>
      </c>
      <c r="D64" s="39">
        <v>489.0</v>
      </c>
      <c r="E64" s="39">
        <v>103.0</v>
      </c>
      <c r="F64" s="39">
        <v>255.0</v>
      </c>
      <c r="G64" s="39"/>
      <c r="H64" s="39">
        <v>489.0</v>
      </c>
      <c r="I64" s="3"/>
      <c r="J64" s="3"/>
      <c r="K64" s="3"/>
    </row>
  </sheetData>
  <mergeCells count="9">
    <mergeCell ref="A56:A57"/>
    <mergeCell ref="A63:A64"/>
    <mergeCell ref="A7:A8"/>
    <mergeCell ref="A14:A15"/>
    <mergeCell ref="A21:A22"/>
    <mergeCell ref="A28:A29"/>
    <mergeCell ref="A35:A36"/>
    <mergeCell ref="A42:A43"/>
    <mergeCell ref="A49:A50"/>
  </mergeCells>
  <conditionalFormatting sqref="K6">
    <cfRule type="notContainsBlanks" dxfId="0" priority="1">
      <formula>LEN(TRIM(K6))&gt;0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19.75"/>
    <col customWidth="1" min="3" max="3" width="16.88"/>
    <col customWidth="1" min="4" max="4" width="18.0"/>
    <col customWidth="1" min="5" max="5" width="16.75"/>
    <col customWidth="1" min="6" max="7" width="17.0"/>
    <col customWidth="1" min="8" max="8" width="16.63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>
        <v>9.0</v>
      </c>
      <c r="M1" s="4" t="s">
        <v>2</v>
      </c>
      <c r="N1" s="4">
        <v>1.0</v>
      </c>
    </row>
    <row r="2">
      <c r="A2" s="3"/>
      <c r="B2" s="3"/>
      <c r="C2" s="3"/>
      <c r="D2" s="3"/>
      <c r="E2" s="3"/>
      <c r="F2" s="3"/>
      <c r="G2" s="3"/>
      <c r="H2" s="3"/>
      <c r="I2" s="3"/>
      <c r="J2" s="4" t="s">
        <v>3</v>
      </c>
    </row>
    <row r="3">
      <c r="A3" s="5"/>
      <c r="B3" s="5"/>
      <c r="C3" s="5"/>
      <c r="D3" s="5"/>
      <c r="E3" s="5"/>
      <c r="F3" s="5"/>
      <c r="G3" s="5"/>
      <c r="H3" s="5"/>
      <c r="I3" s="3"/>
    </row>
    <row r="4">
      <c r="A4" s="6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3"/>
      <c r="J4" s="8"/>
    </row>
    <row r="5">
      <c r="A5" s="9" t="s">
        <v>12</v>
      </c>
      <c r="B5" s="10">
        <v>761.88</v>
      </c>
      <c r="C5" s="10">
        <v>175.0</v>
      </c>
      <c r="D5" s="10">
        <v>203.06</v>
      </c>
      <c r="E5" s="10">
        <v>1157.7</v>
      </c>
      <c r="F5" s="10">
        <v>1130.28</v>
      </c>
      <c r="G5" s="10">
        <v>727.09</v>
      </c>
      <c r="H5" s="10">
        <v>649.18</v>
      </c>
      <c r="I5" s="11"/>
      <c r="J5" s="12" t="s">
        <v>13</v>
      </c>
      <c r="K5" s="13">
        <f>SUM(B5:H6)</f>
        <v>9478.622</v>
      </c>
    </row>
    <row r="6">
      <c r="A6" s="14" t="s">
        <v>13</v>
      </c>
      <c r="B6" s="10"/>
      <c r="C6" s="10">
        <v>900.0</v>
      </c>
      <c r="D6" s="10">
        <v>924.72</v>
      </c>
      <c r="E6" s="10">
        <v>785.502</v>
      </c>
      <c r="F6" s="10">
        <v>850.49</v>
      </c>
      <c r="G6" s="10">
        <v>690.25</v>
      </c>
      <c r="H6" s="10">
        <v>523.47</v>
      </c>
      <c r="I6" s="11"/>
      <c r="J6" s="15" t="s">
        <v>14</v>
      </c>
      <c r="K6" s="16">
        <f>sum(B7:H8)</f>
        <v>3683</v>
      </c>
    </row>
    <row r="7">
      <c r="A7" s="17" t="s">
        <v>14</v>
      </c>
      <c r="B7" s="14">
        <v>368.0</v>
      </c>
      <c r="C7" s="14"/>
      <c r="D7" s="14">
        <v>41.0</v>
      </c>
      <c r="E7" s="14">
        <v>520.0</v>
      </c>
      <c r="F7" s="14">
        <v>435.0</v>
      </c>
      <c r="G7" s="14">
        <v>243.0</v>
      </c>
      <c r="H7" s="14">
        <v>259.0</v>
      </c>
      <c r="I7" s="11"/>
      <c r="J7" s="18" t="s">
        <v>15</v>
      </c>
      <c r="K7" s="19">
        <f>K5/K6</f>
        <v>2.573614445</v>
      </c>
    </row>
    <row r="8">
      <c r="A8" s="20"/>
      <c r="B8" s="14"/>
      <c r="C8" s="14">
        <v>298.0</v>
      </c>
      <c r="D8" s="14">
        <v>288.0</v>
      </c>
      <c r="E8" s="14">
        <v>382.0</v>
      </c>
      <c r="F8" s="14">
        <v>405.0</v>
      </c>
      <c r="G8" s="14">
        <v>305.0</v>
      </c>
      <c r="H8" s="14">
        <v>139.0</v>
      </c>
      <c r="I8" s="3"/>
      <c r="J8" s="21"/>
    </row>
    <row r="9">
      <c r="A9" s="3"/>
      <c r="B9" s="3"/>
      <c r="C9" s="3"/>
      <c r="D9" s="3"/>
      <c r="E9" s="3"/>
      <c r="F9" s="3"/>
      <c r="G9" s="3"/>
      <c r="H9" s="3"/>
      <c r="I9" s="3"/>
    </row>
    <row r="10">
      <c r="A10" s="5"/>
      <c r="B10" s="5"/>
      <c r="C10" s="5"/>
      <c r="D10" s="5"/>
      <c r="E10" s="5"/>
      <c r="F10" s="5"/>
      <c r="G10" s="5"/>
      <c r="H10" s="5"/>
      <c r="I10" s="3"/>
    </row>
    <row r="11">
      <c r="A11" s="22" t="s">
        <v>4</v>
      </c>
      <c r="B11" s="23" t="s">
        <v>5</v>
      </c>
      <c r="C11" s="23" t="s">
        <v>6</v>
      </c>
      <c r="D11" s="23" t="s">
        <v>7</v>
      </c>
      <c r="E11" s="23" t="s">
        <v>8</v>
      </c>
      <c r="F11" s="23" t="s">
        <v>9</v>
      </c>
      <c r="G11" s="23" t="s">
        <v>10</v>
      </c>
      <c r="H11" s="23" t="s">
        <v>11</v>
      </c>
      <c r="I11" s="3"/>
      <c r="J11" s="3"/>
      <c r="K11" s="3"/>
    </row>
    <row r="12">
      <c r="A12" s="9" t="s">
        <v>16</v>
      </c>
      <c r="B12" s="10" t="s">
        <v>17</v>
      </c>
      <c r="C12" s="10">
        <v>695.29</v>
      </c>
      <c r="D12" s="10">
        <v>815.53</v>
      </c>
      <c r="E12" s="10">
        <v>956.02</v>
      </c>
      <c r="F12" s="10">
        <v>498.78</v>
      </c>
      <c r="G12" s="10">
        <v>1214.3</v>
      </c>
      <c r="H12" s="10">
        <v>768.31</v>
      </c>
      <c r="I12" s="25"/>
      <c r="J12" s="26" t="s">
        <v>13</v>
      </c>
      <c r="K12" s="27">
        <f>SUM(B12:H13)</f>
        <v>7967.58</v>
      </c>
    </row>
    <row r="13">
      <c r="A13" s="28" t="s">
        <v>13</v>
      </c>
      <c r="B13" s="10"/>
      <c r="C13" s="10"/>
      <c r="D13" s="10">
        <v>911.73</v>
      </c>
      <c r="E13" s="10">
        <v>700.0</v>
      </c>
      <c r="F13" s="10">
        <v>1407.62</v>
      </c>
      <c r="G13" s="10"/>
      <c r="H13" s="10"/>
      <c r="I13" s="25"/>
      <c r="J13" s="29" t="s">
        <v>14</v>
      </c>
      <c r="K13" s="30">
        <f>SUM(B14:H15)</f>
        <v>3241</v>
      </c>
    </row>
    <row r="14">
      <c r="A14" s="31" t="s">
        <v>14</v>
      </c>
      <c r="B14" s="32"/>
      <c r="C14" s="32">
        <v>243.0</v>
      </c>
      <c r="D14" s="32">
        <v>364.0</v>
      </c>
      <c r="E14" s="32">
        <v>393.0</v>
      </c>
      <c r="F14" s="32">
        <v>220.0</v>
      </c>
      <c r="G14" s="32">
        <v>526.0</v>
      </c>
      <c r="H14" s="32">
        <v>370.0</v>
      </c>
      <c r="I14" s="25"/>
      <c r="J14" s="33" t="s">
        <v>15</v>
      </c>
      <c r="K14" s="34">
        <f>K12/K13</f>
        <v>2.458370873</v>
      </c>
    </row>
    <row r="15">
      <c r="A15" s="20"/>
      <c r="B15" s="32"/>
      <c r="C15" s="32"/>
      <c r="D15" s="32">
        <v>320.0</v>
      </c>
      <c r="E15" s="32">
        <v>207.0</v>
      </c>
      <c r="F15" s="32">
        <v>598.0</v>
      </c>
      <c r="G15" s="32"/>
      <c r="H15" s="32"/>
      <c r="I15" s="3"/>
      <c r="J15" s="3"/>
      <c r="K15" s="3"/>
    </row>
    <row r="18">
      <c r="A18" s="22" t="s">
        <v>4</v>
      </c>
      <c r="B18" s="23" t="s">
        <v>5</v>
      </c>
      <c r="C18" s="23" t="s">
        <v>6</v>
      </c>
      <c r="D18" s="23" t="s">
        <v>7</v>
      </c>
      <c r="E18" s="23" t="s">
        <v>8</v>
      </c>
      <c r="F18" s="23" t="s">
        <v>9</v>
      </c>
      <c r="G18" s="23" t="s">
        <v>10</v>
      </c>
      <c r="H18" s="23" t="s">
        <v>11</v>
      </c>
      <c r="I18" s="3"/>
      <c r="J18" s="3"/>
      <c r="K18" s="3"/>
    </row>
    <row r="19">
      <c r="A19" s="9" t="s">
        <v>18</v>
      </c>
      <c r="B19" s="10">
        <v>1051.2</v>
      </c>
      <c r="C19" s="10">
        <v>932.95</v>
      </c>
      <c r="D19" s="10">
        <v>1107.65</v>
      </c>
      <c r="E19" s="10">
        <v>592.45</v>
      </c>
      <c r="F19" s="10">
        <v>772.05</v>
      </c>
      <c r="G19" s="10">
        <v>777.85</v>
      </c>
      <c r="H19" s="10">
        <v>2282.8</v>
      </c>
      <c r="I19" s="35"/>
      <c r="J19" s="26" t="s">
        <v>13</v>
      </c>
      <c r="K19" s="27">
        <f>SUM(B19:H20)</f>
        <v>11024.6</v>
      </c>
    </row>
    <row r="20">
      <c r="A20" s="28" t="s">
        <v>13</v>
      </c>
      <c r="B20" s="10"/>
      <c r="C20" s="10">
        <v>712.31</v>
      </c>
      <c r="D20" s="10">
        <v>839.87</v>
      </c>
      <c r="E20" s="10">
        <v>484.19</v>
      </c>
      <c r="F20" s="10">
        <v>726.21</v>
      </c>
      <c r="G20" s="10">
        <v>745.07</v>
      </c>
      <c r="H20" s="10"/>
      <c r="I20" s="25"/>
      <c r="J20" s="29" t="s">
        <v>14</v>
      </c>
      <c r="K20" s="30">
        <f>SUM(B21:H22)</f>
        <v>4534</v>
      </c>
    </row>
    <row r="21">
      <c r="A21" s="31" t="s">
        <v>14</v>
      </c>
      <c r="B21" s="32">
        <v>438.0</v>
      </c>
      <c r="C21" s="32">
        <v>435.0</v>
      </c>
      <c r="D21" s="32">
        <v>449.0</v>
      </c>
      <c r="E21" s="32">
        <v>171.0</v>
      </c>
      <c r="F21" s="32">
        <v>309.0</v>
      </c>
      <c r="G21" s="32">
        <v>254.0</v>
      </c>
      <c r="H21" s="32">
        <v>1086.0</v>
      </c>
      <c r="I21" s="25"/>
      <c r="J21" s="33" t="s">
        <v>15</v>
      </c>
      <c r="K21" s="34">
        <f>K19/K20</f>
        <v>2.431539479</v>
      </c>
    </row>
    <row r="22">
      <c r="A22" s="20"/>
      <c r="B22" s="32"/>
      <c r="C22" s="32">
        <v>257.0</v>
      </c>
      <c r="D22" s="32">
        <v>414.0</v>
      </c>
      <c r="E22" s="32">
        <v>134.0</v>
      </c>
      <c r="F22" s="32">
        <v>289.0</v>
      </c>
      <c r="G22" s="32">
        <v>298.0</v>
      </c>
      <c r="H22" s="32"/>
      <c r="I22" s="3"/>
      <c r="J22" s="3"/>
      <c r="K22" s="3"/>
    </row>
    <row r="25">
      <c r="A25" s="22" t="s">
        <v>4</v>
      </c>
      <c r="B25" s="23" t="s">
        <v>5</v>
      </c>
      <c r="C25" s="23" t="s">
        <v>6</v>
      </c>
      <c r="D25" s="23" t="s">
        <v>7</v>
      </c>
      <c r="E25" s="23" t="s">
        <v>8</v>
      </c>
      <c r="F25" s="23" t="s">
        <v>9</v>
      </c>
      <c r="G25" s="23" t="s">
        <v>10</v>
      </c>
      <c r="H25" s="23" t="s">
        <v>11</v>
      </c>
      <c r="I25" s="3"/>
      <c r="J25" s="3"/>
      <c r="K25" s="3"/>
    </row>
    <row r="26">
      <c r="A26" s="37" t="s">
        <v>19</v>
      </c>
      <c r="B26" s="10">
        <v>567.97</v>
      </c>
      <c r="C26" s="10">
        <v>714.6</v>
      </c>
      <c r="D26" s="10">
        <v>800.0</v>
      </c>
      <c r="E26" s="10">
        <v>888.05</v>
      </c>
      <c r="F26" s="10">
        <v>1064.47</v>
      </c>
      <c r="G26" s="10">
        <v>865.44</v>
      </c>
      <c r="H26" s="10">
        <v>744.17</v>
      </c>
      <c r="I26" s="25"/>
      <c r="J26" s="26" t="s">
        <v>13</v>
      </c>
      <c r="K26" s="27">
        <f>SUM(B26:H27)</f>
        <v>8323.771</v>
      </c>
    </row>
    <row r="27">
      <c r="A27" s="28" t="s">
        <v>13</v>
      </c>
      <c r="B27" s="10"/>
      <c r="C27" s="10">
        <v>670.84</v>
      </c>
      <c r="D27" s="10">
        <v>1250.0</v>
      </c>
      <c r="E27" s="10"/>
      <c r="F27" s="10"/>
      <c r="G27" s="10">
        <v>758.231</v>
      </c>
      <c r="H27" s="10"/>
      <c r="I27" s="25"/>
      <c r="J27" s="29" t="s">
        <v>14</v>
      </c>
      <c r="K27" s="30">
        <f>SUM(B28:H29)</f>
        <v>3188</v>
      </c>
    </row>
    <row r="28">
      <c r="A28" s="31" t="s">
        <v>14</v>
      </c>
      <c r="B28" s="32">
        <v>134.0</v>
      </c>
      <c r="C28" s="32">
        <v>309.0</v>
      </c>
      <c r="D28" s="32">
        <v>298.0</v>
      </c>
      <c r="E28" s="32">
        <v>280.0</v>
      </c>
      <c r="F28" s="32">
        <v>480.0</v>
      </c>
      <c r="G28" s="32">
        <v>289.0</v>
      </c>
      <c r="H28" s="32">
        <v>338.0</v>
      </c>
      <c r="I28" s="25"/>
      <c r="J28" s="33" t="s">
        <v>15</v>
      </c>
      <c r="K28" s="34">
        <f>K26/K27</f>
        <v>2.610969573</v>
      </c>
    </row>
    <row r="29">
      <c r="A29" s="20"/>
      <c r="B29" s="32"/>
      <c r="C29" s="32">
        <v>279.0</v>
      </c>
      <c r="D29" s="32">
        <v>433.0</v>
      </c>
      <c r="E29" s="32"/>
      <c r="F29" s="32"/>
      <c r="G29" s="32">
        <v>348.0</v>
      </c>
      <c r="H29" s="32"/>
      <c r="I29" s="3"/>
      <c r="J29" s="3"/>
      <c r="K29" s="3"/>
    </row>
    <row r="32">
      <c r="A32" s="22" t="s">
        <v>4</v>
      </c>
      <c r="B32" s="23" t="s">
        <v>5</v>
      </c>
      <c r="C32" s="23" t="s">
        <v>6</v>
      </c>
      <c r="D32" s="23" t="s">
        <v>7</v>
      </c>
      <c r="E32" s="23" t="s">
        <v>8</v>
      </c>
      <c r="F32" s="23" t="s">
        <v>9</v>
      </c>
      <c r="G32" s="23" t="s">
        <v>10</v>
      </c>
      <c r="H32" s="23" t="s">
        <v>11</v>
      </c>
      <c r="I32" s="3"/>
      <c r="J32" s="3"/>
      <c r="K32" s="3"/>
    </row>
    <row r="33">
      <c r="A33" s="37" t="s">
        <v>20</v>
      </c>
      <c r="B33" s="10" t="s">
        <v>24</v>
      </c>
      <c r="C33" s="24" t="s">
        <v>29</v>
      </c>
      <c r="D33" s="10">
        <v>4356.68</v>
      </c>
      <c r="E33" s="10" t="s">
        <v>24</v>
      </c>
      <c r="F33" s="10">
        <v>2460.97</v>
      </c>
      <c r="G33" s="10" t="s">
        <v>24</v>
      </c>
      <c r="H33" s="24" t="s">
        <v>36</v>
      </c>
      <c r="I33" s="25"/>
      <c r="J33" s="26" t="s">
        <v>13</v>
      </c>
      <c r="K33" s="27">
        <f>SUM(B33:H34)</f>
        <v>6817.65</v>
      </c>
    </row>
    <row r="34">
      <c r="A34" s="28" t="s">
        <v>13</v>
      </c>
      <c r="B34" s="10"/>
      <c r="C34" s="10"/>
      <c r="D34" s="10"/>
      <c r="E34" s="10"/>
      <c r="F34" s="10"/>
      <c r="G34" s="10"/>
      <c r="H34" s="10"/>
      <c r="I34" s="25"/>
      <c r="J34" s="29" t="s">
        <v>14</v>
      </c>
      <c r="K34" s="30">
        <f>SUM(B35:H36)</f>
        <v>3246</v>
      </c>
    </row>
    <row r="35">
      <c r="A35" s="31" t="s">
        <v>14</v>
      </c>
      <c r="B35" s="32"/>
      <c r="C35" s="32"/>
      <c r="D35" s="32">
        <v>2115.0</v>
      </c>
      <c r="E35" s="32"/>
      <c r="F35" s="32">
        <v>1131.0</v>
      </c>
      <c r="G35" s="32"/>
      <c r="H35" s="32"/>
      <c r="I35" s="25"/>
      <c r="J35" s="33" t="s">
        <v>15</v>
      </c>
      <c r="K35" s="34">
        <f>K33/K34</f>
        <v>2.100323475</v>
      </c>
    </row>
    <row r="36">
      <c r="A36" s="20"/>
      <c r="B36" s="32"/>
      <c r="C36" s="32"/>
      <c r="D36" s="32"/>
      <c r="E36" s="32"/>
      <c r="F36" s="32"/>
      <c r="G36" s="32"/>
      <c r="H36" s="32"/>
      <c r="I36" s="3"/>
      <c r="J36" s="3"/>
      <c r="K36" s="3"/>
    </row>
    <row r="39">
      <c r="A39" s="22" t="s">
        <v>4</v>
      </c>
      <c r="B39" s="23" t="s">
        <v>5</v>
      </c>
      <c r="C39" s="23" t="s">
        <v>6</v>
      </c>
      <c r="D39" s="23" t="s">
        <v>7</v>
      </c>
      <c r="E39" s="23" t="s">
        <v>8</v>
      </c>
      <c r="F39" s="23" t="s">
        <v>9</v>
      </c>
      <c r="G39" s="23" t="s">
        <v>10</v>
      </c>
      <c r="H39" s="23" t="s">
        <v>11</v>
      </c>
      <c r="I39" s="3"/>
      <c r="J39" s="3"/>
      <c r="K39" s="3"/>
    </row>
    <row r="40">
      <c r="A40" s="37"/>
      <c r="B40" s="10" t="s">
        <v>17</v>
      </c>
      <c r="C40" s="10" t="s">
        <v>17</v>
      </c>
      <c r="D40" s="10" t="s">
        <v>17</v>
      </c>
      <c r="E40" s="10" t="s">
        <v>17</v>
      </c>
      <c r="F40" s="10" t="s">
        <v>17</v>
      </c>
      <c r="G40" s="10" t="s">
        <v>17</v>
      </c>
      <c r="H40" s="10" t="s">
        <v>17</v>
      </c>
      <c r="I40" s="25"/>
      <c r="J40" s="26" t="s">
        <v>13</v>
      </c>
      <c r="K40" s="27">
        <f>SUM(B40:H41)</f>
        <v>0</v>
      </c>
    </row>
    <row r="41">
      <c r="A41" s="28" t="s">
        <v>13</v>
      </c>
      <c r="B41" s="10"/>
      <c r="C41" s="10"/>
      <c r="D41" s="10"/>
      <c r="E41" s="10"/>
      <c r="F41" s="10"/>
      <c r="G41" s="10"/>
      <c r="H41" s="10"/>
      <c r="I41" s="25"/>
      <c r="J41" s="29" t="s">
        <v>14</v>
      </c>
      <c r="K41" s="30">
        <f>SUM(B42:H43)</f>
        <v>0</v>
      </c>
    </row>
    <row r="42">
      <c r="A42" s="31" t="s">
        <v>14</v>
      </c>
      <c r="B42" s="32"/>
      <c r="C42" s="32"/>
      <c r="D42" s="32"/>
      <c r="E42" s="32"/>
      <c r="F42" s="32"/>
      <c r="G42" s="32"/>
      <c r="H42" s="32"/>
      <c r="I42" s="25"/>
      <c r="J42" s="33" t="s">
        <v>15</v>
      </c>
      <c r="K42" s="36" t="str">
        <f>K40/K41</f>
        <v>#DIV/0!</v>
      </c>
    </row>
    <row r="43">
      <c r="A43" s="20"/>
      <c r="B43" s="32"/>
      <c r="C43" s="32"/>
      <c r="D43" s="32"/>
      <c r="E43" s="32"/>
      <c r="F43" s="32"/>
      <c r="G43" s="32"/>
      <c r="H43" s="32"/>
      <c r="I43" s="3"/>
      <c r="J43" s="3"/>
      <c r="K43" s="3"/>
    </row>
    <row r="46">
      <c r="A46" s="22" t="s">
        <v>4</v>
      </c>
      <c r="B46" s="23" t="s">
        <v>5</v>
      </c>
      <c r="C46" s="23" t="s">
        <v>6</v>
      </c>
      <c r="D46" s="23" t="s">
        <v>7</v>
      </c>
      <c r="E46" s="23" t="s">
        <v>8</v>
      </c>
      <c r="F46" s="23" t="s">
        <v>9</v>
      </c>
      <c r="G46" s="23" t="s">
        <v>10</v>
      </c>
      <c r="H46" s="23" t="s">
        <v>11</v>
      </c>
      <c r="I46" s="3"/>
      <c r="J46" s="3"/>
      <c r="K46" s="3"/>
    </row>
    <row r="47">
      <c r="A47" s="37"/>
      <c r="B47" s="10" t="s">
        <v>17</v>
      </c>
      <c r="C47" s="10" t="s">
        <v>17</v>
      </c>
      <c r="D47" s="10" t="s">
        <v>17</v>
      </c>
      <c r="E47" s="10" t="s">
        <v>17</v>
      </c>
      <c r="F47" s="10" t="s">
        <v>17</v>
      </c>
      <c r="G47" s="10" t="s">
        <v>17</v>
      </c>
      <c r="H47" s="10" t="s">
        <v>17</v>
      </c>
      <c r="I47" s="25"/>
      <c r="J47" s="26" t="s">
        <v>13</v>
      </c>
      <c r="K47" s="27">
        <f>SUM(B47:H48)</f>
        <v>0</v>
      </c>
    </row>
    <row r="48">
      <c r="A48" s="28" t="s">
        <v>13</v>
      </c>
      <c r="B48" s="10"/>
      <c r="C48" s="10"/>
      <c r="D48" s="10"/>
      <c r="E48" s="10"/>
      <c r="F48" s="10"/>
      <c r="G48" s="10"/>
      <c r="H48" s="10"/>
      <c r="I48" s="25"/>
      <c r="J48" s="29" t="s">
        <v>14</v>
      </c>
      <c r="K48" s="30">
        <f>SUM(B49:H50)</f>
        <v>0</v>
      </c>
    </row>
    <row r="49">
      <c r="A49" s="31" t="s">
        <v>14</v>
      </c>
      <c r="B49" s="32"/>
      <c r="C49" s="32"/>
      <c r="D49" s="32"/>
      <c r="E49" s="32"/>
      <c r="F49" s="32"/>
      <c r="G49" s="32"/>
      <c r="H49" s="32"/>
      <c r="I49" s="25"/>
      <c r="J49" s="33" t="s">
        <v>15</v>
      </c>
      <c r="K49" s="36" t="str">
        <f>K47/K48</f>
        <v>#DIV/0!</v>
      </c>
    </row>
    <row r="50">
      <c r="A50" s="20"/>
      <c r="B50" s="32"/>
      <c r="C50" s="32"/>
      <c r="D50" s="32"/>
      <c r="E50" s="32"/>
      <c r="F50" s="32"/>
      <c r="G50" s="32"/>
      <c r="H50" s="32"/>
      <c r="I50" s="3"/>
      <c r="J50" s="3"/>
      <c r="K50" s="3"/>
    </row>
    <row r="53">
      <c r="A53" s="22" t="s">
        <v>4</v>
      </c>
      <c r="B53" s="23" t="s">
        <v>5</v>
      </c>
      <c r="C53" s="23" t="s">
        <v>6</v>
      </c>
      <c r="D53" s="23" t="s">
        <v>7</v>
      </c>
      <c r="E53" s="23" t="s">
        <v>8</v>
      </c>
      <c r="F53" s="23" t="s">
        <v>9</v>
      </c>
      <c r="G53" s="23" t="s">
        <v>10</v>
      </c>
      <c r="H53" s="23" t="s">
        <v>11</v>
      </c>
      <c r="I53" s="3"/>
      <c r="J53" s="3"/>
      <c r="K53" s="3"/>
    </row>
    <row r="54">
      <c r="A54" s="37" t="s">
        <v>32</v>
      </c>
      <c r="B54" s="10">
        <v>484.5</v>
      </c>
      <c r="C54" s="10">
        <v>829.92</v>
      </c>
      <c r="D54" s="10">
        <v>175.0</v>
      </c>
      <c r="E54" s="10" t="s">
        <v>37</v>
      </c>
      <c r="F54" s="10">
        <v>3994.65</v>
      </c>
      <c r="G54" s="10" t="s">
        <v>24</v>
      </c>
      <c r="H54" s="10" t="s">
        <v>24</v>
      </c>
      <c r="I54" s="25"/>
      <c r="J54" s="26" t="s">
        <v>13</v>
      </c>
      <c r="K54" s="27">
        <f>SUM(B54:H55)</f>
        <v>7516.85</v>
      </c>
    </row>
    <row r="55">
      <c r="A55" s="28" t="s">
        <v>13</v>
      </c>
      <c r="B55" s="10"/>
      <c r="C55" s="10">
        <v>747.29</v>
      </c>
      <c r="D55" s="10">
        <v>1285.49</v>
      </c>
      <c r="E55" s="10"/>
      <c r="F55" s="10"/>
      <c r="G55" s="10"/>
      <c r="H55" s="10"/>
      <c r="I55" s="25"/>
      <c r="J55" s="29" t="s">
        <v>14</v>
      </c>
      <c r="K55" s="30">
        <f>SUM(B56:H57)</f>
        <v>4001</v>
      </c>
    </row>
    <row r="56">
      <c r="A56" s="31" t="s">
        <v>14</v>
      </c>
      <c r="B56" s="32">
        <v>167.0</v>
      </c>
      <c r="C56" s="32">
        <v>390.0</v>
      </c>
      <c r="D56" s="32"/>
      <c r="E56" s="32"/>
      <c r="F56" s="32">
        <v>2304.0</v>
      </c>
      <c r="G56" s="32"/>
      <c r="H56" s="32"/>
      <c r="I56" s="25"/>
      <c r="J56" s="33" t="s">
        <v>15</v>
      </c>
      <c r="K56" s="34">
        <f>K54/K55</f>
        <v>1.878742814</v>
      </c>
    </row>
    <row r="57">
      <c r="A57" s="20"/>
      <c r="B57" s="32"/>
      <c r="C57" s="32">
        <v>354.0</v>
      </c>
      <c r="D57" s="32">
        <v>706.0</v>
      </c>
      <c r="E57" s="32"/>
      <c r="F57" s="32">
        <v>80.0</v>
      </c>
      <c r="G57" s="32"/>
      <c r="H57" s="32"/>
      <c r="I57" s="3"/>
      <c r="J57" s="3"/>
      <c r="K57" s="3"/>
    </row>
    <row r="60">
      <c r="A60" s="22" t="s">
        <v>4</v>
      </c>
      <c r="B60" s="23" t="s">
        <v>5</v>
      </c>
      <c r="C60" s="23" t="s">
        <v>6</v>
      </c>
      <c r="D60" s="23" t="s">
        <v>7</v>
      </c>
      <c r="E60" s="23" t="s">
        <v>8</v>
      </c>
      <c r="F60" s="23" t="s">
        <v>9</v>
      </c>
      <c r="G60" s="23" t="s">
        <v>10</v>
      </c>
      <c r="H60" s="23" t="s">
        <v>11</v>
      </c>
      <c r="I60" s="3"/>
      <c r="J60" s="3"/>
      <c r="K60" s="3"/>
    </row>
    <row r="61">
      <c r="A61" s="37" t="s">
        <v>35</v>
      </c>
      <c r="B61" s="38" t="s">
        <v>38</v>
      </c>
      <c r="C61" s="38" t="s">
        <v>38</v>
      </c>
      <c r="D61" s="38">
        <v>1003.72</v>
      </c>
      <c r="E61" s="38">
        <v>654.15</v>
      </c>
      <c r="F61" s="38" t="s">
        <v>39</v>
      </c>
      <c r="G61" s="38">
        <v>541.15</v>
      </c>
      <c r="H61" s="38">
        <v>634.09</v>
      </c>
      <c r="I61" s="25"/>
      <c r="J61" s="26" t="s">
        <v>13</v>
      </c>
      <c r="K61" s="27">
        <f>SUM(B61:H62)</f>
        <v>4343.9</v>
      </c>
    </row>
    <row r="62">
      <c r="A62" s="28" t="s">
        <v>13</v>
      </c>
      <c r="B62" s="38"/>
      <c r="C62" s="38"/>
      <c r="D62" s="38"/>
      <c r="E62" s="38">
        <v>752.77</v>
      </c>
      <c r="F62" s="38"/>
      <c r="G62" s="38"/>
      <c r="H62" s="38">
        <v>758.02</v>
      </c>
      <c r="I62" s="25"/>
      <c r="J62" s="29" t="s">
        <v>14</v>
      </c>
      <c r="K62" s="30">
        <f>SUM(B63:H64)</f>
        <v>1494</v>
      </c>
    </row>
    <row r="63">
      <c r="A63" s="31" t="s">
        <v>14</v>
      </c>
      <c r="B63" s="39"/>
      <c r="C63" s="39"/>
      <c r="D63" s="39">
        <v>265.0</v>
      </c>
      <c r="E63" s="39">
        <v>307.0</v>
      </c>
      <c r="F63" s="39"/>
      <c r="G63" s="39">
        <v>258.0</v>
      </c>
      <c r="H63" s="39">
        <v>198.0</v>
      </c>
      <c r="I63" s="25"/>
      <c r="J63" s="33" t="s">
        <v>15</v>
      </c>
      <c r="K63" s="34">
        <f>K61/K62</f>
        <v>2.907563588</v>
      </c>
    </row>
    <row r="64">
      <c r="A64" s="20"/>
      <c r="B64" s="39"/>
      <c r="C64" s="39"/>
      <c r="D64" s="39"/>
      <c r="E64" s="39">
        <v>252.0</v>
      </c>
      <c r="F64" s="39"/>
      <c r="G64" s="39"/>
      <c r="H64" s="39">
        <v>214.0</v>
      </c>
      <c r="I64" s="3"/>
      <c r="J64" s="3"/>
      <c r="K64" s="3"/>
    </row>
  </sheetData>
  <mergeCells count="9">
    <mergeCell ref="A56:A57"/>
    <mergeCell ref="A63:A64"/>
    <mergeCell ref="A7:A8"/>
    <mergeCell ref="A14:A15"/>
    <mergeCell ref="A21:A22"/>
    <mergeCell ref="A28:A29"/>
    <mergeCell ref="A35:A36"/>
    <mergeCell ref="A42:A43"/>
    <mergeCell ref="A49:A50"/>
  </mergeCells>
  <conditionalFormatting sqref="K6">
    <cfRule type="notContainsBlanks" dxfId="0" priority="1">
      <formula>LEN(TRIM(K6))&gt;0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19.75"/>
    <col customWidth="1" min="3" max="3" width="16.88"/>
    <col customWidth="1" min="4" max="4" width="18.0"/>
    <col customWidth="1" min="5" max="5" width="16.75"/>
    <col customWidth="1" min="6" max="7" width="17.0"/>
    <col customWidth="1" min="8" max="8" width="16.63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>
        <v>9.0</v>
      </c>
      <c r="M1" s="4" t="s">
        <v>2</v>
      </c>
      <c r="N1" s="4">
        <v>1.0</v>
      </c>
    </row>
    <row r="2">
      <c r="A2" s="3"/>
      <c r="B2" s="3"/>
      <c r="C2" s="3"/>
      <c r="D2" s="3"/>
      <c r="E2" s="3"/>
      <c r="F2" s="3"/>
      <c r="G2" s="3"/>
      <c r="H2" s="3"/>
      <c r="I2" s="3"/>
      <c r="J2" s="4" t="s">
        <v>3</v>
      </c>
    </row>
    <row r="3">
      <c r="A3" s="5"/>
      <c r="B3" s="5"/>
      <c r="C3" s="5"/>
      <c r="D3" s="5"/>
      <c r="E3" s="5"/>
      <c r="F3" s="5"/>
      <c r="G3" s="5"/>
      <c r="H3" s="5"/>
      <c r="I3" s="3"/>
    </row>
    <row r="4">
      <c r="A4" s="6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3"/>
      <c r="J4" s="8"/>
    </row>
    <row r="5">
      <c r="A5" s="9" t="s">
        <v>12</v>
      </c>
      <c r="B5" s="10">
        <v>1059.6</v>
      </c>
      <c r="C5" s="10" t="s">
        <v>40</v>
      </c>
      <c r="D5" s="10">
        <v>175.0</v>
      </c>
      <c r="E5" s="10">
        <v>996.63</v>
      </c>
      <c r="F5" s="10">
        <v>618.37</v>
      </c>
      <c r="G5" s="10">
        <v>500.2</v>
      </c>
      <c r="H5" s="10">
        <v>1100.0</v>
      </c>
      <c r="I5" s="11"/>
      <c r="J5" s="12" t="s">
        <v>13</v>
      </c>
      <c r="K5" s="13">
        <f>SUM(B5:H6)</f>
        <v>5949.8</v>
      </c>
    </row>
    <row r="6">
      <c r="A6" s="14" t="s">
        <v>13</v>
      </c>
      <c r="B6" s="10"/>
      <c r="C6" s="10"/>
      <c r="D6" s="10"/>
      <c r="E6" s="10"/>
      <c r="F6" s="10">
        <v>900.8</v>
      </c>
      <c r="G6" s="10">
        <v>599.2</v>
      </c>
      <c r="H6" s="10"/>
      <c r="I6" s="11"/>
      <c r="J6" s="15" t="s">
        <v>14</v>
      </c>
      <c r="K6" s="16">
        <f>sum(B7:H8)</f>
        <v>2386</v>
      </c>
    </row>
    <row r="7">
      <c r="A7" s="17" t="s">
        <v>14</v>
      </c>
      <c r="B7" s="14">
        <v>520.0</v>
      </c>
      <c r="C7" s="14"/>
      <c r="D7" s="14"/>
      <c r="E7" s="14">
        <v>474.0</v>
      </c>
      <c r="F7" s="14">
        <v>130.0</v>
      </c>
      <c r="G7" s="14">
        <v>164.0</v>
      </c>
      <c r="H7" s="14">
        <v>419.0</v>
      </c>
      <c r="I7" s="11"/>
      <c r="J7" s="18" t="s">
        <v>15</v>
      </c>
      <c r="K7" s="19">
        <f>K5/K6</f>
        <v>2.493629505</v>
      </c>
    </row>
    <row r="8">
      <c r="A8" s="20"/>
      <c r="B8" s="14"/>
      <c r="C8" s="14"/>
      <c r="D8" s="14"/>
      <c r="E8" s="14"/>
      <c r="F8" s="14">
        <v>390.0</v>
      </c>
      <c r="G8" s="14">
        <v>289.0</v>
      </c>
      <c r="H8" s="14"/>
      <c r="I8" s="3"/>
      <c r="J8" s="21"/>
    </row>
    <row r="9">
      <c r="A9" s="3"/>
      <c r="B9" s="3"/>
      <c r="C9" s="3"/>
      <c r="D9" s="3"/>
      <c r="E9" s="3"/>
      <c r="F9" s="3"/>
      <c r="G9" s="3"/>
      <c r="H9" s="3"/>
      <c r="I9" s="3"/>
    </row>
    <row r="10">
      <c r="A10" s="5"/>
      <c r="B10" s="5"/>
      <c r="C10" s="5"/>
      <c r="D10" s="5"/>
      <c r="E10" s="5"/>
      <c r="F10" s="5"/>
      <c r="G10" s="5"/>
      <c r="H10" s="5"/>
      <c r="I10" s="3"/>
    </row>
    <row r="11">
      <c r="A11" s="22" t="s">
        <v>4</v>
      </c>
      <c r="B11" s="23" t="s">
        <v>5</v>
      </c>
      <c r="C11" s="23" t="s">
        <v>6</v>
      </c>
      <c r="D11" s="23" t="s">
        <v>7</v>
      </c>
      <c r="E11" s="23" t="s">
        <v>8</v>
      </c>
      <c r="F11" s="23" t="s">
        <v>9</v>
      </c>
      <c r="G11" s="23" t="s">
        <v>10</v>
      </c>
      <c r="H11" s="23" t="s">
        <v>11</v>
      </c>
      <c r="I11" s="3"/>
      <c r="J11" s="3"/>
      <c r="K11" s="3"/>
    </row>
    <row r="12">
      <c r="A12" s="9" t="s">
        <v>16</v>
      </c>
      <c r="B12" s="10" t="s">
        <v>17</v>
      </c>
      <c r="C12" s="10" t="s">
        <v>17</v>
      </c>
      <c r="D12" s="10" t="s">
        <v>17</v>
      </c>
      <c r="E12" s="10" t="s">
        <v>17</v>
      </c>
      <c r="F12" s="10" t="s">
        <v>17</v>
      </c>
      <c r="G12" s="10" t="s">
        <v>17</v>
      </c>
      <c r="H12" s="10" t="s">
        <v>17</v>
      </c>
      <c r="I12" s="25"/>
      <c r="J12" s="26" t="s">
        <v>13</v>
      </c>
      <c r="K12" s="27">
        <f>SUM(B12:H13)</f>
        <v>0</v>
      </c>
    </row>
    <row r="13">
      <c r="A13" s="28" t="s">
        <v>13</v>
      </c>
      <c r="B13" s="10"/>
      <c r="C13" s="10"/>
      <c r="D13" s="10"/>
      <c r="E13" s="10"/>
      <c r="F13" s="10"/>
      <c r="G13" s="10"/>
      <c r="H13" s="10"/>
      <c r="I13" s="25"/>
      <c r="J13" s="29" t="s">
        <v>14</v>
      </c>
      <c r="K13" s="30">
        <f>SUM(B14:H15)</f>
        <v>0</v>
      </c>
    </row>
    <row r="14">
      <c r="A14" s="31" t="s">
        <v>14</v>
      </c>
      <c r="B14" s="32"/>
      <c r="C14" s="32"/>
      <c r="D14" s="32"/>
      <c r="E14" s="32"/>
      <c r="F14" s="32"/>
      <c r="G14" s="32"/>
      <c r="H14" s="32"/>
      <c r="I14" s="25"/>
      <c r="J14" s="33" t="s">
        <v>15</v>
      </c>
      <c r="K14" s="36" t="str">
        <f>K12/K13</f>
        <v>#DIV/0!</v>
      </c>
    </row>
    <row r="15">
      <c r="A15" s="20"/>
      <c r="B15" s="32"/>
      <c r="C15" s="32"/>
      <c r="D15" s="32"/>
      <c r="E15" s="32"/>
      <c r="F15" s="32"/>
      <c r="G15" s="32"/>
      <c r="H15" s="32"/>
      <c r="I15" s="3"/>
      <c r="J15" s="3"/>
      <c r="K15" s="3"/>
    </row>
    <row r="18">
      <c r="A18" s="22" t="s">
        <v>4</v>
      </c>
      <c r="B18" s="23" t="s">
        <v>5</v>
      </c>
      <c r="C18" s="23" t="s">
        <v>6</v>
      </c>
      <c r="D18" s="23" t="s">
        <v>7</v>
      </c>
      <c r="E18" s="23" t="s">
        <v>8</v>
      </c>
      <c r="F18" s="23" t="s">
        <v>9</v>
      </c>
      <c r="G18" s="23" t="s">
        <v>10</v>
      </c>
      <c r="H18" s="23" t="s">
        <v>11</v>
      </c>
      <c r="I18" s="3"/>
      <c r="J18" s="3"/>
      <c r="K18" s="3"/>
    </row>
    <row r="19">
      <c r="A19" s="9" t="s">
        <v>18</v>
      </c>
      <c r="B19" s="10" t="s">
        <v>24</v>
      </c>
      <c r="C19" s="10" t="s">
        <v>24</v>
      </c>
      <c r="D19" s="10">
        <v>950.0</v>
      </c>
      <c r="E19" s="10">
        <v>988.39</v>
      </c>
      <c r="F19" s="10">
        <v>851.869</v>
      </c>
      <c r="G19" s="10" t="s">
        <v>41</v>
      </c>
      <c r="H19" s="10">
        <v>510.87</v>
      </c>
      <c r="I19" s="35"/>
      <c r="J19" s="26" t="s">
        <v>13</v>
      </c>
      <c r="K19" s="27">
        <f>SUM(B19:H20)</f>
        <v>3301.129</v>
      </c>
    </row>
    <row r="20">
      <c r="A20" s="28" t="s">
        <v>13</v>
      </c>
      <c r="B20" s="10"/>
      <c r="C20" s="10"/>
      <c r="D20" s="10" t="s">
        <v>42</v>
      </c>
      <c r="E20" s="10" t="s">
        <v>42</v>
      </c>
      <c r="F20" s="10" t="s">
        <v>42</v>
      </c>
      <c r="G20" s="10"/>
      <c r="H20" s="10"/>
      <c r="I20" s="25"/>
      <c r="J20" s="29" t="s">
        <v>14</v>
      </c>
      <c r="K20" s="30">
        <f>SUM(B21:H22)</f>
        <v>1488</v>
      </c>
    </row>
    <row r="21">
      <c r="A21" s="31" t="s">
        <v>14</v>
      </c>
      <c r="B21" s="32"/>
      <c r="C21" s="32"/>
      <c r="D21" s="32">
        <v>419.0</v>
      </c>
      <c r="E21" s="32">
        <v>491.0</v>
      </c>
      <c r="F21" s="32">
        <v>352.0</v>
      </c>
      <c r="G21" s="32"/>
      <c r="H21" s="32">
        <v>226.0</v>
      </c>
      <c r="I21" s="25"/>
      <c r="J21" s="33" t="s">
        <v>15</v>
      </c>
      <c r="K21" s="34">
        <f>K19/K20</f>
        <v>2.218500672</v>
      </c>
    </row>
    <row r="22">
      <c r="A22" s="20"/>
      <c r="B22" s="32"/>
      <c r="C22" s="32"/>
      <c r="D22" s="32"/>
      <c r="E22" s="32"/>
      <c r="F22" s="32"/>
      <c r="G22" s="32"/>
      <c r="H22" s="32"/>
      <c r="I22" s="3"/>
      <c r="J22" s="3"/>
      <c r="K22" s="3"/>
    </row>
    <row r="25">
      <c r="A25" s="22" t="s">
        <v>4</v>
      </c>
      <c r="B25" s="23" t="s">
        <v>5</v>
      </c>
      <c r="C25" s="23" t="s">
        <v>6</v>
      </c>
      <c r="D25" s="23" t="s">
        <v>7</v>
      </c>
      <c r="E25" s="23" t="s">
        <v>8</v>
      </c>
      <c r="F25" s="23" t="s">
        <v>9</v>
      </c>
      <c r="G25" s="23" t="s">
        <v>10</v>
      </c>
      <c r="H25" s="23" t="s">
        <v>11</v>
      </c>
      <c r="I25" s="3"/>
      <c r="J25" s="3"/>
      <c r="K25" s="3"/>
    </row>
    <row r="26">
      <c r="A26" s="37" t="s">
        <v>19</v>
      </c>
      <c r="B26" s="10">
        <v>992.47</v>
      </c>
      <c r="C26" s="10">
        <v>861.186</v>
      </c>
      <c r="D26" s="10">
        <v>538.61</v>
      </c>
      <c r="E26" s="10">
        <v>1053.62</v>
      </c>
      <c r="F26" s="10">
        <v>808.895</v>
      </c>
      <c r="G26" s="10" t="s">
        <v>28</v>
      </c>
      <c r="H26" s="10">
        <v>650.16</v>
      </c>
      <c r="I26" s="25"/>
      <c r="J26" s="26" t="s">
        <v>13</v>
      </c>
      <c r="K26" s="27">
        <f>SUM(B26:H27)</f>
        <v>7162.141</v>
      </c>
    </row>
    <row r="27">
      <c r="A27" s="28" t="s">
        <v>13</v>
      </c>
      <c r="B27" s="10"/>
      <c r="C27" s="10"/>
      <c r="D27" s="10"/>
      <c r="E27" s="10">
        <v>431.4</v>
      </c>
      <c r="F27" s="10">
        <v>1077.52</v>
      </c>
      <c r="G27" s="10"/>
      <c r="H27" s="10">
        <v>748.28</v>
      </c>
      <c r="I27" s="25"/>
      <c r="J27" s="29" t="s">
        <v>14</v>
      </c>
      <c r="K27" s="30">
        <f>SUM(B28:H29)</f>
        <v>2836</v>
      </c>
    </row>
    <row r="28">
      <c r="A28" s="31" t="s">
        <v>14</v>
      </c>
      <c r="B28" s="32">
        <v>474.0</v>
      </c>
      <c r="C28" s="32">
        <v>300.0</v>
      </c>
      <c r="D28" s="32">
        <v>245.0</v>
      </c>
      <c r="E28" s="32">
        <v>438.0</v>
      </c>
      <c r="F28" s="32">
        <v>357.0</v>
      </c>
      <c r="G28" s="32"/>
      <c r="H28" s="32">
        <v>206.0</v>
      </c>
      <c r="I28" s="25"/>
      <c r="J28" s="33" t="s">
        <v>15</v>
      </c>
      <c r="K28" s="34">
        <f>K26/K27</f>
        <v>2.525437588</v>
      </c>
    </row>
    <row r="29">
      <c r="A29" s="20"/>
      <c r="B29" s="32"/>
      <c r="C29" s="32"/>
      <c r="D29" s="32"/>
      <c r="E29" s="32">
        <v>115.0</v>
      </c>
      <c r="F29" s="32">
        <v>442.0</v>
      </c>
      <c r="G29" s="32"/>
      <c r="H29" s="32">
        <v>259.0</v>
      </c>
      <c r="I29" s="3"/>
      <c r="J29" s="3"/>
      <c r="K29" s="3"/>
    </row>
    <row r="32">
      <c r="A32" s="22" t="s">
        <v>4</v>
      </c>
      <c r="B32" s="23" t="s">
        <v>5</v>
      </c>
      <c r="C32" s="23" t="s">
        <v>6</v>
      </c>
      <c r="D32" s="23" t="s">
        <v>7</v>
      </c>
      <c r="E32" s="23" t="s">
        <v>8</v>
      </c>
      <c r="F32" s="23" t="s">
        <v>9</v>
      </c>
      <c r="G32" s="23" t="s">
        <v>10</v>
      </c>
      <c r="H32" s="23" t="s">
        <v>11</v>
      </c>
      <c r="I32" s="3"/>
      <c r="J32" s="3"/>
      <c r="K32" s="3"/>
    </row>
    <row r="33">
      <c r="A33" s="37" t="s">
        <v>20</v>
      </c>
      <c r="B33" s="10">
        <v>2407.64</v>
      </c>
      <c r="C33" s="10">
        <v>907.29</v>
      </c>
      <c r="D33" s="10">
        <v>1061.32</v>
      </c>
      <c r="E33" s="10">
        <v>644.26</v>
      </c>
      <c r="F33" s="10" t="s">
        <v>24</v>
      </c>
      <c r="G33" s="10" t="s">
        <v>24</v>
      </c>
      <c r="H33" s="10" t="s">
        <v>24</v>
      </c>
      <c r="I33" s="25"/>
      <c r="J33" s="26" t="s">
        <v>13</v>
      </c>
      <c r="K33" s="27">
        <f>SUM(B33:H34)</f>
        <v>9877.07</v>
      </c>
    </row>
    <row r="34">
      <c r="A34" s="28" t="s">
        <v>13</v>
      </c>
      <c r="B34" s="10"/>
      <c r="C34" s="10"/>
      <c r="D34" s="10"/>
      <c r="E34" s="10">
        <v>4856.56</v>
      </c>
      <c r="F34" s="10"/>
      <c r="G34" s="10"/>
      <c r="H34" s="10"/>
      <c r="I34" s="25"/>
      <c r="J34" s="29" t="s">
        <v>14</v>
      </c>
      <c r="K34" s="30">
        <f>SUM(B35:H36)</f>
        <v>4260</v>
      </c>
    </row>
    <row r="35">
      <c r="A35" s="31" t="s">
        <v>14</v>
      </c>
      <c r="B35" s="32">
        <v>742.0</v>
      </c>
      <c r="C35" s="32">
        <v>364.0</v>
      </c>
      <c r="D35" s="32">
        <v>493.0</v>
      </c>
      <c r="E35" s="32">
        <v>252.0</v>
      </c>
      <c r="F35" s="32"/>
      <c r="G35" s="32"/>
      <c r="H35" s="32"/>
      <c r="I35" s="25"/>
      <c r="J35" s="33" t="s">
        <v>15</v>
      </c>
      <c r="K35" s="34">
        <f>K33/K34</f>
        <v>2.318561033</v>
      </c>
    </row>
    <row r="36">
      <c r="A36" s="20"/>
      <c r="B36" s="32"/>
      <c r="C36" s="32"/>
      <c r="D36" s="32"/>
      <c r="E36" s="32">
        <v>2409.0</v>
      </c>
      <c r="F36" s="32"/>
      <c r="G36" s="32"/>
      <c r="H36" s="32"/>
      <c r="I36" s="3"/>
      <c r="J36" s="3"/>
      <c r="K36" s="3"/>
    </row>
    <row r="39">
      <c r="A39" s="22" t="s">
        <v>4</v>
      </c>
      <c r="B39" s="23" t="s">
        <v>5</v>
      </c>
      <c r="C39" s="23" t="s">
        <v>6</v>
      </c>
      <c r="D39" s="23" t="s">
        <v>7</v>
      </c>
      <c r="E39" s="23" t="s">
        <v>8</v>
      </c>
      <c r="F39" s="23" t="s">
        <v>9</v>
      </c>
      <c r="G39" s="23" t="s">
        <v>10</v>
      </c>
      <c r="H39" s="23" t="s">
        <v>11</v>
      </c>
      <c r="I39" s="3"/>
      <c r="J39" s="3"/>
      <c r="K39" s="3"/>
    </row>
    <row r="40">
      <c r="A40" s="37"/>
      <c r="B40" s="10" t="s">
        <v>17</v>
      </c>
      <c r="C40" s="10" t="s">
        <v>17</v>
      </c>
      <c r="D40" s="10" t="s">
        <v>17</v>
      </c>
      <c r="E40" s="10" t="s">
        <v>17</v>
      </c>
      <c r="F40" s="10" t="s">
        <v>17</v>
      </c>
      <c r="G40" s="10" t="s">
        <v>17</v>
      </c>
      <c r="H40" s="10" t="s">
        <v>17</v>
      </c>
      <c r="I40" s="25"/>
      <c r="J40" s="26" t="s">
        <v>13</v>
      </c>
      <c r="K40" s="27">
        <f>SUM(B40:H41)</f>
        <v>0</v>
      </c>
    </row>
    <row r="41">
      <c r="A41" s="28" t="s">
        <v>13</v>
      </c>
      <c r="B41" s="10"/>
      <c r="C41" s="10"/>
      <c r="D41" s="10"/>
      <c r="E41" s="10"/>
      <c r="F41" s="10"/>
      <c r="G41" s="10"/>
      <c r="H41" s="10"/>
      <c r="I41" s="25"/>
      <c r="J41" s="29" t="s">
        <v>14</v>
      </c>
      <c r="K41" s="30">
        <f>SUM(B42:H43)</f>
        <v>0</v>
      </c>
    </row>
    <row r="42">
      <c r="A42" s="31" t="s">
        <v>14</v>
      </c>
      <c r="B42" s="32"/>
      <c r="C42" s="32"/>
      <c r="D42" s="32"/>
      <c r="E42" s="32"/>
      <c r="F42" s="32"/>
      <c r="G42" s="32"/>
      <c r="H42" s="32"/>
      <c r="I42" s="25"/>
      <c r="J42" s="33" t="s">
        <v>15</v>
      </c>
      <c r="K42" s="36" t="str">
        <f>K40/K41</f>
        <v>#DIV/0!</v>
      </c>
    </row>
    <row r="43">
      <c r="A43" s="20"/>
      <c r="B43" s="32"/>
      <c r="C43" s="32"/>
      <c r="D43" s="32"/>
      <c r="E43" s="32"/>
      <c r="F43" s="32"/>
      <c r="G43" s="32"/>
      <c r="H43" s="32"/>
      <c r="I43" s="3"/>
      <c r="J43" s="3"/>
      <c r="K43" s="3"/>
    </row>
    <row r="46">
      <c r="A46" s="22" t="s">
        <v>4</v>
      </c>
      <c r="B46" s="23" t="s">
        <v>5</v>
      </c>
      <c r="C46" s="23" t="s">
        <v>6</v>
      </c>
      <c r="D46" s="23" t="s">
        <v>7</v>
      </c>
      <c r="E46" s="23" t="s">
        <v>8</v>
      </c>
      <c r="F46" s="23" t="s">
        <v>9</v>
      </c>
      <c r="G46" s="23" t="s">
        <v>10</v>
      </c>
      <c r="H46" s="23" t="s">
        <v>11</v>
      </c>
      <c r="I46" s="3"/>
      <c r="J46" s="3"/>
      <c r="K46" s="3"/>
    </row>
    <row r="47">
      <c r="A47" s="37"/>
      <c r="B47" s="10" t="s">
        <v>17</v>
      </c>
      <c r="C47" s="10" t="s">
        <v>17</v>
      </c>
      <c r="D47" s="10" t="s">
        <v>17</v>
      </c>
      <c r="E47" s="10" t="s">
        <v>17</v>
      </c>
      <c r="F47" s="10" t="s">
        <v>17</v>
      </c>
      <c r="G47" s="10" t="s">
        <v>17</v>
      </c>
      <c r="H47" s="10" t="s">
        <v>17</v>
      </c>
      <c r="I47" s="25"/>
      <c r="J47" s="26" t="s">
        <v>13</v>
      </c>
      <c r="K47" s="27">
        <f>SUM(B47:H48)</f>
        <v>0</v>
      </c>
    </row>
    <row r="48">
      <c r="A48" s="28" t="s">
        <v>13</v>
      </c>
      <c r="B48" s="10"/>
      <c r="C48" s="10"/>
      <c r="D48" s="10"/>
      <c r="E48" s="10"/>
      <c r="F48" s="10"/>
      <c r="G48" s="10"/>
      <c r="H48" s="10"/>
      <c r="I48" s="25"/>
      <c r="J48" s="29" t="s">
        <v>14</v>
      </c>
      <c r="K48" s="30">
        <f>SUM(B49:H50)</f>
        <v>0</v>
      </c>
    </row>
    <row r="49">
      <c r="A49" s="31" t="s">
        <v>14</v>
      </c>
      <c r="B49" s="32"/>
      <c r="C49" s="32"/>
      <c r="D49" s="32"/>
      <c r="E49" s="32"/>
      <c r="F49" s="32"/>
      <c r="G49" s="32"/>
      <c r="H49" s="32"/>
      <c r="I49" s="25"/>
      <c r="J49" s="33" t="s">
        <v>15</v>
      </c>
      <c r="K49" s="36" t="str">
        <f>K47/K48</f>
        <v>#DIV/0!</v>
      </c>
    </row>
    <row r="50">
      <c r="A50" s="20"/>
      <c r="B50" s="32"/>
      <c r="C50" s="32"/>
      <c r="D50" s="32"/>
      <c r="E50" s="32"/>
      <c r="F50" s="32"/>
      <c r="G50" s="32"/>
      <c r="H50" s="32"/>
      <c r="I50" s="3"/>
      <c r="J50" s="3"/>
      <c r="K50" s="3"/>
    </row>
    <row r="53">
      <c r="A53" s="22" t="s">
        <v>4</v>
      </c>
      <c r="B53" s="23" t="s">
        <v>5</v>
      </c>
      <c r="C53" s="23" t="s">
        <v>6</v>
      </c>
      <c r="D53" s="23" t="s">
        <v>7</v>
      </c>
      <c r="E53" s="23" t="s">
        <v>8</v>
      </c>
      <c r="F53" s="23" t="s">
        <v>9</v>
      </c>
      <c r="G53" s="23" t="s">
        <v>10</v>
      </c>
      <c r="H53" s="23" t="s">
        <v>11</v>
      </c>
      <c r="I53" s="3"/>
      <c r="J53" s="3"/>
      <c r="K53" s="3"/>
    </row>
    <row r="54">
      <c r="A54" s="37" t="s">
        <v>32</v>
      </c>
      <c r="B54" s="10">
        <v>2914.75</v>
      </c>
      <c r="C54" s="10" t="s">
        <v>33</v>
      </c>
      <c r="D54" s="10" t="s">
        <v>28</v>
      </c>
      <c r="E54" s="10" t="s">
        <v>28</v>
      </c>
      <c r="F54" s="10">
        <v>3284.12</v>
      </c>
      <c r="G54" s="10" t="s">
        <v>24</v>
      </c>
      <c r="H54" s="10" t="s">
        <v>24</v>
      </c>
      <c r="I54" s="25"/>
      <c r="J54" s="26" t="s">
        <v>13</v>
      </c>
      <c r="K54" s="27">
        <f>SUM(B54:H55)</f>
        <v>6198.87</v>
      </c>
    </row>
    <row r="55">
      <c r="A55" s="28" t="s">
        <v>13</v>
      </c>
      <c r="B55" s="10" t="s">
        <v>33</v>
      </c>
      <c r="C55" s="10"/>
      <c r="D55" s="10"/>
      <c r="E55" s="10"/>
      <c r="F55" s="10"/>
      <c r="G55" s="10"/>
      <c r="H55" s="10"/>
      <c r="I55" s="25"/>
      <c r="J55" s="29" t="s">
        <v>14</v>
      </c>
      <c r="K55" s="30">
        <f>SUM(B56:H57)</f>
        <v>3202</v>
      </c>
    </row>
    <row r="56">
      <c r="A56" s="31" t="s">
        <v>14</v>
      </c>
      <c r="B56" s="32">
        <v>1381.0</v>
      </c>
      <c r="C56" s="32"/>
      <c r="D56" s="32"/>
      <c r="E56" s="32"/>
      <c r="F56" s="32">
        <v>1821.0</v>
      </c>
      <c r="G56" s="32"/>
      <c r="H56" s="32"/>
      <c r="I56" s="25"/>
      <c r="J56" s="33" t="s">
        <v>15</v>
      </c>
      <c r="K56" s="34">
        <f>K54/K55</f>
        <v>1.935936914</v>
      </c>
    </row>
    <row r="57">
      <c r="A57" s="20"/>
      <c r="B57" s="32"/>
      <c r="C57" s="32"/>
      <c r="D57" s="32"/>
      <c r="E57" s="32"/>
      <c r="F57" s="32"/>
      <c r="G57" s="32"/>
      <c r="H57" s="32"/>
      <c r="I57" s="3"/>
      <c r="J57" s="3"/>
      <c r="K57" s="3"/>
    </row>
    <row r="60">
      <c r="A60" s="22" t="s">
        <v>4</v>
      </c>
      <c r="B60" s="23" t="s">
        <v>5</v>
      </c>
      <c r="C60" s="23" t="s">
        <v>6</v>
      </c>
      <c r="D60" s="23" t="s">
        <v>7</v>
      </c>
      <c r="E60" s="23" t="s">
        <v>8</v>
      </c>
      <c r="F60" s="23" t="s">
        <v>9</v>
      </c>
      <c r="G60" s="23" t="s">
        <v>10</v>
      </c>
      <c r="H60" s="23" t="s">
        <v>11</v>
      </c>
      <c r="I60" s="3"/>
      <c r="J60" s="3"/>
      <c r="K60" s="3"/>
    </row>
    <row r="61">
      <c r="A61" s="37"/>
      <c r="B61" s="38"/>
      <c r="C61" s="38"/>
      <c r="D61" s="38"/>
      <c r="E61" s="38"/>
      <c r="F61" s="38"/>
      <c r="G61" s="38"/>
      <c r="H61" s="38"/>
      <c r="I61" s="25"/>
      <c r="J61" s="26" t="s">
        <v>13</v>
      </c>
      <c r="K61" s="27">
        <f>SUM(B61:H62)</f>
        <v>0</v>
      </c>
    </row>
    <row r="62">
      <c r="A62" s="28" t="s">
        <v>13</v>
      </c>
      <c r="B62" s="38"/>
      <c r="C62" s="38"/>
      <c r="D62" s="38"/>
      <c r="E62" s="38"/>
      <c r="F62" s="38"/>
      <c r="G62" s="38"/>
      <c r="H62" s="38"/>
      <c r="I62" s="25"/>
      <c r="J62" s="29" t="s">
        <v>14</v>
      </c>
      <c r="K62" s="30">
        <f>SUM(B63:H64)</f>
        <v>0</v>
      </c>
    </row>
    <row r="63">
      <c r="A63" s="31" t="s">
        <v>14</v>
      </c>
      <c r="B63" s="39"/>
      <c r="C63" s="39"/>
      <c r="D63" s="39"/>
      <c r="E63" s="39"/>
      <c r="F63" s="39"/>
      <c r="G63" s="39"/>
      <c r="H63" s="39"/>
      <c r="I63" s="25"/>
      <c r="J63" s="33" t="s">
        <v>15</v>
      </c>
      <c r="K63" s="36" t="str">
        <f>K61/K62</f>
        <v>#DIV/0!</v>
      </c>
    </row>
    <row r="64">
      <c r="A64" s="20"/>
      <c r="B64" s="39"/>
      <c r="C64" s="39"/>
      <c r="D64" s="39"/>
      <c r="E64" s="39"/>
      <c r="F64" s="39"/>
      <c r="G64" s="39"/>
      <c r="H64" s="39"/>
      <c r="I64" s="3"/>
      <c r="J64" s="3"/>
      <c r="K64" s="3"/>
    </row>
  </sheetData>
  <mergeCells count="9">
    <mergeCell ref="A56:A57"/>
    <mergeCell ref="A63:A64"/>
    <mergeCell ref="A7:A8"/>
    <mergeCell ref="A14:A15"/>
    <mergeCell ref="A21:A22"/>
    <mergeCell ref="A28:A29"/>
    <mergeCell ref="A35:A36"/>
    <mergeCell ref="A42:A43"/>
    <mergeCell ref="A49:A50"/>
  </mergeCells>
  <conditionalFormatting sqref="K6">
    <cfRule type="notContainsBlanks" dxfId="0" priority="1">
      <formula>LEN(TRIM(K6))&gt;0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19.75"/>
    <col customWidth="1" min="3" max="3" width="16.88"/>
    <col customWidth="1" min="4" max="4" width="18.0"/>
    <col customWidth="1" min="5" max="5" width="16.75"/>
    <col customWidth="1" min="6" max="7" width="17.0"/>
    <col customWidth="1" min="8" max="8" width="16.63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>
        <v>9.0</v>
      </c>
      <c r="M1" s="4" t="s">
        <v>2</v>
      </c>
      <c r="N1" s="4">
        <v>1.0</v>
      </c>
    </row>
    <row r="2">
      <c r="A2" s="3"/>
      <c r="B2" s="3"/>
      <c r="C2" s="3"/>
      <c r="D2" s="3"/>
      <c r="E2" s="3"/>
      <c r="F2" s="3"/>
      <c r="G2" s="3"/>
      <c r="H2" s="3"/>
      <c r="I2" s="3"/>
      <c r="J2" s="4" t="s">
        <v>3</v>
      </c>
    </row>
    <row r="3">
      <c r="A3" s="5"/>
      <c r="B3" s="5"/>
      <c r="C3" s="5"/>
      <c r="D3" s="5"/>
      <c r="E3" s="5"/>
      <c r="F3" s="5"/>
      <c r="G3" s="5"/>
      <c r="H3" s="5"/>
      <c r="I3" s="3"/>
    </row>
    <row r="4">
      <c r="A4" s="6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3"/>
      <c r="J4" s="8"/>
    </row>
    <row r="5">
      <c r="A5" s="9" t="s">
        <v>12</v>
      </c>
      <c r="B5" s="10">
        <v>811.5</v>
      </c>
      <c r="C5" s="10">
        <v>1189.44</v>
      </c>
      <c r="D5" s="10">
        <v>911.24</v>
      </c>
      <c r="E5" s="10">
        <v>503.72</v>
      </c>
      <c r="F5" s="10">
        <v>857.72</v>
      </c>
      <c r="G5" s="10">
        <v>700.13</v>
      </c>
      <c r="H5" s="10">
        <v>566.54</v>
      </c>
      <c r="I5" s="11"/>
      <c r="J5" s="12" t="s">
        <v>13</v>
      </c>
      <c r="K5" s="13">
        <f>SUM(B5:H6)</f>
        <v>7429.93</v>
      </c>
    </row>
    <row r="6">
      <c r="A6" s="14" t="s">
        <v>13</v>
      </c>
      <c r="B6" s="10"/>
      <c r="C6" s="10"/>
      <c r="D6" s="10"/>
      <c r="E6" s="10">
        <v>1043.77</v>
      </c>
      <c r="F6" s="10"/>
      <c r="G6" s="10"/>
      <c r="H6" s="10">
        <v>845.87</v>
      </c>
      <c r="I6" s="11"/>
      <c r="J6" s="15" t="s">
        <v>14</v>
      </c>
      <c r="K6" s="16">
        <f>sum(B7:H8)</f>
        <v>2472</v>
      </c>
    </row>
    <row r="7">
      <c r="A7" s="17" t="s">
        <v>14</v>
      </c>
      <c r="B7" s="14">
        <v>368.0</v>
      </c>
      <c r="C7" s="14">
        <v>489.0</v>
      </c>
      <c r="D7" s="14">
        <v>367.0</v>
      </c>
      <c r="E7" s="14">
        <v>133.0</v>
      </c>
      <c r="F7" s="14">
        <v>390.0</v>
      </c>
      <c r="G7" s="14">
        <v>130.0</v>
      </c>
      <c r="H7" s="14">
        <v>130.0</v>
      </c>
      <c r="I7" s="11"/>
      <c r="J7" s="18" t="s">
        <v>15</v>
      </c>
      <c r="K7" s="19">
        <f>K5/K6</f>
        <v>3.005635113</v>
      </c>
    </row>
    <row r="8">
      <c r="A8" s="20"/>
      <c r="B8" s="14"/>
      <c r="C8" s="14"/>
      <c r="D8" s="14"/>
      <c r="E8" s="14">
        <v>204.0</v>
      </c>
      <c r="F8" s="14"/>
      <c r="G8" s="14"/>
      <c r="H8" s="14">
        <v>261.0</v>
      </c>
      <c r="I8" s="3"/>
      <c r="J8" s="21"/>
    </row>
    <row r="9">
      <c r="A9" s="3"/>
      <c r="B9" s="3"/>
      <c r="C9" s="3"/>
      <c r="D9" s="3"/>
      <c r="E9" s="3"/>
      <c r="F9" s="3"/>
      <c r="G9" s="3"/>
      <c r="H9" s="3"/>
      <c r="I9" s="3"/>
    </row>
    <row r="10">
      <c r="A10" s="5"/>
      <c r="B10" s="5"/>
      <c r="C10" s="5"/>
      <c r="D10" s="5"/>
      <c r="E10" s="5"/>
      <c r="F10" s="5"/>
      <c r="G10" s="5"/>
      <c r="H10" s="5"/>
      <c r="I10" s="3"/>
    </row>
    <row r="11">
      <c r="A11" s="22" t="s">
        <v>4</v>
      </c>
      <c r="B11" s="23" t="s">
        <v>5</v>
      </c>
      <c r="C11" s="23" t="s">
        <v>6</v>
      </c>
      <c r="D11" s="23" t="s">
        <v>7</v>
      </c>
      <c r="E11" s="23" t="s">
        <v>8</v>
      </c>
      <c r="F11" s="23" t="s">
        <v>9</v>
      </c>
      <c r="G11" s="23" t="s">
        <v>10</v>
      </c>
      <c r="H11" s="23" t="s">
        <v>11</v>
      </c>
      <c r="I11" s="3"/>
      <c r="J11" s="3"/>
      <c r="K11" s="3"/>
    </row>
    <row r="12">
      <c r="A12" s="9" t="s">
        <v>16</v>
      </c>
      <c r="B12" s="10">
        <v>719.67</v>
      </c>
      <c r="C12" s="10" t="s">
        <v>25</v>
      </c>
      <c r="D12" s="10">
        <v>1502.2</v>
      </c>
      <c r="E12" s="10">
        <v>830.84</v>
      </c>
      <c r="F12" s="10">
        <v>923.78</v>
      </c>
      <c r="G12" s="10">
        <v>551.03</v>
      </c>
      <c r="H12" s="10" t="s">
        <v>17</v>
      </c>
      <c r="I12" s="25"/>
      <c r="J12" s="26" t="s">
        <v>13</v>
      </c>
      <c r="K12" s="27">
        <f>SUM(B12:H13)</f>
        <v>6834.65</v>
      </c>
    </row>
    <row r="13">
      <c r="A13" s="28" t="s">
        <v>13</v>
      </c>
      <c r="B13" s="10">
        <v>584.84</v>
      </c>
      <c r="C13" s="10">
        <v>726.07</v>
      </c>
      <c r="D13" s="10">
        <v>996.22</v>
      </c>
      <c r="E13" s="10"/>
      <c r="F13" s="10"/>
      <c r="G13" s="10"/>
      <c r="H13" s="10"/>
      <c r="I13" s="25"/>
      <c r="J13" s="29" t="s">
        <v>14</v>
      </c>
      <c r="K13" s="30">
        <f>SUM(B14:H15)</f>
        <v>2375</v>
      </c>
    </row>
    <row r="14">
      <c r="A14" s="31" t="s">
        <v>14</v>
      </c>
      <c r="B14" s="32">
        <v>274.0</v>
      </c>
      <c r="C14" s="32">
        <v>213.0</v>
      </c>
      <c r="D14" s="32">
        <v>584.0</v>
      </c>
      <c r="E14" s="32">
        <v>213.0</v>
      </c>
      <c r="F14" s="32">
        <v>364.0</v>
      </c>
      <c r="G14" s="32">
        <v>189.0</v>
      </c>
      <c r="H14" s="32"/>
      <c r="I14" s="25"/>
      <c r="J14" s="33" t="s">
        <v>15</v>
      </c>
      <c r="K14" s="34">
        <f>K12/K13</f>
        <v>2.877747368</v>
      </c>
    </row>
    <row r="15">
      <c r="A15" s="20"/>
      <c r="B15" s="32">
        <v>134.0</v>
      </c>
      <c r="C15" s="32"/>
      <c r="D15" s="32">
        <v>404.0</v>
      </c>
      <c r="E15" s="32"/>
      <c r="F15" s="32"/>
      <c r="G15" s="32"/>
      <c r="H15" s="32"/>
      <c r="I15" s="3"/>
      <c r="J15" s="3"/>
      <c r="K15" s="3"/>
    </row>
    <row r="18">
      <c r="A18" s="22" t="s">
        <v>4</v>
      </c>
      <c r="B18" s="23" t="s">
        <v>5</v>
      </c>
      <c r="C18" s="23" t="s">
        <v>6</v>
      </c>
      <c r="D18" s="23" t="s">
        <v>7</v>
      </c>
      <c r="E18" s="23" t="s">
        <v>8</v>
      </c>
      <c r="F18" s="23" t="s">
        <v>9</v>
      </c>
      <c r="G18" s="23" t="s">
        <v>10</v>
      </c>
      <c r="H18" s="23" t="s">
        <v>11</v>
      </c>
      <c r="I18" s="3"/>
      <c r="J18" s="3"/>
      <c r="K18" s="3"/>
    </row>
    <row r="19">
      <c r="A19" s="9" t="s">
        <v>18</v>
      </c>
      <c r="B19" s="10" t="s">
        <v>17</v>
      </c>
      <c r="C19" s="10" t="s">
        <v>17</v>
      </c>
      <c r="D19" s="10" t="s">
        <v>17</v>
      </c>
      <c r="E19" s="10" t="s">
        <v>17</v>
      </c>
      <c r="F19" s="10" t="s">
        <v>17</v>
      </c>
      <c r="G19" s="10">
        <v>5507.58</v>
      </c>
      <c r="H19" s="10" t="s">
        <v>24</v>
      </c>
      <c r="I19" s="35"/>
      <c r="J19" s="26" t="s">
        <v>13</v>
      </c>
      <c r="K19" s="27">
        <f>SUM(B19:H20)</f>
        <v>5507.58</v>
      </c>
    </row>
    <row r="20">
      <c r="A20" s="28" t="s">
        <v>13</v>
      </c>
      <c r="B20" s="10"/>
      <c r="C20" s="10"/>
      <c r="D20" s="10"/>
      <c r="E20" s="10"/>
      <c r="F20" s="10"/>
      <c r="G20" s="10"/>
      <c r="H20" s="10"/>
      <c r="I20" s="25"/>
      <c r="J20" s="29" t="s">
        <v>14</v>
      </c>
      <c r="K20" s="30">
        <f>SUM(B21:H22)</f>
        <v>2500</v>
      </c>
    </row>
    <row r="21">
      <c r="A21" s="31" t="s">
        <v>14</v>
      </c>
      <c r="B21" s="32"/>
      <c r="C21" s="32"/>
      <c r="D21" s="32"/>
      <c r="E21" s="32"/>
      <c r="F21" s="32"/>
      <c r="G21" s="32">
        <v>2500.0</v>
      </c>
      <c r="H21" s="32"/>
      <c r="I21" s="25"/>
      <c r="J21" s="33" t="s">
        <v>15</v>
      </c>
      <c r="K21" s="34">
        <f>K19/K20</f>
        <v>2.203032</v>
      </c>
    </row>
    <row r="22">
      <c r="A22" s="20"/>
      <c r="B22" s="32"/>
      <c r="C22" s="32"/>
      <c r="D22" s="32"/>
      <c r="E22" s="32"/>
      <c r="F22" s="32"/>
      <c r="G22" s="32"/>
      <c r="H22" s="32"/>
      <c r="I22" s="3"/>
      <c r="J22" s="3"/>
      <c r="K22" s="3"/>
    </row>
    <row r="25">
      <c r="A25" s="22" t="s">
        <v>4</v>
      </c>
      <c r="B25" s="23" t="s">
        <v>5</v>
      </c>
      <c r="C25" s="23" t="s">
        <v>6</v>
      </c>
      <c r="D25" s="23" t="s">
        <v>7</v>
      </c>
      <c r="E25" s="23" t="s">
        <v>8</v>
      </c>
      <c r="F25" s="23" t="s">
        <v>9</v>
      </c>
      <c r="G25" s="23" t="s">
        <v>10</v>
      </c>
      <c r="H25" s="23" t="s">
        <v>11</v>
      </c>
      <c r="I25" s="3"/>
      <c r="J25" s="3"/>
      <c r="K25" s="3"/>
    </row>
    <row r="26">
      <c r="A26" s="37" t="s">
        <v>19</v>
      </c>
      <c r="B26" s="10" t="s">
        <v>17</v>
      </c>
      <c r="C26" s="10" t="s">
        <v>17</v>
      </c>
      <c r="D26" s="10" t="s">
        <v>17</v>
      </c>
      <c r="E26" s="10">
        <v>175.0</v>
      </c>
      <c r="F26" s="10">
        <v>984.02</v>
      </c>
      <c r="G26" s="10">
        <v>761.5</v>
      </c>
      <c r="H26" s="10">
        <v>504.89</v>
      </c>
      <c r="I26" s="25"/>
      <c r="J26" s="26" t="s">
        <v>13</v>
      </c>
      <c r="K26" s="27">
        <f>SUM(B26:H27)</f>
        <v>4203.56</v>
      </c>
    </row>
    <row r="27">
      <c r="A27" s="28" t="s">
        <v>13</v>
      </c>
      <c r="B27" s="10"/>
      <c r="C27" s="10"/>
      <c r="D27" s="10"/>
      <c r="E27" s="10"/>
      <c r="F27" s="10"/>
      <c r="G27" s="10">
        <v>688.15</v>
      </c>
      <c r="H27" s="10">
        <v>1090.0</v>
      </c>
      <c r="I27" s="25"/>
      <c r="J27" s="29" t="s">
        <v>14</v>
      </c>
      <c r="K27" s="30">
        <f>SUM(B28:H29)</f>
        <v>1271</v>
      </c>
    </row>
    <row r="28">
      <c r="A28" s="31" t="s">
        <v>14</v>
      </c>
      <c r="B28" s="32"/>
      <c r="C28" s="32"/>
      <c r="D28" s="32"/>
      <c r="E28" s="32"/>
      <c r="F28" s="32">
        <v>478.0</v>
      </c>
      <c r="G28" s="32">
        <v>265.0</v>
      </c>
      <c r="H28" s="32">
        <v>132.0</v>
      </c>
      <c r="I28" s="25"/>
      <c r="J28" s="33" t="s">
        <v>15</v>
      </c>
      <c r="K28" s="34">
        <f>K26/K27</f>
        <v>3.307285602</v>
      </c>
    </row>
    <row r="29">
      <c r="A29" s="20"/>
      <c r="B29" s="32"/>
      <c r="C29" s="32"/>
      <c r="D29" s="32"/>
      <c r="E29" s="32"/>
      <c r="F29" s="32"/>
      <c r="G29" s="32"/>
      <c r="H29" s="32">
        <v>396.0</v>
      </c>
      <c r="I29" s="3"/>
      <c r="J29" s="3"/>
      <c r="K29" s="3"/>
    </row>
    <row r="32">
      <c r="A32" s="22" t="s">
        <v>4</v>
      </c>
      <c r="B32" s="23" t="s">
        <v>5</v>
      </c>
      <c r="C32" s="23" t="s">
        <v>6</v>
      </c>
      <c r="D32" s="23" t="s">
        <v>7</v>
      </c>
      <c r="E32" s="23" t="s">
        <v>8</v>
      </c>
      <c r="F32" s="23" t="s">
        <v>9</v>
      </c>
      <c r="G32" s="23" t="s">
        <v>10</v>
      </c>
      <c r="H32" s="23" t="s">
        <v>11</v>
      </c>
      <c r="I32" s="3"/>
      <c r="J32" s="3"/>
      <c r="K32" s="3"/>
    </row>
    <row r="33">
      <c r="A33" s="37" t="s">
        <v>20</v>
      </c>
      <c r="B33" s="10">
        <v>702.71</v>
      </c>
      <c r="C33" s="10">
        <v>542.64</v>
      </c>
      <c r="D33" s="10">
        <v>1100.0</v>
      </c>
      <c r="E33" s="10">
        <v>1037.51</v>
      </c>
      <c r="F33" s="10">
        <v>756.83</v>
      </c>
      <c r="G33" s="10">
        <v>1042.26</v>
      </c>
      <c r="H33" s="10">
        <v>1139.01</v>
      </c>
      <c r="I33" s="25"/>
      <c r="J33" s="26" t="s">
        <v>13</v>
      </c>
      <c r="K33" s="27">
        <f>SUM(B33:H34)</f>
        <v>8527.55</v>
      </c>
    </row>
    <row r="34">
      <c r="A34" s="28" t="s">
        <v>13</v>
      </c>
      <c r="B34" s="10"/>
      <c r="C34" s="10"/>
      <c r="D34" s="10"/>
      <c r="E34" s="10"/>
      <c r="F34" s="10">
        <v>954.09</v>
      </c>
      <c r="G34" s="10">
        <v>1252.5</v>
      </c>
      <c r="H34" s="10"/>
      <c r="I34" s="25"/>
      <c r="J34" s="29" t="s">
        <v>14</v>
      </c>
      <c r="K34" s="30">
        <f>SUM(B35:H36)</f>
        <v>3279</v>
      </c>
    </row>
    <row r="35">
      <c r="A35" s="31" t="s">
        <v>14</v>
      </c>
      <c r="B35" s="32">
        <v>242.0</v>
      </c>
      <c r="C35" s="32">
        <v>247.0</v>
      </c>
      <c r="D35" s="32">
        <v>419.0</v>
      </c>
      <c r="E35" s="32">
        <v>471.0</v>
      </c>
      <c r="F35" s="32">
        <v>155.0</v>
      </c>
      <c r="G35" s="32">
        <v>461.0</v>
      </c>
      <c r="H35" s="32">
        <v>461.0</v>
      </c>
      <c r="I35" s="25"/>
      <c r="J35" s="33" t="s">
        <v>15</v>
      </c>
      <c r="K35" s="34">
        <f>K33/K34</f>
        <v>2.600655688</v>
      </c>
    </row>
    <row r="36">
      <c r="A36" s="20"/>
      <c r="B36" s="32"/>
      <c r="C36" s="32"/>
      <c r="D36" s="32"/>
      <c r="E36" s="32"/>
      <c r="F36" s="32">
        <v>359.0</v>
      </c>
      <c r="G36" s="32">
        <v>464.0</v>
      </c>
      <c r="H36" s="32"/>
      <c r="I36" s="3"/>
      <c r="J36" s="3"/>
      <c r="K36" s="3"/>
    </row>
    <row r="39">
      <c r="A39" s="22" t="s">
        <v>4</v>
      </c>
      <c r="B39" s="23" t="s">
        <v>5</v>
      </c>
      <c r="C39" s="23" t="s">
        <v>6</v>
      </c>
      <c r="D39" s="23" t="s">
        <v>7</v>
      </c>
      <c r="E39" s="23" t="s">
        <v>8</v>
      </c>
      <c r="F39" s="23" t="s">
        <v>9</v>
      </c>
      <c r="G39" s="23" t="s">
        <v>10</v>
      </c>
      <c r="H39" s="23" t="s">
        <v>11</v>
      </c>
      <c r="I39" s="3"/>
      <c r="J39" s="3"/>
      <c r="K39" s="3"/>
    </row>
    <row r="40">
      <c r="A40" s="9" t="s">
        <v>22</v>
      </c>
      <c r="B40" s="10">
        <v>667.23</v>
      </c>
      <c r="C40" s="10" t="s">
        <v>43</v>
      </c>
      <c r="D40" s="10" t="s">
        <v>43</v>
      </c>
      <c r="E40" s="10" t="s">
        <v>38</v>
      </c>
      <c r="F40" s="10" t="s">
        <v>38</v>
      </c>
      <c r="G40" s="10" t="s">
        <v>38</v>
      </c>
      <c r="H40" s="10" t="s">
        <v>38</v>
      </c>
      <c r="I40" s="25"/>
      <c r="J40" s="26" t="s">
        <v>13</v>
      </c>
      <c r="K40" s="27">
        <f>SUM(B40:H41)</f>
        <v>1575.44</v>
      </c>
    </row>
    <row r="41">
      <c r="A41" s="28" t="s">
        <v>13</v>
      </c>
      <c r="B41" s="10">
        <v>908.21</v>
      </c>
      <c r="C41" s="10"/>
      <c r="D41" s="10"/>
      <c r="E41" s="10"/>
      <c r="F41" s="10"/>
      <c r="G41" s="10"/>
      <c r="H41" s="10"/>
      <c r="I41" s="25"/>
      <c r="J41" s="29" t="s">
        <v>14</v>
      </c>
      <c r="K41" s="30">
        <f>SUM(B42:H43)</f>
        <v>794</v>
      </c>
    </row>
    <row r="42">
      <c r="A42" s="31" t="s">
        <v>14</v>
      </c>
      <c r="B42" s="32">
        <v>340.0</v>
      </c>
      <c r="C42" s="32"/>
      <c r="D42" s="32"/>
      <c r="E42" s="32"/>
      <c r="F42" s="32"/>
      <c r="G42" s="32"/>
      <c r="H42" s="32"/>
      <c r="I42" s="25"/>
      <c r="J42" s="33" t="s">
        <v>15</v>
      </c>
      <c r="K42" s="34">
        <f>K40/K41</f>
        <v>1.98418136</v>
      </c>
    </row>
    <row r="43">
      <c r="A43" s="20"/>
      <c r="B43" s="32">
        <v>454.0</v>
      </c>
      <c r="C43" s="32"/>
      <c r="D43" s="32"/>
      <c r="E43" s="32"/>
      <c r="F43" s="32"/>
      <c r="G43" s="32"/>
      <c r="H43" s="32"/>
      <c r="I43" s="3"/>
      <c r="J43" s="3"/>
      <c r="K43" s="3"/>
    </row>
    <row r="46">
      <c r="A46" s="22" t="s">
        <v>4</v>
      </c>
      <c r="B46" s="23" t="s">
        <v>5</v>
      </c>
      <c r="C46" s="23" t="s">
        <v>6</v>
      </c>
      <c r="D46" s="23" t="s">
        <v>7</v>
      </c>
      <c r="E46" s="23" t="s">
        <v>8</v>
      </c>
      <c r="F46" s="23" t="s">
        <v>9</v>
      </c>
      <c r="G46" s="23" t="s">
        <v>10</v>
      </c>
      <c r="H46" s="23" t="s">
        <v>11</v>
      </c>
      <c r="I46" s="3"/>
      <c r="J46" s="3"/>
      <c r="K46" s="3"/>
    </row>
    <row r="47">
      <c r="A47" s="37"/>
      <c r="B47" s="10" t="s">
        <v>17</v>
      </c>
      <c r="C47" s="10" t="s">
        <v>17</v>
      </c>
      <c r="D47" s="10" t="s">
        <v>17</v>
      </c>
      <c r="E47" s="10" t="s">
        <v>17</v>
      </c>
      <c r="F47" s="10" t="s">
        <v>17</v>
      </c>
      <c r="G47" s="10" t="s">
        <v>17</v>
      </c>
      <c r="H47" s="10" t="s">
        <v>17</v>
      </c>
      <c r="I47" s="25"/>
      <c r="J47" s="26" t="s">
        <v>13</v>
      </c>
      <c r="K47" s="27">
        <f>SUM(B47:H48)</f>
        <v>0</v>
      </c>
    </row>
    <row r="48">
      <c r="A48" s="28" t="s">
        <v>13</v>
      </c>
      <c r="B48" s="10"/>
      <c r="C48" s="10"/>
      <c r="D48" s="10"/>
      <c r="E48" s="10"/>
      <c r="F48" s="10"/>
      <c r="G48" s="10"/>
      <c r="H48" s="10"/>
      <c r="I48" s="25"/>
      <c r="J48" s="29" t="s">
        <v>14</v>
      </c>
      <c r="K48" s="30">
        <f>SUM(B49:H50)</f>
        <v>0</v>
      </c>
    </row>
    <row r="49">
      <c r="A49" s="31" t="s">
        <v>14</v>
      </c>
      <c r="B49" s="32"/>
      <c r="C49" s="32"/>
      <c r="D49" s="32"/>
      <c r="E49" s="32"/>
      <c r="F49" s="32"/>
      <c r="G49" s="32"/>
      <c r="H49" s="32"/>
      <c r="I49" s="25"/>
      <c r="J49" s="33" t="s">
        <v>15</v>
      </c>
      <c r="K49" s="36" t="str">
        <f>K47/K48</f>
        <v>#DIV/0!</v>
      </c>
    </row>
    <row r="50">
      <c r="A50" s="20"/>
      <c r="B50" s="32"/>
      <c r="C50" s="32"/>
      <c r="D50" s="32"/>
      <c r="E50" s="32"/>
      <c r="F50" s="32"/>
      <c r="G50" s="32"/>
      <c r="H50" s="32"/>
      <c r="I50" s="3"/>
      <c r="J50" s="3"/>
      <c r="K50" s="3"/>
    </row>
    <row r="53">
      <c r="A53" s="22" t="s">
        <v>4</v>
      </c>
      <c r="B53" s="23" t="s">
        <v>5</v>
      </c>
      <c r="C53" s="23" t="s">
        <v>6</v>
      </c>
      <c r="D53" s="23" t="s">
        <v>7</v>
      </c>
      <c r="E53" s="23" t="s">
        <v>8</v>
      </c>
      <c r="F53" s="23" t="s">
        <v>9</v>
      </c>
      <c r="G53" s="23" t="s">
        <v>10</v>
      </c>
      <c r="H53" s="23" t="s">
        <v>11</v>
      </c>
      <c r="I53" s="3"/>
      <c r="J53" s="3"/>
      <c r="K53" s="3"/>
    </row>
    <row r="54">
      <c r="A54" s="37"/>
      <c r="B54" s="10" t="s">
        <v>17</v>
      </c>
      <c r="C54" s="10" t="s">
        <v>17</v>
      </c>
      <c r="D54" s="10" t="s">
        <v>17</v>
      </c>
      <c r="E54" s="10" t="s">
        <v>17</v>
      </c>
      <c r="F54" s="10" t="s">
        <v>17</v>
      </c>
      <c r="G54" s="10" t="s">
        <v>17</v>
      </c>
      <c r="H54" s="10" t="s">
        <v>17</v>
      </c>
      <c r="I54" s="25"/>
      <c r="J54" s="26" t="s">
        <v>13</v>
      </c>
      <c r="K54" s="27">
        <f>SUM(B54:H55)</f>
        <v>0</v>
      </c>
    </row>
    <row r="55">
      <c r="A55" s="28" t="s">
        <v>13</v>
      </c>
      <c r="B55" s="10"/>
      <c r="C55" s="10"/>
      <c r="D55" s="10"/>
      <c r="E55" s="10"/>
      <c r="F55" s="10"/>
      <c r="G55" s="10"/>
      <c r="H55" s="10"/>
      <c r="I55" s="25"/>
      <c r="J55" s="29" t="s">
        <v>14</v>
      </c>
      <c r="K55" s="30">
        <f>SUM(B56:H57)</f>
        <v>0</v>
      </c>
    </row>
    <row r="56">
      <c r="A56" s="31" t="s">
        <v>14</v>
      </c>
      <c r="B56" s="32"/>
      <c r="C56" s="32"/>
      <c r="D56" s="32"/>
      <c r="E56" s="32"/>
      <c r="F56" s="32"/>
      <c r="G56" s="32"/>
      <c r="H56" s="32"/>
      <c r="I56" s="25"/>
      <c r="J56" s="33" t="s">
        <v>15</v>
      </c>
      <c r="K56" s="36" t="str">
        <f>K54/K55</f>
        <v>#DIV/0!</v>
      </c>
    </row>
    <row r="57">
      <c r="A57" s="20"/>
      <c r="B57" s="32"/>
      <c r="C57" s="32"/>
      <c r="D57" s="32"/>
      <c r="E57" s="32"/>
      <c r="F57" s="32"/>
      <c r="G57" s="32"/>
      <c r="H57" s="32"/>
      <c r="I57" s="3"/>
      <c r="J57" s="3"/>
      <c r="K57" s="3"/>
    </row>
    <row r="60">
      <c r="A60" s="22" t="s">
        <v>4</v>
      </c>
      <c r="B60" s="23" t="s">
        <v>5</v>
      </c>
      <c r="C60" s="23" t="s">
        <v>6</v>
      </c>
      <c r="D60" s="23" t="s">
        <v>7</v>
      </c>
      <c r="E60" s="23" t="s">
        <v>8</v>
      </c>
      <c r="F60" s="23" t="s">
        <v>9</v>
      </c>
      <c r="G60" s="23" t="s">
        <v>10</v>
      </c>
      <c r="H60" s="23" t="s">
        <v>11</v>
      </c>
      <c r="I60" s="3"/>
      <c r="J60" s="3"/>
      <c r="K60" s="3"/>
    </row>
    <row r="61">
      <c r="A61" s="37" t="s">
        <v>32</v>
      </c>
      <c r="B61" s="38"/>
      <c r="C61" s="38"/>
      <c r="D61" s="38">
        <v>1855.287</v>
      </c>
      <c r="E61" s="38" t="s">
        <v>24</v>
      </c>
      <c r="F61" s="38">
        <v>1048.76</v>
      </c>
      <c r="G61" s="38">
        <v>848.81</v>
      </c>
      <c r="H61" s="38"/>
      <c r="I61" s="25"/>
      <c r="J61" s="26" t="s">
        <v>13</v>
      </c>
      <c r="K61" s="27">
        <f>SUM(B61:H62)</f>
        <v>3752.857</v>
      </c>
    </row>
    <row r="62">
      <c r="A62" s="28" t="s">
        <v>13</v>
      </c>
      <c r="B62" s="38"/>
      <c r="C62" s="38"/>
      <c r="D62" s="38"/>
      <c r="E62" s="38"/>
      <c r="F62" s="38"/>
      <c r="G62" s="38"/>
      <c r="H62" s="38"/>
      <c r="I62" s="25"/>
      <c r="J62" s="29" t="s">
        <v>14</v>
      </c>
      <c r="K62" s="30">
        <f>SUM(B63:H64)</f>
        <v>1772</v>
      </c>
    </row>
    <row r="63">
      <c r="A63" s="31" t="s">
        <v>14</v>
      </c>
      <c r="B63" s="39"/>
      <c r="C63" s="39"/>
      <c r="D63" s="39">
        <v>922.0</v>
      </c>
      <c r="E63" s="39"/>
      <c r="F63" s="39">
        <v>426.0</v>
      </c>
      <c r="G63" s="39">
        <v>424.0</v>
      </c>
      <c r="H63" s="39"/>
      <c r="I63" s="25"/>
      <c r="J63" s="33" t="s">
        <v>15</v>
      </c>
      <c r="K63" s="34">
        <f>K61/K62</f>
        <v>2.117865124</v>
      </c>
    </row>
    <row r="64">
      <c r="A64" s="20"/>
      <c r="B64" s="39"/>
      <c r="C64" s="39"/>
      <c r="D64" s="39"/>
      <c r="E64" s="39"/>
      <c r="F64" s="39"/>
      <c r="G64" s="39"/>
      <c r="H64" s="39"/>
      <c r="I64" s="3"/>
      <c r="J64" s="3"/>
      <c r="K64" s="3"/>
    </row>
  </sheetData>
  <mergeCells count="9">
    <mergeCell ref="A56:A57"/>
    <mergeCell ref="A63:A64"/>
    <mergeCell ref="A7:A8"/>
    <mergeCell ref="A14:A15"/>
    <mergeCell ref="A21:A22"/>
    <mergeCell ref="A28:A29"/>
    <mergeCell ref="A35:A36"/>
    <mergeCell ref="A42:A43"/>
    <mergeCell ref="A49:A50"/>
  </mergeCells>
  <conditionalFormatting sqref="K6">
    <cfRule type="notContainsBlanks" dxfId="0" priority="1">
      <formula>LEN(TRIM(K6))&gt;0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19.75"/>
    <col customWidth="1" min="3" max="3" width="16.88"/>
    <col customWidth="1" min="4" max="4" width="18.0"/>
    <col customWidth="1" min="5" max="5" width="16.75"/>
    <col customWidth="1" min="6" max="7" width="17.0"/>
    <col customWidth="1" min="8" max="8" width="16.63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>
        <v>9.0</v>
      </c>
      <c r="M1" s="4" t="s">
        <v>2</v>
      </c>
      <c r="N1" s="4">
        <v>1.0</v>
      </c>
    </row>
    <row r="2">
      <c r="A2" s="3"/>
      <c r="B2" s="3"/>
      <c r="C2" s="3"/>
      <c r="D2" s="3"/>
      <c r="E2" s="3"/>
      <c r="F2" s="3"/>
      <c r="G2" s="3"/>
      <c r="H2" s="3"/>
      <c r="I2" s="3"/>
      <c r="J2" s="4" t="s">
        <v>3</v>
      </c>
    </row>
    <row r="3">
      <c r="A3" s="5"/>
      <c r="B3" s="5"/>
      <c r="C3" s="5"/>
      <c r="D3" s="5"/>
      <c r="E3" s="5"/>
      <c r="F3" s="5"/>
      <c r="G3" s="5"/>
      <c r="H3" s="5"/>
      <c r="I3" s="3"/>
    </row>
    <row r="4">
      <c r="A4" s="6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3"/>
      <c r="J4" s="8"/>
    </row>
    <row r="5">
      <c r="A5" s="9" t="s">
        <v>12</v>
      </c>
      <c r="B5" s="10">
        <v>539.362</v>
      </c>
      <c r="C5" s="10">
        <v>600.0</v>
      </c>
      <c r="D5" s="10" t="s">
        <v>28</v>
      </c>
      <c r="E5" s="10">
        <v>800.31</v>
      </c>
      <c r="F5" s="10">
        <v>752.15</v>
      </c>
      <c r="G5" s="10">
        <v>1115.17</v>
      </c>
      <c r="H5" s="10">
        <v>1024.23</v>
      </c>
      <c r="I5" s="11"/>
      <c r="J5" s="12" t="s">
        <v>13</v>
      </c>
      <c r="K5" s="13">
        <f>SUM(B5:H6)</f>
        <v>5450.372</v>
      </c>
    </row>
    <row r="6">
      <c r="A6" s="14" t="s">
        <v>13</v>
      </c>
      <c r="B6" s="10"/>
      <c r="C6" s="10" t="s">
        <v>28</v>
      </c>
      <c r="D6" s="10">
        <v>619.15</v>
      </c>
      <c r="E6" s="10" t="s">
        <v>44</v>
      </c>
      <c r="F6" s="10" t="s">
        <v>44</v>
      </c>
      <c r="G6" s="10" t="s">
        <v>44</v>
      </c>
      <c r="H6" s="10" t="s">
        <v>44</v>
      </c>
      <c r="I6" s="11"/>
      <c r="J6" s="15" t="s">
        <v>14</v>
      </c>
      <c r="K6" s="16">
        <f>sum(B7:H8)</f>
        <v>2354</v>
      </c>
    </row>
    <row r="7">
      <c r="A7" s="17" t="s">
        <v>14</v>
      </c>
      <c r="B7" s="14">
        <v>246.0</v>
      </c>
      <c r="C7" s="14">
        <v>240.0</v>
      </c>
      <c r="D7" s="14"/>
      <c r="E7" s="14">
        <v>268.0</v>
      </c>
      <c r="F7" s="14">
        <v>376.0</v>
      </c>
      <c r="G7" s="14">
        <v>483.0</v>
      </c>
      <c r="H7" s="14">
        <v>441.0</v>
      </c>
      <c r="I7" s="11"/>
      <c r="J7" s="18" t="s">
        <v>15</v>
      </c>
      <c r="K7" s="19">
        <f>K5/K6</f>
        <v>2.315366185</v>
      </c>
    </row>
    <row r="8">
      <c r="A8" s="20"/>
      <c r="B8" s="14"/>
      <c r="C8" s="14"/>
      <c r="D8" s="14">
        <v>300.0</v>
      </c>
      <c r="E8" s="14"/>
      <c r="F8" s="14"/>
      <c r="G8" s="14"/>
      <c r="H8" s="14"/>
      <c r="I8" s="3"/>
      <c r="J8" s="21"/>
    </row>
    <row r="9">
      <c r="A9" s="3"/>
      <c r="B9" s="3"/>
      <c r="C9" s="3"/>
      <c r="D9" s="3"/>
      <c r="E9" s="3"/>
      <c r="F9" s="3"/>
      <c r="G9" s="3"/>
      <c r="H9" s="3"/>
      <c r="I9" s="3"/>
    </row>
    <row r="10">
      <c r="A10" s="5"/>
      <c r="B10" s="5"/>
      <c r="C10" s="5"/>
      <c r="D10" s="5"/>
      <c r="E10" s="5"/>
      <c r="F10" s="5"/>
      <c r="G10" s="5"/>
      <c r="H10" s="5"/>
      <c r="I10" s="3"/>
    </row>
    <row r="11">
      <c r="A11" s="22" t="s">
        <v>4</v>
      </c>
      <c r="B11" s="23" t="s">
        <v>5</v>
      </c>
      <c r="C11" s="23" t="s">
        <v>6</v>
      </c>
      <c r="D11" s="23" t="s">
        <v>7</v>
      </c>
      <c r="E11" s="23" t="s">
        <v>8</v>
      </c>
      <c r="F11" s="23" t="s">
        <v>9</v>
      </c>
      <c r="G11" s="23" t="s">
        <v>10</v>
      </c>
      <c r="H11" s="23" t="s">
        <v>11</v>
      </c>
      <c r="I11" s="3"/>
      <c r="J11" s="3"/>
      <c r="K11" s="3"/>
    </row>
    <row r="12">
      <c r="A12" s="9" t="s">
        <v>16</v>
      </c>
      <c r="B12" s="10" t="s">
        <v>17</v>
      </c>
      <c r="C12" s="10">
        <v>701.45</v>
      </c>
      <c r="D12" s="10">
        <v>973.35</v>
      </c>
      <c r="E12" s="10">
        <v>2570.44</v>
      </c>
      <c r="F12" s="10" t="s">
        <v>24</v>
      </c>
      <c r="G12" s="10">
        <v>734.05</v>
      </c>
      <c r="H12" s="10">
        <v>1527.01</v>
      </c>
      <c r="I12" s="25"/>
      <c r="J12" s="26" t="s">
        <v>13</v>
      </c>
      <c r="K12" s="27">
        <f>SUM(B12:H13)</f>
        <v>8733.21</v>
      </c>
    </row>
    <row r="13">
      <c r="A13" s="28" t="s">
        <v>13</v>
      </c>
      <c r="B13" s="10"/>
      <c r="C13" s="10"/>
      <c r="D13" s="10">
        <v>1250.05</v>
      </c>
      <c r="E13" s="10"/>
      <c r="F13" s="10"/>
      <c r="G13" s="10"/>
      <c r="H13" s="10">
        <v>976.86</v>
      </c>
      <c r="I13" s="25"/>
      <c r="J13" s="29" t="s">
        <v>14</v>
      </c>
      <c r="K13" s="30">
        <f>SUM(B14:H15)</f>
        <v>3476</v>
      </c>
    </row>
    <row r="14">
      <c r="A14" s="31" t="s">
        <v>14</v>
      </c>
      <c r="B14" s="32"/>
      <c r="C14" s="32">
        <v>213.0</v>
      </c>
      <c r="D14" s="32">
        <v>364.0</v>
      </c>
      <c r="E14" s="32">
        <v>1149.0</v>
      </c>
      <c r="F14" s="32"/>
      <c r="G14" s="32">
        <v>225.0</v>
      </c>
      <c r="H14" s="32">
        <v>631.0</v>
      </c>
      <c r="I14" s="25"/>
      <c r="J14" s="33" t="s">
        <v>15</v>
      </c>
      <c r="K14" s="34">
        <f>K12/K13</f>
        <v>2.512430955</v>
      </c>
    </row>
    <row r="15">
      <c r="A15" s="20"/>
      <c r="B15" s="32"/>
      <c r="C15" s="32"/>
      <c r="D15" s="32">
        <v>490.0</v>
      </c>
      <c r="E15" s="32"/>
      <c r="F15" s="32"/>
      <c r="G15" s="32"/>
      <c r="H15" s="32">
        <v>404.0</v>
      </c>
      <c r="I15" s="3"/>
      <c r="J15" s="3"/>
      <c r="K15" s="3"/>
    </row>
    <row r="18">
      <c r="A18" s="22" t="s">
        <v>4</v>
      </c>
      <c r="B18" s="23" t="s">
        <v>5</v>
      </c>
      <c r="C18" s="23" t="s">
        <v>6</v>
      </c>
      <c r="D18" s="23" t="s">
        <v>7</v>
      </c>
      <c r="E18" s="23" t="s">
        <v>8</v>
      </c>
      <c r="F18" s="23" t="s">
        <v>9</v>
      </c>
      <c r="G18" s="23" t="s">
        <v>10</v>
      </c>
      <c r="H18" s="23" t="s">
        <v>11</v>
      </c>
      <c r="I18" s="3"/>
      <c r="J18" s="3"/>
      <c r="K18" s="3"/>
    </row>
    <row r="19">
      <c r="A19" s="9" t="s">
        <v>18</v>
      </c>
      <c r="B19" s="10">
        <v>747.27</v>
      </c>
      <c r="C19" s="10">
        <v>1140.06</v>
      </c>
      <c r="D19" s="10" t="s">
        <v>24</v>
      </c>
      <c r="E19" s="10" t="s">
        <v>24</v>
      </c>
      <c r="F19" s="10">
        <v>776.85</v>
      </c>
      <c r="G19" s="10">
        <v>1047.23</v>
      </c>
      <c r="H19" s="10">
        <v>175.0</v>
      </c>
      <c r="I19" s="35"/>
      <c r="J19" s="26" t="s">
        <v>13</v>
      </c>
      <c r="K19" s="27">
        <f>SUM(B19:H20)</f>
        <v>9819.04</v>
      </c>
    </row>
    <row r="20">
      <c r="A20" s="28" t="s">
        <v>13</v>
      </c>
      <c r="B20" s="10">
        <v>550.32</v>
      </c>
      <c r="C20" s="10">
        <v>4104.25</v>
      </c>
      <c r="D20" s="10"/>
      <c r="E20" s="10"/>
      <c r="F20" s="10"/>
      <c r="G20" s="10"/>
      <c r="H20" s="10">
        <v>1278.06</v>
      </c>
      <c r="I20" s="25"/>
      <c r="J20" s="29" t="s">
        <v>14</v>
      </c>
      <c r="K20" s="30">
        <f>SUM(B21:H22)</f>
        <v>4167</v>
      </c>
    </row>
    <row r="21">
      <c r="A21" s="31" t="s">
        <v>14</v>
      </c>
      <c r="B21" s="32">
        <v>363.0</v>
      </c>
      <c r="C21" s="32">
        <v>422.0</v>
      </c>
      <c r="D21" s="32"/>
      <c r="E21" s="32"/>
      <c r="F21" s="32">
        <v>285.0</v>
      </c>
      <c r="G21" s="32">
        <v>452.0</v>
      </c>
      <c r="H21" s="32"/>
      <c r="I21" s="25"/>
      <c r="J21" s="33" t="s">
        <v>15</v>
      </c>
      <c r="K21" s="34">
        <f>K19/K20</f>
        <v>2.35638109</v>
      </c>
    </row>
    <row r="22">
      <c r="A22" s="20"/>
      <c r="B22" s="32">
        <v>122.0</v>
      </c>
      <c r="C22" s="32">
        <v>2021.0</v>
      </c>
      <c r="D22" s="32"/>
      <c r="E22" s="32"/>
      <c r="F22" s="32"/>
      <c r="G22" s="32"/>
      <c r="H22" s="32">
        <v>502.0</v>
      </c>
      <c r="I22" s="3"/>
      <c r="J22" s="3"/>
      <c r="K22" s="3"/>
    </row>
    <row r="25">
      <c r="A25" s="22" t="s">
        <v>4</v>
      </c>
      <c r="B25" s="23" t="s">
        <v>5</v>
      </c>
      <c r="C25" s="23" t="s">
        <v>6</v>
      </c>
      <c r="D25" s="23" t="s">
        <v>7</v>
      </c>
      <c r="E25" s="23" t="s">
        <v>8</v>
      </c>
      <c r="F25" s="23" t="s">
        <v>9</v>
      </c>
      <c r="G25" s="23" t="s">
        <v>10</v>
      </c>
      <c r="H25" s="23" t="s">
        <v>11</v>
      </c>
      <c r="I25" s="3"/>
      <c r="J25" s="3"/>
      <c r="K25" s="3"/>
    </row>
    <row r="26">
      <c r="A26" s="37" t="s">
        <v>19</v>
      </c>
      <c r="B26" s="10">
        <v>758.03</v>
      </c>
      <c r="C26" s="10">
        <v>550.99</v>
      </c>
      <c r="D26" s="10">
        <v>772.9</v>
      </c>
      <c r="E26" s="10">
        <v>639.35</v>
      </c>
      <c r="F26" s="10">
        <v>690.32</v>
      </c>
      <c r="G26" s="10">
        <v>576.32</v>
      </c>
      <c r="H26" s="10">
        <v>1051.36</v>
      </c>
      <c r="I26" s="25"/>
      <c r="J26" s="26" t="s">
        <v>13</v>
      </c>
      <c r="K26" s="27">
        <f>SUM(B26:H27)</f>
        <v>6494.73</v>
      </c>
    </row>
    <row r="27">
      <c r="A27" s="28" t="s">
        <v>13</v>
      </c>
      <c r="B27" s="10"/>
      <c r="C27" s="10">
        <v>667.76</v>
      </c>
      <c r="D27" s="10">
        <v>175.0</v>
      </c>
      <c r="E27" s="10">
        <v>612.7</v>
      </c>
      <c r="F27" s="10"/>
      <c r="G27" s="10"/>
      <c r="H27" s="10"/>
      <c r="I27" s="25"/>
      <c r="J27" s="29" t="s">
        <v>14</v>
      </c>
      <c r="K27" s="30">
        <f>SUM(B28:H29)</f>
        <v>2624</v>
      </c>
    </row>
    <row r="28">
      <c r="A28" s="31" t="s">
        <v>14</v>
      </c>
      <c r="B28" s="32">
        <v>390.0</v>
      </c>
      <c r="C28" s="32">
        <v>243.0</v>
      </c>
      <c r="D28" s="32">
        <v>273.0</v>
      </c>
      <c r="E28" s="32">
        <v>247.0</v>
      </c>
      <c r="F28" s="32">
        <v>252.0</v>
      </c>
      <c r="G28" s="32">
        <v>243.0</v>
      </c>
      <c r="H28" s="32">
        <v>520.0</v>
      </c>
      <c r="I28" s="25"/>
      <c r="J28" s="33" t="s">
        <v>15</v>
      </c>
      <c r="K28" s="34">
        <f>K26/K27</f>
        <v>2.475125762</v>
      </c>
    </row>
    <row r="29">
      <c r="A29" s="20"/>
      <c r="B29" s="32"/>
      <c r="C29" s="32">
        <v>240.0</v>
      </c>
      <c r="D29" s="32"/>
      <c r="E29" s="32">
        <v>216.0</v>
      </c>
      <c r="F29" s="32"/>
      <c r="G29" s="32"/>
      <c r="H29" s="32"/>
      <c r="I29" s="3"/>
      <c r="J29" s="3"/>
      <c r="K29" s="3"/>
    </row>
    <row r="32">
      <c r="A32" s="22" t="s">
        <v>4</v>
      </c>
      <c r="B32" s="23" t="s">
        <v>5</v>
      </c>
      <c r="C32" s="23" t="s">
        <v>6</v>
      </c>
      <c r="D32" s="23" t="s">
        <v>7</v>
      </c>
      <c r="E32" s="23" t="s">
        <v>8</v>
      </c>
      <c r="F32" s="23" t="s">
        <v>9</v>
      </c>
      <c r="G32" s="23" t="s">
        <v>10</v>
      </c>
      <c r="H32" s="23" t="s">
        <v>11</v>
      </c>
      <c r="I32" s="3"/>
      <c r="J32" s="3"/>
      <c r="K32" s="3"/>
    </row>
    <row r="33">
      <c r="A33" s="37" t="s">
        <v>20</v>
      </c>
      <c r="B33" s="10">
        <v>987.17</v>
      </c>
      <c r="C33" s="10">
        <v>542.71</v>
      </c>
      <c r="D33" s="10">
        <v>3498.67</v>
      </c>
      <c r="E33" s="10" t="s">
        <v>24</v>
      </c>
      <c r="F33" s="10">
        <v>942.83</v>
      </c>
      <c r="G33" s="10" t="s">
        <v>26</v>
      </c>
      <c r="H33" s="10">
        <v>3128.12</v>
      </c>
      <c r="I33" s="25"/>
      <c r="J33" s="26" t="s">
        <v>13</v>
      </c>
      <c r="K33" s="27">
        <f>SUM(B33:H34)</f>
        <v>10665.25</v>
      </c>
    </row>
    <row r="34">
      <c r="A34" s="28" t="s">
        <v>13</v>
      </c>
      <c r="B34" s="10">
        <v>621.68</v>
      </c>
      <c r="C34" s="10">
        <v>944.07</v>
      </c>
      <c r="D34" s="10"/>
      <c r="E34" s="10"/>
      <c r="F34" s="10"/>
      <c r="G34" s="10"/>
      <c r="H34" s="10"/>
      <c r="I34" s="25"/>
      <c r="J34" s="29" t="s">
        <v>14</v>
      </c>
      <c r="K34" s="30">
        <f>SUM(B35:H36)</f>
        <v>4449</v>
      </c>
    </row>
    <row r="35">
      <c r="A35" s="31" t="s">
        <v>14</v>
      </c>
      <c r="B35" s="32">
        <v>467.0</v>
      </c>
      <c r="C35" s="32">
        <v>166.0</v>
      </c>
      <c r="D35" s="32">
        <v>1730.0</v>
      </c>
      <c r="E35" s="32"/>
      <c r="F35" s="32">
        <v>399.0</v>
      </c>
      <c r="G35" s="32"/>
      <c r="H35" s="32">
        <v>1072.0</v>
      </c>
      <c r="I35" s="25"/>
      <c r="J35" s="33" t="s">
        <v>15</v>
      </c>
      <c r="K35" s="34">
        <f>K33/K34</f>
        <v>2.397224095</v>
      </c>
    </row>
    <row r="36">
      <c r="A36" s="20"/>
      <c r="B36" s="32">
        <v>222.0</v>
      </c>
      <c r="C36" s="32">
        <v>393.0</v>
      </c>
      <c r="D36" s="32"/>
      <c r="E36" s="32"/>
      <c r="F36" s="32"/>
      <c r="G36" s="32"/>
      <c r="H36" s="32"/>
      <c r="I36" s="3"/>
      <c r="J36" s="3"/>
      <c r="K36" s="3"/>
    </row>
    <row r="39">
      <c r="A39" s="22" t="s">
        <v>4</v>
      </c>
      <c r="B39" s="23" t="s">
        <v>5</v>
      </c>
      <c r="C39" s="23" t="s">
        <v>6</v>
      </c>
      <c r="D39" s="23" t="s">
        <v>7</v>
      </c>
      <c r="E39" s="23" t="s">
        <v>8</v>
      </c>
      <c r="F39" s="23" t="s">
        <v>9</v>
      </c>
      <c r="G39" s="23" t="s">
        <v>10</v>
      </c>
      <c r="H39" s="23" t="s">
        <v>11</v>
      </c>
      <c r="I39" s="3"/>
      <c r="J39" s="3"/>
      <c r="K39" s="3"/>
    </row>
    <row r="40">
      <c r="A40" s="9" t="s">
        <v>22</v>
      </c>
      <c r="B40" s="10" t="s">
        <v>45</v>
      </c>
      <c r="C40" s="10">
        <v>504.11</v>
      </c>
      <c r="D40" s="10">
        <v>842.37</v>
      </c>
      <c r="E40" s="10"/>
      <c r="F40" s="10">
        <v>1904.06</v>
      </c>
      <c r="G40" s="10">
        <v>1931.79</v>
      </c>
      <c r="H40" s="10">
        <v>611.09</v>
      </c>
      <c r="I40" s="25"/>
      <c r="J40" s="26" t="s">
        <v>13</v>
      </c>
      <c r="K40" s="27">
        <f>SUM(B40:H41)</f>
        <v>8266.022</v>
      </c>
    </row>
    <row r="41">
      <c r="A41" s="28" t="s">
        <v>13</v>
      </c>
      <c r="B41" s="10"/>
      <c r="C41" s="10">
        <v>918.792</v>
      </c>
      <c r="D41" s="10">
        <v>175.0</v>
      </c>
      <c r="E41" s="10"/>
      <c r="F41" s="10"/>
      <c r="G41" s="10"/>
      <c r="H41" s="10">
        <v>1378.81</v>
      </c>
      <c r="I41" s="25"/>
      <c r="J41" s="29" t="s">
        <v>14</v>
      </c>
      <c r="K41" s="30">
        <f>SUM(B42:H43)</f>
        <v>2884</v>
      </c>
    </row>
    <row r="42">
      <c r="A42" s="31" t="s">
        <v>14</v>
      </c>
      <c r="B42" s="32"/>
      <c r="C42" s="32">
        <v>138.0</v>
      </c>
      <c r="D42" s="32">
        <v>240.0</v>
      </c>
      <c r="E42" s="32"/>
      <c r="F42" s="32">
        <v>787.0</v>
      </c>
      <c r="G42" s="32">
        <v>669.0</v>
      </c>
      <c r="H42" s="32">
        <v>172.0</v>
      </c>
      <c r="I42" s="25"/>
      <c r="J42" s="33" t="s">
        <v>15</v>
      </c>
      <c r="K42" s="34">
        <f>K40/K41</f>
        <v>2.866165742</v>
      </c>
    </row>
    <row r="43">
      <c r="A43" s="20"/>
      <c r="B43" s="32"/>
      <c r="C43" s="32">
        <v>419.0</v>
      </c>
      <c r="D43" s="32"/>
      <c r="E43" s="32"/>
      <c r="F43" s="32"/>
      <c r="G43" s="32"/>
      <c r="H43" s="32">
        <v>459.0</v>
      </c>
      <c r="I43" s="3"/>
      <c r="J43" s="3"/>
      <c r="K43" s="3"/>
    </row>
    <row r="46">
      <c r="A46" s="22" t="s">
        <v>4</v>
      </c>
      <c r="B46" s="23" t="s">
        <v>5</v>
      </c>
      <c r="C46" s="23" t="s">
        <v>6</v>
      </c>
      <c r="D46" s="23" t="s">
        <v>7</v>
      </c>
      <c r="E46" s="23" t="s">
        <v>8</v>
      </c>
      <c r="F46" s="23" t="s">
        <v>9</v>
      </c>
      <c r="G46" s="23" t="s">
        <v>10</v>
      </c>
      <c r="H46" s="23" t="s">
        <v>11</v>
      </c>
      <c r="I46" s="3"/>
      <c r="J46" s="3"/>
      <c r="K46" s="3"/>
    </row>
    <row r="47">
      <c r="A47" s="37" t="s">
        <v>46</v>
      </c>
      <c r="B47" s="10" t="s">
        <v>17</v>
      </c>
      <c r="C47" s="10" t="s">
        <v>17</v>
      </c>
      <c r="D47" s="10" t="s">
        <v>17</v>
      </c>
      <c r="E47" s="10" t="s">
        <v>17</v>
      </c>
      <c r="F47" s="10" t="s">
        <v>17</v>
      </c>
      <c r="G47" s="10" t="s">
        <v>17</v>
      </c>
      <c r="H47" s="10" t="s">
        <v>17</v>
      </c>
      <c r="I47" s="25"/>
      <c r="J47" s="26" t="s">
        <v>13</v>
      </c>
      <c r="K47" s="27">
        <f>SUM(B47:H48)</f>
        <v>0</v>
      </c>
    </row>
    <row r="48">
      <c r="A48" s="28" t="s">
        <v>13</v>
      </c>
      <c r="B48" s="10"/>
      <c r="C48" s="10"/>
      <c r="D48" s="10"/>
      <c r="E48" s="10"/>
      <c r="F48" s="10"/>
      <c r="G48" s="10"/>
      <c r="H48" s="10"/>
      <c r="I48" s="25"/>
      <c r="J48" s="29" t="s">
        <v>14</v>
      </c>
      <c r="K48" s="30">
        <f>SUM(B49:H50)</f>
        <v>0</v>
      </c>
    </row>
    <row r="49">
      <c r="A49" s="31" t="s">
        <v>14</v>
      </c>
      <c r="B49" s="32"/>
      <c r="C49" s="32"/>
      <c r="D49" s="32"/>
      <c r="E49" s="32"/>
      <c r="F49" s="32"/>
      <c r="G49" s="32"/>
      <c r="H49" s="32"/>
      <c r="I49" s="25"/>
      <c r="J49" s="33" t="s">
        <v>15</v>
      </c>
      <c r="K49" s="36" t="str">
        <f>K47/K48</f>
        <v>#DIV/0!</v>
      </c>
    </row>
    <row r="50">
      <c r="A50" s="20"/>
      <c r="B50" s="32"/>
      <c r="C50" s="32"/>
      <c r="D50" s="32"/>
      <c r="E50" s="32"/>
      <c r="F50" s="32"/>
      <c r="G50" s="32"/>
      <c r="H50" s="32"/>
      <c r="I50" s="3"/>
      <c r="J50" s="3"/>
      <c r="K50" s="3"/>
    </row>
    <row r="53">
      <c r="A53" s="22" t="s">
        <v>4</v>
      </c>
      <c r="B53" s="23" t="s">
        <v>5</v>
      </c>
      <c r="C53" s="23" t="s">
        <v>6</v>
      </c>
      <c r="D53" s="23" t="s">
        <v>7</v>
      </c>
      <c r="E53" s="23" t="s">
        <v>8</v>
      </c>
      <c r="F53" s="23" t="s">
        <v>9</v>
      </c>
      <c r="G53" s="23" t="s">
        <v>10</v>
      </c>
      <c r="H53" s="23" t="s">
        <v>11</v>
      </c>
      <c r="I53" s="3"/>
      <c r="J53" s="3"/>
      <c r="K53" s="3"/>
    </row>
    <row r="54">
      <c r="A54" s="37" t="s">
        <v>47</v>
      </c>
      <c r="B54" s="10" t="s">
        <v>24</v>
      </c>
      <c r="C54" s="10">
        <v>1100.0</v>
      </c>
      <c r="D54" s="10">
        <v>3445.51</v>
      </c>
      <c r="E54" s="10" t="s">
        <v>24</v>
      </c>
      <c r="F54" s="10">
        <v>585.12</v>
      </c>
      <c r="G54" s="10">
        <v>175.0</v>
      </c>
      <c r="H54" s="10">
        <v>1020.0</v>
      </c>
      <c r="I54" s="25"/>
      <c r="J54" s="26" t="s">
        <v>13</v>
      </c>
      <c r="K54" s="27">
        <f>SUM(B54:H55)</f>
        <v>7587.81</v>
      </c>
    </row>
    <row r="55">
      <c r="A55" s="28" t="s">
        <v>13</v>
      </c>
      <c r="B55" s="10"/>
      <c r="C55" s="10"/>
      <c r="D55" s="10"/>
      <c r="E55" s="10"/>
      <c r="F55" s="10">
        <v>1087.18</v>
      </c>
      <c r="G55" s="10"/>
      <c r="H55" s="10">
        <v>175.0</v>
      </c>
      <c r="I55" s="25"/>
      <c r="J55" s="29" t="s">
        <v>14</v>
      </c>
      <c r="K55" s="30">
        <f>SUM(B56:H57)</f>
        <v>3283</v>
      </c>
    </row>
    <row r="56">
      <c r="A56" s="31" t="s">
        <v>14</v>
      </c>
      <c r="B56" s="32"/>
      <c r="C56" s="32">
        <v>422.0</v>
      </c>
      <c r="D56" s="32">
        <v>1721.0</v>
      </c>
      <c r="E56" s="32"/>
      <c r="F56" s="32">
        <v>157.0</v>
      </c>
      <c r="G56" s="32"/>
      <c r="H56" s="32">
        <v>507.0</v>
      </c>
      <c r="I56" s="25"/>
      <c r="J56" s="33" t="s">
        <v>15</v>
      </c>
      <c r="K56" s="34">
        <f>K54/K55</f>
        <v>2.311242766</v>
      </c>
    </row>
    <row r="57">
      <c r="A57" s="20"/>
      <c r="B57" s="32"/>
      <c r="C57" s="32"/>
      <c r="D57" s="32"/>
      <c r="E57" s="32"/>
      <c r="F57" s="32">
        <v>476.0</v>
      </c>
      <c r="G57" s="32"/>
      <c r="H57" s="32"/>
      <c r="I57" s="3"/>
      <c r="J57" s="3"/>
      <c r="K57" s="3"/>
    </row>
  </sheetData>
  <mergeCells count="8">
    <mergeCell ref="A7:A8"/>
    <mergeCell ref="A14:A15"/>
    <mergeCell ref="A21:A22"/>
    <mergeCell ref="A28:A29"/>
    <mergeCell ref="A35:A36"/>
    <mergeCell ref="A42:A43"/>
    <mergeCell ref="A49:A50"/>
    <mergeCell ref="A56:A57"/>
  </mergeCells>
  <conditionalFormatting sqref="K6">
    <cfRule type="notContainsBlanks" dxfId="0" priority="1">
      <formula>LEN(TRIM(K6))&gt;0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19.75"/>
    <col customWidth="1" min="3" max="3" width="16.88"/>
    <col customWidth="1" min="4" max="4" width="18.0"/>
    <col customWidth="1" min="5" max="5" width="16.75"/>
    <col customWidth="1" min="6" max="7" width="17.0"/>
    <col customWidth="1" min="8" max="8" width="16.63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>
        <v>9.0</v>
      </c>
      <c r="M1" s="4" t="s">
        <v>2</v>
      </c>
      <c r="N1" s="4">
        <v>1.0</v>
      </c>
    </row>
    <row r="2">
      <c r="A2" s="3"/>
      <c r="B2" s="3"/>
      <c r="C2" s="3"/>
      <c r="D2" s="3"/>
      <c r="E2" s="3"/>
      <c r="F2" s="3"/>
      <c r="G2" s="3"/>
      <c r="H2" s="3"/>
      <c r="I2" s="3"/>
      <c r="J2" s="4" t="s">
        <v>3</v>
      </c>
    </row>
    <row r="3">
      <c r="A3" s="5"/>
      <c r="B3" s="5"/>
      <c r="C3" s="5"/>
      <c r="D3" s="5"/>
      <c r="E3" s="5"/>
      <c r="F3" s="5"/>
      <c r="G3" s="5"/>
      <c r="H3" s="5"/>
      <c r="I3" s="3"/>
    </row>
    <row r="4">
      <c r="A4" s="6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3"/>
      <c r="J4" s="8"/>
    </row>
    <row r="5">
      <c r="A5" s="9" t="s">
        <v>12</v>
      </c>
      <c r="B5" s="10" t="s">
        <v>28</v>
      </c>
      <c r="C5" s="10" t="s">
        <v>28</v>
      </c>
      <c r="D5" s="10" t="s">
        <v>28</v>
      </c>
      <c r="E5" s="10" t="s">
        <v>28</v>
      </c>
      <c r="F5" s="10" t="s">
        <v>28</v>
      </c>
      <c r="G5" s="10" t="s">
        <v>28</v>
      </c>
      <c r="H5" s="10"/>
      <c r="I5" s="11"/>
      <c r="J5" s="12" t="s">
        <v>13</v>
      </c>
      <c r="K5" s="13">
        <f>SUM(B5:H6)</f>
        <v>0</v>
      </c>
    </row>
    <row r="6">
      <c r="A6" s="14" t="s">
        <v>13</v>
      </c>
      <c r="B6" s="10"/>
      <c r="C6" s="10"/>
      <c r="D6" s="10"/>
      <c r="E6" s="10"/>
      <c r="F6" s="10"/>
      <c r="G6" s="10"/>
      <c r="H6" s="10"/>
      <c r="I6" s="11"/>
      <c r="J6" s="15" t="s">
        <v>14</v>
      </c>
      <c r="K6" s="16">
        <f>sum(B7:H8)</f>
        <v>0</v>
      </c>
    </row>
    <row r="7">
      <c r="A7" s="17" t="s">
        <v>14</v>
      </c>
      <c r="B7" s="14"/>
      <c r="C7" s="14"/>
      <c r="D7" s="14"/>
      <c r="E7" s="14"/>
      <c r="F7" s="14"/>
      <c r="G7" s="14"/>
      <c r="H7" s="14"/>
      <c r="I7" s="11"/>
      <c r="J7" s="18" t="s">
        <v>15</v>
      </c>
      <c r="K7" s="42" t="str">
        <f>K5/K6</f>
        <v>#DIV/0!</v>
      </c>
    </row>
    <row r="8">
      <c r="A8" s="20"/>
      <c r="B8" s="14"/>
      <c r="C8" s="14"/>
      <c r="D8" s="14"/>
      <c r="E8" s="14"/>
      <c r="F8" s="14"/>
      <c r="G8" s="14"/>
      <c r="H8" s="14"/>
      <c r="I8" s="3"/>
      <c r="J8" s="21"/>
    </row>
    <row r="9">
      <c r="A9" s="3"/>
      <c r="B9" s="3"/>
      <c r="C9" s="3"/>
      <c r="D9" s="3"/>
      <c r="E9" s="3"/>
      <c r="F9" s="3"/>
      <c r="G9" s="3"/>
      <c r="H9" s="3"/>
      <c r="I9" s="3"/>
    </row>
    <row r="10">
      <c r="A10" s="5"/>
      <c r="B10" s="5"/>
      <c r="C10" s="5"/>
      <c r="D10" s="5"/>
      <c r="E10" s="5"/>
      <c r="F10" s="5"/>
      <c r="G10" s="5"/>
      <c r="H10" s="5"/>
      <c r="I10" s="3"/>
    </row>
    <row r="11">
      <c r="A11" s="22" t="s">
        <v>4</v>
      </c>
      <c r="B11" s="23" t="s">
        <v>5</v>
      </c>
      <c r="C11" s="23" t="s">
        <v>6</v>
      </c>
      <c r="D11" s="23" t="s">
        <v>7</v>
      </c>
      <c r="E11" s="23" t="s">
        <v>8</v>
      </c>
      <c r="F11" s="23" t="s">
        <v>9</v>
      </c>
      <c r="G11" s="23" t="s">
        <v>10</v>
      </c>
      <c r="H11" s="23" t="s">
        <v>11</v>
      </c>
      <c r="I11" s="3"/>
      <c r="J11" s="3"/>
      <c r="K11" s="3"/>
    </row>
    <row r="12">
      <c r="A12" s="9" t="s">
        <v>16</v>
      </c>
      <c r="B12" s="10" t="s">
        <v>17</v>
      </c>
      <c r="C12" s="10" t="s">
        <v>17</v>
      </c>
      <c r="D12" s="10" t="s">
        <v>17</v>
      </c>
      <c r="E12" s="10" t="s">
        <v>17</v>
      </c>
      <c r="F12" s="10" t="s">
        <v>17</v>
      </c>
      <c r="G12" s="10" t="s">
        <v>17</v>
      </c>
      <c r="H12" s="10" t="s">
        <v>17</v>
      </c>
      <c r="I12" s="25"/>
      <c r="J12" s="26" t="s">
        <v>13</v>
      </c>
      <c r="K12" s="27">
        <f>SUM(B12:H13)</f>
        <v>0</v>
      </c>
    </row>
    <row r="13">
      <c r="A13" s="28" t="s">
        <v>13</v>
      </c>
      <c r="B13" s="10"/>
      <c r="C13" s="10"/>
      <c r="D13" s="10"/>
      <c r="E13" s="10"/>
      <c r="F13" s="10"/>
      <c r="G13" s="10"/>
      <c r="H13" s="10"/>
      <c r="I13" s="25"/>
      <c r="J13" s="29" t="s">
        <v>14</v>
      </c>
      <c r="K13" s="30">
        <f>SUM(B14:H15)</f>
        <v>0</v>
      </c>
    </row>
    <row r="14">
      <c r="A14" s="31" t="s">
        <v>14</v>
      </c>
      <c r="B14" s="32"/>
      <c r="C14" s="32"/>
      <c r="D14" s="32"/>
      <c r="E14" s="32"/>
      <c r="F14" s="32"/>
      <c r="G14" s="32"/>
      <c r="H14" s="32"/>
      <c r="I14" s="25"/>
      <c r="J14" s="33" t="s">
        <v>15</v>
      </c>
      <c r="K14" s="36" t="str">
        <f>K12/K13</f>
        <v>#DIV/0!</v>
      </c>
    </row>
    <row r="15">
      <c r="A15" s="20"/>
      <c r="B15" s="32"/>
      <c r="C15" s="32"/>
      <c r="D15" s="32"/>
      <c r="E15" s="32"/>
      <c r="F15" s="32"/>
      <c r="G15" s="32"/>
      <c r="H15" s="32"/>
      <c r="I15" s="3"/>
      <c r="J15" s="3"/>
      <c r="K15" s="3"/>
    </row>
    <row r="18">
      <c r="A18" s="22" t="s">
        <v>4</v>
      </c>
      <c r="B18" s="23" t="s">
        <v>5</v>
      </c>
      <c r="C18" s="23" t="s">
        <v>6</v>
      </c>
      <c r="D18" s="23" t="s">
        <v>7</v>
      </c>
      <c r="E18" s="23" t="s">
        <v>8</v>
      </c>
      <c r="F18" s="23" t="s">
        <v>9</v>
      </c>
      <c r="G18" s="23" t="s">
        <v>10</v>
      </c>
      <c r="H18" s="23" t="s">
        <v>11</v>
      </c>
      <c r="I18" s="3"/>
      <c r="J18" s="3"/>
      <c r="K18" s="3"/>
    </row>
    <row r="19">
      <c r="A19" s="9" t="s">
        <v>18</v>
      </c>
      <c r="B19" s="10" t="s">
        <v>24</v>
      </c>
      <c r="C19" s="10">
        <v>1443.56</v>
      </c>
      <c r="D19" s="10">
        <v>1725.71</v>
      </c>
      <c r="E19" s="10">
        <v>1174.814</v>
      </c>
      <c r="F19" s="10">
        <v>804.65</v>
      </c>
      <c r="G19" s="10" t="s">
        <v>26</v>
      </c>
      <c r="H19" s="10">
        <v>1417.29</v>
      </c>
      <c r="I19" s="35"/>
      <c r="J19" s="26" t="s">
        <v>13</v>
      </c>
      <c r="K19" s="27">
        <f>SUM(B19:H20)</f>
        <v>10566.024</v>
      </c>
    </row>
    <row r="20">
      <c r="A20" s="28" t="s">
        <v>13</v>
      </c>
      <c r="B20" s="10"/>
      <c r="C20" s="10">
        <v>3000.0</v>
      </c>
      <c r="D20" s="10"/>
      <c r="E20" s="10"/>
      <c r="F20" s="10">
        <v>1000.0</v>
      </c>
      <c r="G20" s="10"/>
      <c r="H20" s="10"/>
      <c r="I20" s="25"/>
      <c r="J20" s="29" t="s">
        <v>14</v>
      </c>
      <c r="K20" s="30">
        <f>SUM(B21:H22)</f>
        <v>4065</v>
      </c>
    </row>
    <row r="21">
      <c r="A21" s="31" t="s">
        <v>14</v>
      </c>
      <c r="B21" s="32"/>
      <c r="C21" s="32">
        <v>558.0</v>
      </c>
      <c r="D21" s="32">
        <v>883.0</v>
      </c>
      <c r="E21" s="32">
        <v>578.0</v>
      </c>
      <c r="F21" s="32">
        <v>223.0</v>
      </c>
      <c r="G21" s="32"/>
      <c r="H21" s="32">
        <v>689.0</v>
      </c>
      <c r="I21" s="25"/>
      <c r="J21" s="33" t="s">
        <v>15</v>
      </c>
      <c r="K21" s="34">
        <f>K19/K20</f>
        <v>2.599267897</v>
      </c>
    </row>
    <row r="22">
      <c r="A22" s="20"/>
      <c r="B22" s="32"/>
      <c r="C22" s="32">
        <v>715.0</v>
      </c>
      <c r="D22" s="32"/>
      <c r="E22" s="32"/>
      <c r="F22" s="32">
        <v>419.0</v>
      </c>
      <c r="G22" s="32"/>
      <c r="H22" s="32"/>
      <c r="I22" s="3"/>
      <c r="J22" s="3"/>
      <c r="K22" s="3"/>
    </row>
    <row r="25">
      <c r="A25" s="22" t="s">
        <v>4</v>
      </c>
      <c r="B25" s="23" t="s">
        <v>5</v>
      </c>
      <c r="C25" s="23" t="s">
        <v>6</v>
      </c>
      <c r="D25" s="23" t="s">
        <v>7</v>
      </c>
      <c r="E25" s="23" t="s">
        <v>8</v>
      </c>
      <c r="F25" s="23" t="s">
        <v>9</v>
      </c>
      <c r="G25" s="23" t="s">
        <v>10</v>
      </c>
      <c r="H25" s="23" t="s">
        <v>11</v>
      </c>
      <c r="I25" s="3"/>
      <c r="J25" s="3"/>
      <c r="K25" s="3"/>
    </row>
    <row r="26">
      <c r="A26" s="37" t="s">
        <v>19</v>
      </c>
      <c r="B26" s="10">
        <v>647.2</v>
      </c>
      <c r="C26" s="10">
        <v>1122.48</v>
      </c>
      <c r="D26" s="10" t="s">
        <v>26</v>
      </c>
      <c r="E26" s="10" t="s">
        <v>17</v>
      </c>
      <c r="F26" s="10">
        <v>885.4</v>
      </c>
      <c r="G26" s="10">
        <v>900.23</v>
      </c>
      <c r="H26" s="10" t="s">
        <v>27</v>
      </c>
      <c r="I26" s="25"/>
      <c r="J26" s="26" t="s">
        <v>13</v>
      </c>
      <c r="K26" s="27">
        <f>SUM(B26:H27)</f>
        <v>4056.19</v>
      </c>
    </row>
    <row r="27">
      <c r="A27" s="28" t="s">
        <v>13</v>
      </c>
      <c r="B27" s="10">
        <v>500.88</v>
      </c>
      <c r="C27" s="10"/>
      <c r="D27" s="10" t="s">
        <v>26</v>
      </c>
      <c r="E27" s="10" t="s">
        <v>17</v>
      </c>
      <c r="F27" s="10"/>
      <c r="G27" s="10"/>
      <c r="H27" s="10"/>
      <c r="I27" s="25"/>
      <c r="J27" s="29" t="s">
        <v>14</v>
      </c>
      <c r="K27" s="30">
        <f>SUM(B28:H29)</f>
        <v>1669</v>
      </c>
    </row>
    <row r="28">
      <c r="A28" s="31" t="s">
        <v>14</v>
      </c>
      <c r="B28" s="32">
        <v>279.0</v>
      </c>
      <c r="C28" s="32">
        <v>434.0</v>
      </c>
      <c r="D28" s="32"/>
      <c r="E28" s="32"/>
      <c r="F28" s="32">
        <v>439.0</v>
      </c>
      <c r="G28" s="32">
        <v>345.0</v>
      </c>
      <c r="H28" s="32"/>
      <c r="I28" s="25"/>
      <c r="J28" s="33" t="s">
        <v>15</v>
      </c>
      <c r="K28" s="34">
        <f>K26/K27</f>
        <v>2.430311564</v>
      </c>
    </row>
    <row r="29">
      <c r="A29" s="20"/>
      <c r="B29" s="32">
        <v>172.0</v>
      </c>
      <c r="C29" s="32"/>
      <c r="D29" s="32"/>
      <c r="E29" s="32"/>
      <c r="F29" s="32"/>
      <c r="G29" s="32"/>
      <c r="H29" s="32"/>
      <c r="I29" s="3"/>
      <c r="J29" s="3"/>
      <c r="K29" s="3"/>
    </row>
    <row r="32">
      <c r="A32" s="22" t="s">
        <v>4</v>
      </c>
      <c r="B32" s="23" t="s">
        <v>5</v>
      </c>
      <c r="C32" s="23" t="s">
        <v>6</v>
      </c>
      <c r="D32" s="23" t="s">
        <v>7</v>
      </c>
      <c r="E32" s="23" t="s">
        <v>8</v>
      </c>
      <c r="F32" s="23" t="s">
        <v>9</v>
      </c>
      <c r="G32" s="23" t="s">
        <v>10</v>
      </c>
      <c r="H32" s="23" t="s">
        <v>11</v>
      </c>
      <c r="I32" s="3"/>
      <c r="J32" s="3"/>
      <c r="K32" s="3"/>
    </row>
    <row r="33">
      <c r="A33" s="37" t="s">
        <v>20</v>
      </c>
      <c r="B33" s="10">
        <v>1696.822</v>
      </c>
      <c r="C33" s="10">
        <v>1334.91</v>
      </c>
      <c r="D33" s="10">
        <v>3129.88</v>
      </c>
      <c r="E33" s="10" t="s">
        <v>24</v>
      </c>
      <c r="F33" s="10">
        <v>1719.828</v>
      </c>
      <c r="G33" s="10">
        <v>2564.06</v>
      </c>
      <c r="H33" s="10"/>
      <c r="I33" s="25"/>
      <c r="J33" s="26" t="s">
        <v>13</v>
      </c>
      <c r="K33" s="27">
        <f>SUM(B33:H34)</f>
        <v>10445.5</v>
      </c>
    </row>
    <row r="34">
      <c r="A34" s="28" t="s">
        <v>13</v>
      </c>
      <c r="B34" s="10"/>
      <c r="C34" s="10"/>
      <c r="D34" s="10"/>
      <c r="E34" s="10"/>
      <c r="F34" s="10"/>
      <c r="G34" s="10"/>
      <c r="H34" s="10"/>
      <c r="I34" s="25"/>
      <c r="J34" s="29" t="s">
        <v>14</v>
      </c>
      <c r="K34" s="30">
        <f>SUM(B35:H36)</f>
        <v>4420</v>
      </c>
    </row>
    <row r="35">
      <c r="A35" s="31" t="s">
        <v>14</v>
      </c>
      <c r="B35" s="32">
        <v>738.0</v>
      </c>
      <c r="C35" s="32">
        <v>248.0</v>
      </c>
      <c r="D35" s="32">
        <v>1523.0</v>
      </c>
      <c r="E35" s="32"/>
      <c r="F35" s="32">
        <v>883.0</v>
      </c>
      <c r="G35" s="32">
        <v>1028.0</v>
      </c>
      <c r="H35" s="32"/>
      <c r="I35" s="25"/>
      <c r="J35" s="33" t="s">
        <v>15</v>
      </c>
      <c r="K35" s="34">
        <f>K33/K34</f>
        <v>2.363235294</v>
      </c>
    </row>
    <row r="36">
      <c r="A36" s="20"/>
      <c r="B36" s="32"/>
      <c r="C36" s="32"/>
      <c r="D36" s="32"/>
      <c r="E36" s="32"/>
      <c r="F36" s="32"/>
      <c r="G36" s="32"/>
      <c r="H36" s="32"/>
      <c r="I36" s="3"/>
      <c r="J36" s="3"/>
      <c r="K36" s="3"/>
    </row>
    <row r="39">
      <c r="A39" s="22" t="s">
        <v>4</v>
      </c>
      <c r="B39" s="23" t="s">
        <v>5</v>
      </c>
      <c r="C39" s="23" t="s">
        <v>6</v>
      </c>
      <c r="D39" s="23" t="s">
        <v>7</v>
      </c>
      <c r="E39" s="23" t="s">
        <v>8</v>
      </c>
      <c r="F39" s="23" t="s">
        <v>9</v>
      </c>
      <c r="G39" s="23" t="s">
        <v>10</v>
      </c>
      <c r="H39" s="23" t="s">
        <v>11</v>
      </c>
      <c r="I39" s="3"/>
      <c r="J39" s="3"/>
      <c r="K39" s="3"/>
    </row>
    <row r="40">
      <c r="A40" s="9" t="s">
        <v>22</v>
      </c>
      <c r="B40" s="10" t="s">
        <v>17</v>
      </c>
      <c r="C40" s="10" t="s">
        <v>39</v>
      </c>
      <c r="D40" s="10">
        <v>1255.37</v>
      </c>
      <c r="E40" s="10">
        <v>1302.138</v>
      </c>
      <c r="F40" s="10">
        <v>1154.57</v>
      </c>
      <c r="G40" s="10">
        <v>800.95</v>
      </c>
      <c r="H40" s="10">
        <v>695.11</v>
      </c>
      <c r="I40" s="25"/>
      <c r="J40" s="26" t="s">
        <v>13</v>
      </c>
      <c r="K40" s="27">
        <f>SUM(B40:H41)</f>
        <v>8143.858</v>
      </c>
    </row>
    <row r="41">
      <c r="A41" s="28" t="s">
        <v>13</v>
      </c>
      <c r="B41" s="10"/>
      <c r="C41" s="10"/>
      <c r="D41" s="10"/>
      <c r="E41" s="10">
        <v>175.0</v>
      </c>
      <c r="F41" s="10"/>
      <c r="G41" s="10">
        <v>1000.0</v>
      </c>
      <c r="H41" s="10">
        <v>1760.72</v>
      </c>
      <c r="I41" s="25"/>
      <c r="J41" s="29" t="s">
        <v>14</v>
      </c>
      <c r="K41" s="30">
        <f>SUM(B42:H43)</f>
        <v>2722</v>
      </c>
    </row>
    <row r="42">
      <c r="A42" s="31" t="s">
        <v>14</v>
      </c>
      <c r="B42" s="32"/>
      <c r="C42" s="32"/>
      <c r="D42" s="32">
        <v>484.0</v>
      </c>
      <c r="E42" s="32">
        <v>603.0</v>
      </c>
      <c r="F42" s="32">
        <v>385.0</v>
      </c>
      <c r="G42" s="32">
        <v>222.0</v>
      </c>
      <c r="H42" s="32">
        <v>278.0</v>
      </c>
      <c r="I42" s="25"/>
      <c r="J42" s="33" t="s">
        <v>15</v>
      </c>
      <c r="K42" s="34">
        <f>K40/K41</f>
        <v>2.99186554</v>
      </c>
    </row>
    <row r="43">
      <c r="A43" s="20"/>
      <c r="B43" s="32"/>
      <c r="C43" s="32"/>
      <c r="D43" s="32"/>
      <c r="E43" s="32"/>
      <c r="F43" s="32"/>
      <c r="G43" s="32">
        <v>144.0</v>
      </c>
      <c r="H43" s="32">
        <v>606.0</v>
      </c>
      <c r="I43" s="3"/>
      <c r="J43" s="3"/>
      <c r="K43" s="3"/>
    </row>
    <row r="46">
      <c r="A46" s="22" t="s">
        <v>4</v>
      </c>
      <c r="B46" s="23" t="s">
        <v>5</v>
      </c>
      <c r="C46" s="23" t="s">
        <v>6</v>
      </c>
      <c r="D46" s="23" t="s">
        <v>7</v>
      </c>
      <c r="E46" s="23" t="s">
        <v>8</v>
      </c>
      <c r="F46" s="23" t="s">
        <v>9</v>
      </c>
      <c r="G46" s="23" t="s">
        <v>10</v>
      </c>
      <c r="H46" s="23" t="s">
        <v>11</v>
      </c>
      <c r="I46" s="3"/>
      <c r="J46" s="3"/>
      <c r="K46" s="3"/>
    </row>
    <row r="47">
      <c r="A47" s="37" t="s">
        <v>46</v>
      </c>
      <c r="B47" s="10" t="s">
        <v>17</v>
      </c>
      <c r="C47" s="10" t="s">
        <v>17</v>
      </c>
      <c r="D47" s="10" t="s">
        <v>17</v>
      </c>
      <c r="E47" s="10" t="s">
        <v>17</v>
      </c>
      <c r="F47" s="10" t="s">
        <v>17</v>
      </c>
      <c r="G47" s="10" t="s">
        <v>17</v>
      </c>
      <c r="H47" s="10" t="s">
        <v>17</v>
      </c>
      <c r="I47" s="25"/>
      <c r="J47" s="26" t="s">
        <v>13</v>
      </c>
      <c r="K47" s="27">
        <f>SUM(B47:H48)</f>
        <v>0</v>
      </c>
    </row>
    <row r="48">
      <c r="A48" s="28" t="s">
        <v>13</v>
      </c>
      <c r="B48" s="10"/>
      <c r="C48" s="10"/>
      <c r="D48" s="10"/>
      <c r="E48" s="10"/>
      <c r="F48" s="10"/>
      <c r="G48" s="10"/>
      <c r="H48" s="10"/>
      <c r="I48" s="25"/>
      <c r="J48" s="29" t="s">
        <v>14</v>
      </c>
      <c r="K48" s="30">
        <f>SUM(B49:H50)</f>
        <v>0</v>
      </c>
    </row>
    <row r="49">
      <c r="A49" s="31" t="s">
        <v>14</v>
      </c>
      <c r="B49" s="32"/>
      <c r="C49" s="32"/>
      <c r="D49" s="32"/>
      <c r="E49" s="32"/>
      <c r="F49" s="32"/>
      <c r="G49" s="32"/>
      <c r="H49" s="32"/>
      <c r="I49" s="25"/>
      <c r="J49" s="33" t="s">
        <v>15</v>
      </c>
      <c r="K49" s="36" t="str">
        <f>K47/K48</f>
        <v>#DIV/0!</v>
      </c>
    </row>
    <row r="50">
      <c r="A50" s="20"/>
      <c r="B50" s="32"/>
      <c r="C50" s="32"/>
      <c r="D50" s="32"/>
      <c r="E50" s="32"/>
      <c r="F50" s="32"/>
      <c r="G50" s="32"/>
      <c r="H50" s="32"/>
      <c r="I50" s="3"/>
      <c r="J50" s="3"/>
      <c r="K50" s="3"/>
    </row>
    <row r="53">
      <c r="A53" s="22" t="s">
        <v>4</v>
      </c>
      <c r="B53" s="23" t="s">
        <v>5</v>
      </c>
      <c r="C53" s="23" t="s">
        <v>6</v>
      </c>
      <c r="D53" s="23" t="s">
        <v>7</v>
      </c>
      <c r="E53" s="23" t="s">
        <v>8</v>
      </c>
      <c r="F53" s="23" t="s">
        <v>9</v>
      </c>
      <c r="G53" s="23" t="s">
        <v>10</v>
      </c>
      <c r="H53" s="23" t="s">
        <v>11</v>
      </c>
      <c r="I53" s="3"/>
      <c r="J53" s="3"/>
      <c r="K53" s="3"/>
    </row>
    <row r="54">
      <c r="A54" s="37" t="s">
        <v>47</v>
      </c>
      <c r="B54" s="10" t="s">
        <v>24</v>
      </c>
      <c r="C54" s="10">
        <v>175.0</v>
      </c>
      <c r="D54" s="10">
        <v>175.0</v>
      </c>
      <c r="E54" s="10">
        <v>3690.84</v>
      </c>
      <c r="F54" s="10">
        <v>1469.85</v>
      </c>
      <c r="G54" s="10">
        <v>175.0</v>
      </c>
      <c r="H54" s="10">
        <v>2702.0</v>
      </c>
      <c r="I54" s="25"/>
      <c r="J54" s="26" t="s">
        <v>13</v>
      </c>
      <c r="K54" s="27">
        <f>SUM(B54:H55)</f>
        <v>11716.55</v>
      </c>
    </row>
    <row r="55">
      <c r="A55" s="28" t="s">
        <v>13</v>
      </c>
      <c r="B55" s="10"/>
      <c r="C55" s="10">
        <v>175.0</v>
      </c>
      <c r="D55" s="10">
        <v>1171.85</v>
      </c>
      <c r="E55" s="10"/>
      <c r="F55" s="10"/>
      <c r="G55" s="10">
        <v>1982.01</v>
      </c>
      <c r="H55" s="10"/>
      <c r="I55" s="25"/>
      <c r="J55" s="29" t="s">
        <v>14</v>
      </c>
      <c r="K55" s="30">
        <f>SUM(B56:H57)</f>
        <v>5101</v>
      </c>
    </row>
    <row r="56">
      <c r="A56" s="31" t="s">
        <v>14</v>
      </c>
      <c r="B56" s="32"/>
      <c r="C56" s="32"/>
      <c r="D56" s="32"/>
      <c r="E56" s="32">
        <v>1643.0</v>
      </c>
      <c r="F56" s="32">
        <v>636.0</v>
      </c>
      <c r="G56" s="32"/>
      <c r="H56" s="32">
        <v>1316.0</v>
      </c>
      <c r="I56" s="25"/>
      <c r="J56" s="33" t="s">
        <v>15</v>
      </c>
      <c r="K56" s="34">
        <f>K54/K55</f>
        <v>2.29691237</v>
      </c>
    </row>
    <row r="57">
      <c r="A57" s="20"/>
      <c r="B57" s="32"/>
      <c r="C57" s="32"/>
      <c r="D57" s="32">
        <v>578.0</v>
      </c>
      <c r="E57" s="32"/>
      <c r="F57" s="32"/>
      <c r="G57" s="32">
        <v>928.0</v>
      </c>
      <c r="H57" s="32"/>
      <c r="I57" s="3"/>
      <c r="J57" s="3"/>
      <c r="K57" s="3"/>
    </row>
  </sheetData>
  <mergeCells count="8">
    <mergeCell ref="A7:A8"/>
    <mergeCell ref="A14:A15"/>
    <mergeCell ref="A21:A22"/>
    <mergeCell ref="A28:A29"/>
    <mergeCell ref="A35:A36"/>
    <mergeCell ref="A42:A43"/>
    <mergeCell ref="A49:A50"/>
    <mergeCell ref="A56:A57"/>
  </mergeCells>
  <conditionalFormatting sqref="K6">
    <cfRule type="notContainsBlanks" dxfId="0" priority="1">
      <formula>LEN(TRIM(K6))&gt;0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19.75"/>
    <col customWidth="1" min="3" max="3" width="16.88"/>
    <col customWidth="1" min="4" max="4" width="18.0"/>
    <col customWidth="1" min="5" max="5" width="16.75"/>
    <col customWidth="1" min="6" max="7" width="17.0"/>
    <col customWidth="1" min="8" max="8" width="16.63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>
        <v>9.0</v>
      </c>
      <c r="M1" s="4" t="s">
        <v>2</v>
      </c>
      <c r="N1" s="4">
        <v>1.0</v>
      </c>
    </row>
    <row r="2">
      <c r="A2" s="3"/>
      <c r="B2" s="3"/>
      <c r="C2" s="3"/>
      <c r="D2" s="3"/>
      <c r="E2" s="3"/>
      <c r="F2" s="3"/>
      <c r="G2" s="3"/>
      <c r="H2" s="3"/>
      <c r="I2" s="3"/>
      <c r="J2" s="4" t="s">
        <v>3</v>
      </c>
    </row>
    <row r="3">
      <c r="A3" s="5"/>
      <c r="B3" s="5"/>
      <c r="C3" s="5"/>
      <c r="D3" s="5"/>
      <c r="E3" s="5"/>
      <c r="F3" s="5"/>
      <c r="G3" s="5"/>
      <c r="H3" s="5"/>
      <c r="I3" s="3"/>
    </row>
    <row r="4">
      <c r="A4" s="6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3"/>
      <c r="J4" s="8"/>
    </row>
    <row r="5">
      <c r="A5" s="9" t="s">
        <v>12</v>
      </c>
      <c r="B5" s="10">
        <v>175.0</v>
      </c>
      <c r="C5" s="10">
        <v>549.13</v>
      </c>
      <c r="D5" s="10">
        <v>916.63</v>
      </c>
      <c r="E5" s="10" t="s">
        <v>28</v>
      </c>
      <c r="F5" s="10" t="s">
        <v>28</v>
      </c>
      <c r="G5" s="10" t="s">
        <v>28</v>
      </c>
      <c r="H5" s="10" t="s">
        <v>28</v>
      </c>
      <c r="I5" s="11"/>
      <c r="J5" s="12" t="s">
        <v>13</v>
      </c>
      <c r="K5" s="13">
        <f>SUM(B5:H6)</f>
        <v>3700.73</v>
      </c>
    </row>
    <row r="6">
      <c r="A6" s="14" t="s">
        <v>13</v>
      </c>
      <c r="B6" s="10">
        <v>476.75</v>
      </c>
      <c r="C6" s="10">
        <v>950.0</v>
      </c>
      <c r="D6" s="10">
        <v>633.22</v>
      </c>
      <c r="E6" s="10"/>
      <c r="F6" s="10"/>
      <c r="G6" s="10"/>
      <c r="H6" s="10"/>
      <c r="I6" s="11"/>
      <c r="J6" s="15" t="s">
        <v>14</v>
      </c>
      <c r="K6" s="16">
        <f>sum(B7:H8)</f>
        <v>1344</v>
      </c>
    </row>
    <row r="7">
      <c r="A7" s="17" t="s">
        <v>14</v>
      </c>
      <c r="B7" s="14"/>
      <c r="C7" s="14">
        <v>244.0</v>
      </c>
      <c r="D7" s="14">
        <v>368.0</v>
      </c>
      <c r="E7" s="14"/>
      <c r="F7" s="14"/>
      <c r="G7" s="14"/>
      <c r="H7" s="14"/>
      <c r="I7" s="11"/>
      <c r="J7" s="18" t="s">
        <v>15</v>
      </c>
      <c r="K7" s="19">
        <f>K5/K6</f>
        <v>2.753519345</v>
      </c>
    </row>
    <row r="8">
      <c r="A8" s="20"/>
      <c r="B8" s="14">
        <v>109.0</v>
      </c>
      <c r="C8" s="14">
        <v>383.0</v>
      </c>
      <c r="D8" s="14">
        <v>240.0</v>
      </c>
      <c r="E8" s="14"/>
      <c r="F8" s="14"/>
      <c r="G8" s="14"/>
      <c r="H8" s="14"/>
      <c r="I8" s="3"/>
      <c r="J8" s="21"/>
    </row>
    <row r="9">
      <c r="A9" s="3"/>
      <c r="B9" s="3"/>
      <c r="C9" s="3"/>
      <c r="D9" s="3"/>
      <c r="E9" s="3"/>
      <c r="F9" s="3"/>
      <c r="G9" s="3"/>
      <c r="H9" s="3"/>
      <c r="I9" s="3"/>
    </row>
    <row r="10">
      <c r="A10" s="5"/>
      <c r="B10" s="5"/>
      <c r="C10" s="5"/>
      <c r="D10" s="5"/>
      <c r="E10" s="5"/>
      <c r="F10" s="5"/>
      <c r="G10" s="5"/>
      <c r="H10" s="5"/>
      <c r="I10" s="3"/>
    </row>
    <row r="11">
      <c r="A11" s="22" t="s">
        <v>4</v>
      </c>
      <c r="B11" s="23" t="s">
        <v>5</v>
      </c>
      <c r="C11" s="23" t="s">
        <v>6</v>
      </c>
      <c r="D11" s="23" t="s">
        <v>7</v>
      </c>
      <c r="E11" s="23" t="s">
        <v>8</v>
      </c>
      <c r="F11" s="23" t="s">
        <v>9</v>
      </c>
      <c r="G11" s="23" t="s">
        <v>10</v>
      </c>
      <c r="H11" s="23" t="s">
        <v>11</v>
      </c>
      <c r="I11" s="3"/>
      <c r="J11" s="3"/>
      <c r="K11" s="3"/>
    </row>
    <row r="12">
      <c r="A12" s="9" t="s">
        <v>16</v>
      </c>
      <c r="B12" s="10">
        <v>944.12</v>
      </c>
      <c r="C12" s="10"/>
      <c r="D12" s="10">
        <v>1043.26</v>
      </c>
      <c r="E12" s="10">
        <v>1116.66</v>
      </c>
      <c r="F12" s="10">
        <v>1193.0</v>
      </c>
      <c r="G12" s="10">
        <v>877.03</v>
      </c>
      <c r="H12" s="10" t="s">
        <v>17</v>
      </c>
      <c r="I12" s="25"/>
      <c r="J12" s="26" t="s">
        <v>13</v>
      </c>
      <c r="K12" s="27">
        <f>SUM(B12:H13)</f>
        <v>9281.23</v>
      </c>
    </row>
    <row r="13">
      <c r="A13" s="28" t="s">
        <v>13</v>
      </c>
      <c r="B13" s="10">
        <v>651.72</v>
      </c>
      <c r="C13" s="10">
        <v>986.85</v>
      </c>
      <c r="D13" s="10">
        <v>517.75</v>
      </c>
      <c r="E13" s="10">
        <v>1950.84</v>
      </c>
      <c r="F13" s="10" t="s">
        <v>48</v>
      </c>
      <c r="G13" s="10"/>
      <c r="H13" s="10"/>
      <c r="I13" s="25"/>
      <c r="J13" s="29" t="s">
        <v>14</v>
      </c>
      <c r="K13" s="30">
        <f>SUM(B14:H15)</f>
        <v>3397</v>
      </c>
    </row>
    <row r="14">
      <c r="A14" s="31" t="s">
        <v>14</v>
      </c>
      <c r="B14" s="32">
        <v>454.0</v>
      </c>
      <c r="C14" s="32"/>
      <c r="D14" s="32">
        <v>506.0</v>
      </c>
      <c r="E14" s="32">
        <v>290.0</v>
      </c>
      <c r="F14" s="32">
        <v>551.0</v>
      </c>
      <c r="G14" s="32">
        <v>407.0</v>
      </c>
      <c r="H14" s="32"/>
      <c r="I14" s="25"/>
      <c r="J14" s="33" t="s">
        <v>15</v>
      </c>
      <c r="K14" s="34">
        <f>K12/K13</f>
        <v>2.73218428</v>
      </c>
    </row>
    <row r="15">
      <c r="A15" s="20"/>
      <c r="B15" s="32">
        <v>240.0</v>
      </c>
      <c r="C15" s="32">
        <v>67.0</v>
      </c>
      <c r="D15" s="32">
        <v>139.0</v>
      </c>
      <c r="E15" s="32">
        <v>743.0</v>
      </c>
      <c r="F15" s="32"/>
      <c r="G15" s="32"/>
      <c r="H15" s="32"/>
      <c r="I15" s="3"/>
      <c r="J15" s="3"/>
      <c r="K15" s="3"/>
    </row>
    <row r="18">
      <c r="A18" s="22" t="s">
        <v>4</v>
      </c>
      <c r="B18" s="23" t="s">
        <v>5</v>
      </c>
      <c r="C18" s="23" t="s">
        <v>6</v>
      </c>
      <c r="D18" s="23" t="s">
        <v>7</v>
      </c>
      <c r="E18" s="23" t="s">
        <v>8</v>
      </c>
      <c r="F18" s="23" t="s">
        <v>9</v>
      </c>
      <c r="G18" s="23" t="s">
        <v>10</v>
      </c>
      <c r="H18" s="23" t="s">
        <v>11</v>
      </c>
      <c r="I18" s="3"/>
      <c r="J18" s="3"/>
      <c r="K18" s="3"/>
    </row>
    <row r="19">
      <c r="A19" s="9" t="s">
        <v>18</v>
      </c>
      <c r="B19" s="10" t="s">
        <v>17</v>
      </c>
      <c r="C19" s="10" t="s">
        <v>17</v>
      </c>
      <c r="D19" s="10" t="s">
        <v>17</v>
      </c>
      <c r="E19" s="10" t="s">
        <v>17</v>
      </c>
      <c r="F19" s="10" t="s">
        <v>17</v>
      </c>
      <c r="G19" s="10" t="s">
        <v>17</v>
      </c>
      <c r="H19" s="10">
        <v>1727.89</v>
      </c>
      <c r="I19" s="35"/>
      <c r="J19" s="26" t="s">
        <v>13</v>
      </c>
      <c r="K19" s="27">
        <f>SUM(B19:H20)</f>
        <v>1727.89</v>
      </c>
    </row>
    <row r="20">
      <c r="A20" s="28" t="s">
        <v>13</v>
      </c>
      <c r="B20" s="10"/>
      <c r="C20" s="10"/>
      <c r="D20" s="10"/>
      <c r="E20" s="10"/>
      <c r="F20" s="10"/>
      <c r="G20" s="10"/>
      <c r="H20" s="10"/>
      <c r="I20" s="25"/>
      <c r="J20" s="29" t="s">
        <v>14</v>
      </c>
      <c r="K20" s="30">
        <f>SUM(B21:H22)</f>
        <v>1139</v>
      </c>
    </row>
    <row r="21">
      <c r="A21" s="31" t="s">
        <v>14</v>
      </c>
      <c r="B21" s="32"/>
      <c r="C21" s="32"/>
      <c r="D21" s="32"/>
      <c r="E21" s="32"/>
      <c r="F21" s="32"/>
      <c r="G21" s="32"/>
      <c r="H21" s="32">
        <v>1139.0</v>
      </c>
      <c r="I21" s="25"/>
      <c r="J21" s="33" t="s">
        <v>15</v>
      </c>
      <c r="K21" s="34">
        <f>K19/K20</f>
        <v>1.517023705</v>
      </c>
    </row>
    <row r="22">
      <c r="A22" s="20"/>
      <c r="B22" s="32"/>
      <c r="C22" s="32"/>
      <c r="D22" s="32"/>
      <c r="E22" s="32"/>
      <c r="F22" s="32"/>
      <c r="G22" s="32"/>
      <c r="H22" s="32"/>
      <c r="I22" s="3"/>
      <c r="J22" s="3"/>
      <c r="K22" s="3"/>
    </row>
    <row r="25">
      <c r="A25" s="22" t="s">
        <v>4</v>
      </c>
      <c r="B25" s="23" t="s">
        <v>5</v>
      </c>
      <c r="C25" s="23" t="s">
        <v>6</v>
      </c>
      <c r="D25" s="23" t="s">
        <v>7</v>
      </c>
      <c r="E25" s="23" t="s">
        <v>8</v>
      </c>
      <c r="F25" s="23" t="s">
        <v>9</v>
      </c>
      <c r="G25" s="23" t="s">
        <v>10</v>
      </c>
      <c r="H25" s="23" t="s">
        <v>11</v>
      </c>
      <c r="I25" s="3"/>
      <c r="J25" s="3"/>
      <c r="K25" s="3"/>
    </row>
    <row r="26">
      <c r="A26" s="37" t="s">
        <v>19</v>
      </c>
      <c r="B26" s="10">
        <v>470.0</v>
      </c>
      <c r="C26" s="10">
        <v>1085.63</v>
      </c>
      <c r="D26" s="10">
        <v>972.73</v>
      </c>
      <c r="E26" s="10">
        <v>984.3</v>
      </c>
      <c r="F26" s="10">
        <v>852.605</v>
      </c>
      <c r="G26" s="10">
        <v>904.46</v>
      </c>
      <c r="H26" s="10">
        <v>703.19</v>
      </c>
      <c r="I26" s="25"/>
      <c r="J26" s="26" t="s">
        <v>13</v>
      </c>
      <c r="K26" s="27">
        <f>SUM(B26:H27)</f>
        <v>9486.298</v>
      </c>
    </row>
    <row r="27">
      <c r="A27" s="28" t="s">
        <v>13</v>
      </c>
      <c r="B27" s="10">
        <v>508.7</v>
      </c>
      <c r="C27" s="10"/>
      <c r="D27" s="10"/>
      <c r="E27" s="10">
        <v>665.523</v>
      </c>
      <c r="F27" s="10">
        <v>1331.94</v>
      </c>
      <c r="G27" s="10">
        <v>1007.22</v>
      </c>
      <c r="H27" s="10"/>
      <c r="I27" s="25"/>
      <c r="J27" s="29" t="s">
        <v>14</v>
      </c>
      <c r="K27" s="30">
        <f>SUM(B28:H29)</f>
        <v>3321</v>
      </c>
    </row>
    <row r="28">
      <c r="A28" s="31" t="s">
        <v>14</v>
      </c>
      <c r="B28" s="32">
        <v>244.0</v>
      </c>
      <c r="C28" s="32">
        <v>434.0</v>
      </c>
      <c r="D28" s="32">
        <v>428.0</v>
      </c>
      <c r="E28" s="32">
        <v>231.0</v>
      </c>
      <c r="F28" s="32">
        <v>359.0</v>
      </c>
      <c r="G28" s="32">
        <v>357.0</v>
      </c>
      <c r="H28" s="32">
        <v>233.0</v>
      </c>
      <c r="I28" s="25"/>
      <c r="J28" s="33" t="s">
        <v>15</v>
      </c>
      <c r="K28" s="34">
        <f>K26/K27</f>
        <v>2.856458296</v>
      </c>
    </row>
    <row r="29">
      <c r="A29" s="20"/>
      <c r="B29" s="32">
        <v>111.0</v>
      </c>
      <c r="C29" s="32"/>
      <c r="D29" s="32"/>
      <c r="E29" s="32">
        <v>244.0</v>
      </c>
      <c r="F29" s="32">
        <v>479.0</v>
      </c>
      <c r="G29" s="32">
        <v>201.0</v>
      </c>
      <c r="H29" s="32"/>
      <c r="I29" s="3"/>
      <c r="J29" s="3"/>
      <c r="K29" s="3"/>
    </row>
    <row r="32">
      <c r="A32" s="22" t="s">
        <v>4</v>
      </c>
      <c r="B32" s="23" t="s">
        <v>5</v>
      </c>
      <c r="C32" s="23" t="s">
        <v>6</v>
      </c>
      <c r="D32" s="23" t="s">
        <v>7</v>
      </c>
      <c r="E32" s="23" t="s">
        <v>8</v>
      </c>
      <c r="F32" s="23" t="s">
        <v>9</v>
      </c>
      <c r="G32" s="23" t="s">
        <v>10</v>
      </c>
      <c r="H32" s="23" t="s">
        <v>11</v>
      </c>
      <c r="I32" s="3"/>
      <c r="J32" s="3"/>
      <c r="K32" s="3"/>
    </row>
    <row r="33">
      <c r="A33" s="37" t="s">
        <v>20</v>
      </c>
      <c r="B33" s="10">
        <v>1281.744</v>
      </c>
      <c r="C33" s="10">
        <v>728.9</v>
      </c>
      <c r="D33" s="10">
        <v>550.17</v>
      </c>
      <c r="E33" s="10">
        <v>1019.25</v>
      </c>
      <c r="F33" s="10" t="s">
        <v>44</v>
      </c>
      <c r="G33" s="10" t="s">
        <v>44</v>
      </c>
      <c r="H33" s="10" t="s">
        <v>44</v>
      </c>
      <c r="I33" s="25"/>
      <c r="J33" s="26" t="s">
        <v>13</v>
      </c>
      <c r="K33" s="27">
        <f>SUM(B33:H34)</f>
        <v>6014.864</v>
      </c>
    </row>
    <row r="34">
      <c r="A34" s="28" t="s">
        <v>13</v>
      </c>
      <c r="B34" s="10">
        <v>1024.38</v>
      </c>
      <c r="C34" s="10">
        <v>707.34</v>
      </c>
      <c r="D34" s="10">
        <v>703.08</v>
      </c>
      <c r="E34" s="10"/>
      <c r="F34" s="10"/>
      <c r="G34" s="10"/>
      <c r="H34" s="10"/>
      <c r="I34" s="25"/>
      <c r="J34" s="29" t="s">
        <v>14</v>
      </c>
      <c r="K34" s="30">
        <f>SUM(B35:H36)</f>
        <v>1889</v>
      </c>
    </row>
    <row r="35">
      <c r="A35" s="31" t="s">
        <v>14</v>
      </c>
      <c r="B35" s="32">
        <v>178.0</v>
      </c>
      <c r="C35" s="32">
        <v>280.0</v>
      </c>
      <c r="D35" s="32"/>
      <c r="E35" s="32">
        <v>458.0</v>
      </c>
      <c r="F35" s="32"/>
      <c r="G35" s="32"/>
      <c r="H35" s="32"/>
      <c r="I35" s="25"/>
      <c r="J35" s="33" t="s">
        <v>15</v>
      </c>
      <c r="K35" s="34">
        <f>K33/K34</f>
        <v>3.184152462</v>
      </c>
    </row>
    <row r="36">
      <c r="A36" s="20"/>
      <c r="B36" s="32">
        <v>459.0</v>
      </c>
      <c r="C36" s="32">
        <v>261.0</v>
      </c>
      <c r="D36" s="32">
        <v>253.0</v>
      </c>
      <c r="E36" s="32"/>
      <c r="F36" s="32"/>
      <c r="G36" s="32"/>
      <c r="H36" s="32"/>
      <c r="I36" s="3"/>
      <c r="J36" s="3"/>
      <c r="K36" s="3"/>
    </row>
    <row r="39">
      <c r="A39" s="22" t="s">
        <v>4</v>
      </c>
      <c r="B39" s="23" t="s">
        <v>5</v>
      </c>
      <c r="C39" s="23" t="s">
        <v>6</v>
      </c>
      <c r="D39" s="23" t="s">
        <v>7</v>
      </c>
      <c r="E39" s="23" t="s">
        <v>8</v>
      </c>
      <c r="F39" s="23" t="s">
        <v>9</v>
      </c>
      <c r="G39" s="23" t="s">
        <v>10</v>
      </c>
      <c r="H39" s="23" t="s">
        <v>11</v>
      </c>
      <c r="I39" s="3"/>
      <c r="J39" s="3"/>
      <c r="K39" s="3"/>
    </row>
    <row r="40">
      <c r="A40" s="9" t="s">
        <v>22</v>
      </c>
      <c r="B40" s="10">
        <v>641.56</v>
      </c>
      <c r="C40" s="10" t="s">
        <v>17</v>
      </c>
      <c r="D40" s="10" t="s">
        <v>17</v>
      </c>
      <c r="E40" s="10" t="s">
        <v>17</v>
      </c>
      <c r="F40" s="10" t="s">
        <v>17</v>
      </c>
      <c r="G40" s="10" t="s">
        <v>17</v>
      </c>
      <c r="H40" s="10" t="s">
        <v>17</v>
      </c>
      <c r="I40" s="25"/>
      <c r="J40" s="26" t="s">
        <v>13</v>
      </c>
      <c r="K40" s="27">
        <f>SUM(B40:H41)</f>
        <v>641.56</v>
      </c>
    </row>
    <row r="41">
      <c r="A41" s="28" t="s">
        <v>13</v>
      </c>
      <c r="B41" s="10"/>
      <c r="C41" s="10"/>
      <c r="D41" s="10"/>
      <c r="E41" s="10"/>
      <c r="F41" s="10"/>
      <c r="G41" s="10"/>
      <c r="H41" s="10"/>
      <c r="I41" s="25"/>
      <c r="J41" s="29" t="s">
        <v>14</v>
      </c>
      <c r="K41" s="30">
        <f>SUM(B42:H43)</f>
        <v>191</v>
      </c>
    </row>
    <row r="42">
      <c r="A42" s="31" t="s">
        <v>14</v>
      </c>
      <c r="B42" s="32">
        <v>191.0</v>
      </c>
      <c r="C42" s="32"/>
      <c r="D42" s="32"/>
      <c r="E42" s="32"/>
      <c r="F42" s="32"/>
      <c r="G42" s="32"/>
      <c r="H42" s="32"/>
      <c r="I42" s="25"/>
      <c r="J42" s="33" t="s">
        <v>15</v>
      </c>
      <c r="K42" s="34">
        <f>K40/K41</f>
        <v>3.35895288</v>
      </c>
    </row>
    <row r="43">
      <c r="A43" s="20"/>
      <c r="B43" s="32"/>
      <c r="C43" s="32"/>
      <c r="D43" s="32"/>
      <c r="E43" s="32"/>
      <c r="F43" s="32"/>
      <c r="G43" s="32"/>
      <c r="H43" s="32"/>
      <c r="I43" s="3"/>
      <c r="J43" s="3"/>
      <c r="K43" s="3"/>
    </row>
    <row r="46">
      <c r="A46" s="22" t="s">
        <v>4</v>
      </c>
      <c r="B46" s="23" t="s">
        <v>5</v>
      </c>
      <c r="C46" s="23" t="s">
        <v>6</v>
      </c>
      <c r="D46" s="23" t="s">
        <v>7</v>
      </c>
      <c r="E46" s="23" t="s">
        <v>8</v>
      </c>
      <c r="F46" s="23" t="s">
        <v>9</v>
      </c>
      <c r="G46" s="23" t="s">
        <v>10</v>
      </c>
      <c r="H46" s="23" t="s">
        <v>11</v>
      </c>
      <c r="I46" s="3"/>
      <c r="J46" s="3"/>
      <c r="K46" s="3"/>
    </row>
    <row r="47">
      <c r="A47" s="37" t="s">
        <v>46</v>
      </c>
      <c r="B47" s="10" t="s">
        <v>17</v>
      </c>
      <c r="C47" s="10" t="s">
        <v>17</v>
      </c>
      <c r="D47" s="10" t="s">
        <v>17</v>
      </c>
      <c r="E47" s="10" t="s">
        <v>17</v>
      </c>
      <c r="F47" s="10" t="s">
        <v>17</v>
      </c>
      <c r="G47" s="10" t="s">
        <v>17</v>
      </c>
      <c r="H47" s="10" t="s">
        <v>17</v>
      </c>
      <c r="I47" s="25"/>
      <c r="J47" s="26" t="s">
        <v>13</v>
      </c>
      <c r="K47" s="27">
        <f>SUM(B47:H48)</f>
        <v>0</v>
      </c>
    </row>
    <row r="48">
      <c r="A48" s="28" t="s">
        <v>13</v>
      </c>
      <c r="B48" s="10"/>
      <c r="C48" s="10"/>
      <c r="D48" s="10"/>
      <c r="E48" s="10"/>
      <c r="F48" s="10"/>
      <c r="G48" s="10"/>
      <c r="H48" s="10"/>
      <c r="I48" s="25"/>
      <c r="J48" s="29" t="s">
        <v>14</v>
      </c>
      <c r="K48" s="30">
        <f>SUM(B49:H50)</f>
        <v>0</v>
      </c>
    </row>
    <row r="49">
      <c r="A49" s="31" t="s">
        <v>14</v>
      </c>
      <c r="B49" s="32"/>
      <c r="C49" s="32"/>
      <c r="D49" s="32"/>
      <c r="E49" s="32"/>
      <c r="F49" s="32"/>
      <c r="G49" s="32"/>
      <c r="H49" s="32"/>
      <c r="I49" s="25"/>
      <c r="J49" s="33" t="s">
        <v>15</v>
      </c>
      <c r="K49" s="36" t="str">
        <f>K47/K48</f>
        <v>#DIV/0!</v>
      </c>
    </row>
    <row r="50">
      <c r="A50" s="20"/>
      <c r="B50" s="32"/>
      <c r="C50" s="32"/>
      <c r="D50" s="32"/>
      <c r="E50" s="32"/>
      <c r="F50" s="32"/>
      <c r="G50" s="32"/>
      <c r="H50" s="32"/>
      <c r="I50" s="3"/>
      <c r="J50" s="3"/>
      <c r="K50" s="3"/>
    </row>
    <row r="53">
      <c r="A53" s="22" t="s">
        <v>4</v>
      </c>
      <c r="B53" s="23" t="s">
        <v>5</v>
      </c>
      <c r="C53" s="23" t="s">
        <v>6</v>
      </c>
      <c r="D53" s="23" t="s">
        <v>7</v>
      </c>
      <c r="E53" s="23" t="s">
        <v>8</v>
      </c>
      <c r="F53" s="23" t="s">
        <v>9</v>
      </c>
      <c r="G53" s="23" t="s">
        <v>10</v>
      </c>
      <c r="H53" s="23" t="s">
        <v>11</v>
      </c>
      <c r="I53" s="3"/>
      <c r="J53" s="3"/>
      <c r="K53" s="3"/>
    </row>
    <row r="54">
      <c r="A54" s="37" t="s">
        <v>47</v>
      </c>
      <c r="B54" s="10">
        <v>658.81</v>
      </c>
      <c r="C54" s="10">
        <v>547.53</v>
      </c>
      <c r="D54" s="10" t="s">
        <v>26</v>
      </c>
      <c r="E54" s="10">
        <v>991.38</v>
      </c>
      <c r="F54" s="10"/>
      <c r="G54" s="10">
        <v>2016.85</v>
      </c>
      <c r="H54" s="10">
        <v>3545.77</v>
      </c>
      <c r="I54" s="25"/>
      <c r="J54" s="26" t="s">
        <v>13</v>
      </c>
      <c r="K54" s="27">
        <f>SUM(B54:H55)</f>
        <v>12834.411</v>
      </c>
    </row>
    <row r="55">
      <c r="A55" s="28" t="s">
        <v>13</v>
      </c>
      <c r="B55" s="10">
        <v>1365.75</v>
      </c>
      <c r="C55" s="10">
        <v>1314.06</v>
      </c>
      <c r="D55" s="10"/>
      <c r="E55" s="10"/>
      <c r="F55" s="10">
        <v>1087.031</v>
      </c>
      <c r="G55" s="10">
        <v>1307.23</v>
      </c>
      <c r="H55" s="10"/>
      <c r="I55" s="25"/>
      <c r="J55" s="29" t="s">
        <v>14</v>
      </c>
      <c r="K55" s="30">
        <f>SUM(B56:H57)</f>
        <v>5285</v>
      </c>
    </row>
    <row r="56">
      <c r="A56" s="31" t="s">
        <v>14</v>
      </c>
      <c r="B56" s="32">
        <v>320.0</v>
      </c>
      <c r="C56" s="32">
        <v>243.0</v>
      </c>
      <c r="D56" s="32"/>
      <c r="E56" s="32">
        <v>466.0</v>
      </c>
      <c r="F56" s="32"/>
      <c r="G56" s="32">
        <v>440.0</v>
      </c>
      <c r="H56" s="32">
        <v>1698.0</v>
      </c>
      <c r="I56" s="25"/>
      <c r="J56" s="33" t="s">
        <v>15</v>
      </c>
      <c r="K56" s="34">
        <f>K54/K55</f>
        <v>2.428459981</v>
      </c>
    </row>
    <row r="57">
      <c r="A57" s="20"/>
      <c r="B57" s="32">
        <v>682.0</v>
      </c>
      <c r="C57" s="32">
        <v>541.0</v>
      </c>
      <c r="D57" s="32"/>
      <c r="E57" s="32"/>
      <c r="F57" s="32">
        <v>429.0</v>
      </c>
      <c r="G57" s="32">
        <v>466.0</v>
      </c>
      <c r="H57" s="32"/>
      <c r="I57" s="3"/>
      <c r="J57" s="3"/>
      <c r="K57" s="3"/>
    </row>
  </sheetData>
  <mergeCells count="8">
    <mergeCell ref="A7:A8"/>
    <mergeCell ref="A14:A15"/>
    <mergeCell ref="A21:A22"/>
    <mergeCell ref="A28:A29"/>
    <mergeCell ref="A35:A36"/>
    <mergeCell ref="A42:A43"/>
    <mergeCell ref="A49:A50"/>
    <mergeCell ref="A56:A57"/>
  </mergeCells>
  <conditionalFormatting sqref="K6">
    <cfRule type="notContainsBlanks" dxfId="0" priority="1">
      <formula>LEN(TRIM(K6))&gt;0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19.75"/>
    <col customWidth="1" min="3" max="3" width="16.88"/>
    <col customWidth="1" min="4" max="4" width="18.0"/>
    <col customWidth="1" min="5" max="5" width="16.75"/>
    <col customWidth="1" min="6" max="7" width="17.0"/>
    <col customWidth="1" min="8" max="8" width="16.63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>
        <v>9.0</v>
      </c>
      <c r="M1" s="4" t="s">
        <v>2</v>
      </c>
      <c r="N1" s="4">
        <v>1.0</v>
      </c>
    </row>
    <row r="2">
      <c r="A2" s="3"/>
      <c r="B2" s="3"/>
      <c r="C2" s="3"/>
      <c r="D2" s="3"/>
      <c r="E2" s="3"/>
      <c r="F2" s="3"/>
      <c r="G2" s="3"/>
      <c r="H2" s="3"/>
      <c r="I2" s="3"/>
      <c r="J2" s="4" t="s">
        <v>3</v>
      </c>
    </row>
    <row r="3">
      <c r="A3" s="5"/>
      <c r="B3" s="5"/>
      <c r="C3" s="5"/>
      <c r="D3" s="5"/>
      <c r="E3" s="5"/>
      <c r="F3" s="5"/>
      <c r="G3" s="5"/>
      <c r="H3" s="5"/>
      <c r="I3" s="3"/>
    </row>
    <row r="4">
      <c r="A4" s="6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3"/>
      <c r="J4" s="8"/>
    </row>
    <row r="5">
      <c r="A5" s="9" t="s">
        <v>12</v>
      </c>
      <c r="B5" s="10" t="s">
        <v>49</v>
      </c>
      <c r="C5" s="10">
        <v>508.7</v>
      </c>
      <c r="D5" s="10">
        <v>667.23</v>
      </c>
      <c r="E5" s="10">
        <v>1100.0</v>
      </c>
      <c r="F5" s="10">
        <v>175.0</v>
      </c>
      <c r="G5" s="10" t="s">
        <v>50</v>
      </c>
      <c r="H5" s="10"/>
      <c r="I5" s="11"/>
      <c r="J5" s="12" t="s">
        <v>13</v>
      </c>
      <c r="K5" s="13">
        <f>SUM(B5:H6)</f>
        <v>4706.86</v>
      </c>
    </row>
    <row r="6">
      <c r="A6" s="14" t="s">
        <v>13</v>
      </c>
      <c r="B6" s="10" t="s">
        <v>28</v>
      </c>
      <c r="C6" s="10">
        <v>633.12</v>
      </c>
      <c r="D6" s="10"/>
      <c r="E6" s="10"/>
      <c r="F6" s="10">
        <v>1078.89</v>
      </c>
      <c r="G6" s="10" t="s">
        <v>50</v>
      </c>
      <c r="H6" s="10">
        <v>543.92</v>
      </c>
      <c r="I6" s="11"/>
      <c r="J6" s="15" t="s">
        <v>14</v>
      </c>
      <c r="K6" s="16">
        <f>sum(B7:H8)</f>
        <v>1784</v>
      </c>
    </row>
    <row r="7">
      <c r="A7" s="17" t="s">
        <v>14</v>
      </c>
      <c r="B7" s="14"/>
      <c r="C7" s="14">
        <v>250.0</v>
      </c>
      <c r="D7" s="14">
        <v>225.0</v>
      </c>
      <c r="E7" s="14">
        <v>419.0</v>
      </c>
      <c r="F7" s="14"/>
      <c r="G7" s="14"/>
      <c r="H7" s="14"/>
      <c r="I7" s="11"/>
      <c r="J7" s="18" t="s">
        <v>15</v>
      </c>
      <c r="K7" s="19">
        <f>K5/K6</f>
        <v>2.638374439</v>
      </c>
    </row>
    <row r="8">
      <c r="A8" s="20"/>
      <c r="B8" s="14"/>
      <c r="C8" s="14">
        <v>250.0</v>
      </c>
      <c r="D8" s="14"/>
      <c r="E8" s="14"/>
      <c r="F8" s="14">
        <v>468.0</v>
      </c>
      <c r="G8" s="14"/>
      <c r="H8" s="14">
        <v>172.0</v>
      </c>
      <c r="I8" s="3"/>
      <c r="J8" s="21"/>
    </row>
    <row r="9">
      <c r="A9" s="3"/>
      <c r="B9" s="3"/>
      <c r="C9" s="3"/>
      <c r="D9" s="3"/>
      <c r="E9" s="3"/>
      <c r="F9" s="3"/>
      <c r="G9" s="3"/>
      <c r="H9" s="3"/>
      <c r="I9" s="3"/>
    </row>
    <row r="10">
      <c r="A10" s="5"/>
      <c r="B10" s="5"/>
      <c r="C10" s="5"/>
      <c r="D10" s="5"/>
      <c r="E10" s="5"/>
      <c r="F10" s="5"/>
      <c r="G10" s="5"/>
      <c r="H10" s="5"/>
      <c r="I10" s="3"/>
    </row>
    <row r="11">
      <c r="A11" s="22" t="s">
        <v>4</v>
      </c>
      <c r="B11" s="23" t="s">
        <v>5</v>
      </c>
      <c r="C11" s="23" t="s">
        <v>6</v>
      </c>
      <c r="D11" s="23" t="s">
        <v>7</v>
      </c>
      <c r="E11" s="23" t="s">
        <v>8</v>
      </c>
      <c r="F11" s="23" t="s">
        <v>9</v>
      </c>
      <c r="G11" s="23" t="s">
        <v>10</v>
      </c>
      <c r="H11" s="23" t="s">
        <v>11</v>
      </c>
      <c r="I11" s="3"/>
      <c r="J11" s="3"/>
      <c r="K11" s="3"/>
    </row>
    <row r="12">
      <c r="A12" s="9" t="s">
        <v>16</v>
      </c>
      <c r="B12" s="10">
        <v>750.0</v>
      </c>
      <c r="C12" s="10">
        <v>809.97</v>
      </c>
      <c r="D12" s="10">
        <v>800.13</v>
      </c>
      <c r="E12" s="10">
        <v>935.85</v>
      </c>
      <c r="F12" s="10">
        <v>1267.89</v>
      </c>
      <c r="G12" s="10">
        <v>791.46</v>
      </c>
      <c r="H12" s="10">
        <v>736.75</v>
      </c>
      <c r="I12" s="25"/>
      <c r="J12" s="26" t="s">
        <v>13</v>
      </c>
      <c r="K12" s="27">
        <f>SUM(B12:H13)</f>
        <v>9407.18</v>
      </c>
    </row>
    <row r="13">
      <c r="A13" s="28" t="s">
        <v>13</v>
      </c>
      <c r="B13" s="10"/>
      <c r="C13" s="10">
        <v>175.0</v>
      </c>
      <c r="D13" s="10">
        <v>1539.72</v>
      </c>
      <c r="E13" s="10"/>
      <c r="F13" s="10">
        <v>11.13</v>
      </c>
      <c r="G13" s="10">
        <v>800.0</v>
      </c>
      <c r="H13" s="10">
        <v>789.28</v>
      </c>
      <c r="I13" s="25"/>
      <c r="J13" s="29" t="s">
        <v>14</v>
      </c>
      <c r="K13" s="30">
        <f>SUM(B14:H15)</f>
        <v>3702</v>
      </c>
    </row>
    <row r="14">
      <c r="A14" s="31" t="s">
        <v>14</v>
      </c>
      <c r="B14" s="32">
        <v>292.0</v>
      </c>
      <c r="C14" s="32">
        <v>312.0</v>
      </c>
      <c r="D14" s="32">
        <v>182.0</v>
      </c>
      <c r="E14" s="32">
        <v>426.0</v>
      </c>
      <c r="F14" s="32">
        <v>509.0</v>
      </c>
      <c r="G14" s="32">
        <v>351.0</v>
      </c>
      <c r="H14" s="32">
        <v>333.0</v>
      </c>
      <c r="I14" s="25"/>
      <c r="J14" s="33" t="s">
        <v>15</v>
      </c>
      <c r="K14" s="34">
        <f>K12/K13</f>
        <v>2.541107509</v>
      </c>
    </row>
    <row r="15">
      <c r="A15" s="20"/>
      <c r="B15" s="32"/>
      <c r="C15" s="32"/>
      <c r="D15" s="32">
        <v>624.0</v>
      </c>
      <c r="E15" s="32"/>
      <c r="F15" s="32">
        <v>19.0</v>
      </c>
      <c r="G15" s="32">
        <v>342.0</v>
      </c>
      <c r="H15" s="32">
        <v>312.0</v>
      </c>
      <c r="I15" s="3"/>
      <c r="J15" s="3"/>
      <c r="K15" s="3"/>
    </row>
    <row r="18">
      <c r="A18" s="22" t="s">
        <v>4</v>
      </c>
      <c r="B18" s="23" t="s">
        <v>5</v>
      </c>
      <c r="C18" s="23" t="s">
        <v>6</v>
      </c>
      <c r="D18" s="23" t="s">
        <v>7</v>
      </c>
      <c r="E18" s="23" t="s">
        <v>8</v>
      </c>
      <c r="F18" s="23" t="s">
        <v>9</v>
      </c>
      <c r="G18" s="23" t="s">
        <v>10</v>
      </c>
      <c r="H18" s="23" t="s">
        <v>11</v>
      </c>
      <c r="I18" s="3"/>
      <c r="J18" s="3"/>
      <c r="K18" s="3"/>
    </row>
    <row r="19">
      <c r="A19" s="9" t="s">
        <v>18</v>
      </c>
      <c r="B19" s="10">
        <v>1302.66</v>
      </c>
      <c r="C19" s="10">
        <v>993.03</v>
      </c>
      <c r="D19" s="10" t="s">
        <v>48</v>
      </c>
      <c r="E19" s="10">
        <v>5653.3</v>
      </c>
      <c r="F19" s="10" t="s">
        <v>51</v>
      </c>
      <c r="G19" s="10" t="s">
        <v>51</v>
      </c>
      <c r="H19" s="10" t="s">
        <v>51</v>
      </c>
      <c r="I19" s="35"/>
      <c r="J19" s="26" t="s">
        <v>13</v>
      </c>
      <c r="K19" s="27">
        <f>SUM(B19:H20)</f>
        <v>7948.99</v>
      </c>
    </row>
    <row r="20">
      <c r="A20" s="28" t="s">
        <v>13</v>
      </c>
      <c r="B20" s="10"/>
      <c r="C20" s="10"/>
      <c r="D20" s="10"/>
      <c r="E20" s="10"/>
      <c r="F20" s="10"/>
      <c r="G20" s="10"/>
      <c r="H20" s="10"/>
      <c r="I20" s="25"/>
      <c r="J20" s="29" t="s">
        <v>14</v>
      </c>
      <c r="K20" s="30">
        <f>SUM(B21:H22)</f>
        <v>3907</v>
      </c>
    </row>
    <row r="21">
      <c r="A21" s="31" t="s">
        <v>14</v>
      </c>
      <c r="B21" s="32">
        <v>760.0</v>
      </c>
      <c r="C21" s="32">
        <v>458.0</v>
      </c>
      <c r="D21" s="32"/>
      <c r="E21" s="32">
        <v>2689.0</v>
      </c>
      <c r="F21" s="32"/>
      <c r="G21" s="32"/>
      <c r="H21" s="32"/>
      <c r="I21" s="25"/>
      <c r="J21" s="33" t="s">
        <v>15</v>
      </c>
      <c r="K21" s="34">
        <f>K19/K20</f>
        <v>2.034550806</v>
      </c>
    </row>
    <row r="22">
      <c r="A22" s="20"/>
      <c r="B22" s="32"/>
      <c r="C22" s="32"/>
      <c r="D22" s="32"/>
      <c r="E22" s="32"/>
      <c r="F22" s="32"/>
      <c r="G22" s="32"/>
      <c r="H22" s="32"/>
      <c r="I22" s="3"/>
      <c r="J22" s="3"/>
      <c r="K22" s="3"/>
    </row>
    <row r="25">
      <c r="A25" s="22" t="s">
        <v>4</v>
      </c>
      <c r="B25" s="23" t="s">
        <v>5</v>
      </c>
      <c r="C25" s="23" t="s">
        <v>6</v>
      </c>
      <c r="D25" s="23" t="s">
        <v>7</v>
      </c>
      <c r="E25" s="23" t="s">
        <v>8</v>
      </c>
      <c r="F25" s="23" t="s">
        <v>9</v>
      </c>
      <c r="G25" s="23" t="s">
        <v>10</v>
      </c>
      <c r="H25" s="23" t="s">
        <v>11</v>
      </c>
      <c r="I25" s="3"/>
      <c r="J25" s="3"/>
      <c r="K25" s="3"/>
    </row>
    <row r="26">
      <c r="A26" s="37" t="s">
        <v>19</v>
      </c>
      <c r="B26" s="10" t="s">
        <v>17</v>
      </c>
      <c r="C26" s="10" t="s">
        <v>17</v>
      </c>
      <c r="D26" s="10" t="s">
        <v>17</v>
      </c>
      <c r="E26" s="10">
        <v>985.55</v>
      </c>
      <c r="F26" s="10">
        <v>542.86</v>
      </c>
      <c r="G26" s="10">
        <v>757.86</v>
      </c>
      <c r="H26" s="10" t="s">
        <v>52</v>
      </c>
      <c r="I26" s="25"/>
      <c r="J26" s="26" t="s">
        <v>13</v>
      </c>
      <c r="K26" s="27">
        <f>SUM(B26:H27)</f>
        <v>2286.27</v>
      </c>
    </row>
    <row r="27">
      <c r="A27" s="28" t="s">
        <v>13</v>
      </c>
      <c r="B27" s="10"/>
      <c r="C27" s="10"/>
      <c r="D27" s="10"/>
      <c r="E27" s="10"/>
      <c r="F27" s="10"/>
      <c r="G27" s="10"/>
      <c r="H27" s="10"/>
      <c r="I27" s="25"/>
      <c r="J27" s="29" t="s">
        <v>14</v>
      </c>
      <c r="K27" s="30">
        <f>SUM(B28:H29)</f>
        <v>856</v>
      </c>
    </row>
    <row r="28">
      <c r="A28" s="31" t="s">
        <v>14</v>
      </c>
      <c r="B28" s="32"/>
      <c r="C28" s="32"/>
      <c r="D28" s="32"/>
      <c r="E28" s="32">
        <v>467.0</v>
      </c>
      <c r="F28" s="32">
        <v>132.0</v>
      </c>
      <c r="G28" s="32">
        <v>257.0</v>
      </c>
      <c r="H28" s="32"/>
      <c r="I28" s="25"/>
      <c r="J28" s="33" t="s">
        <v>15</v>
      </c>
      <c r="K28" s="34">
        <f>K26/K27</f>
        <v>2.670876168</v>
      </c>
    </row>
    <row r="29">
      <c r="A29" s="20"/>
      <c r="B29" s="32"/>
      <c r="C29" s="32"/>
      <c r="D29" s="32"/>
      <c r="E29" s="32"/>
      <c r="F29" s="32"/>
      <c r="G29" s="32"/>
      <c r="H29" s="32"/>
      <c r="I29" s="3"/>
      <c r="J29" s="3"/>
      <c r="K29" s="3"/>
    </row>
    <row r="32">
      <c r="A32" s="22" t="s">
        <v>4</v>
      </c>
      <c r="B32" s="23" t="s">
        <v>5</v>
      </c>
      <c r="C32" s="23" t="s">
        <v>6</v>
      </c>
      <c r="D32" s="23" t="s">
        <v>7</v>
      </c>
      <c r="E32" s="23" t="s">
        <v>8</v>
      </c>
      <c r="F32" s="23" t="s">
        <v>9</v>
      </c>
      <c r="G32" s="23" t="s">
        <v>10</v>
      </c>
      <c r="H32" s="23" t="s">
        <v>11</v>
      </c>
      <c r="I32" s="3"/>
      <c r="J32" s="3"/>
      <c r="K32" s="3"/>
    </row>
    <row r="33">
      <c r="A33" s="37" t="s">
        <v>20</v>
      </c>
      <c r="B33" s="10">
        <v>544.55</v>
      </c>
      <c r="C33" s="10">
        <v>175.0</v>
      </c>
      <c r="D33" s="10" t="s">
        <v>24</v>
      </c>
      <c r="E33" s="10">
        <v>4997.42</v>
      </c>
      <c r="F33" s="10" t="s">
        <v>24</v>
      </c>
      <c r="G33" s="10" t="s">
        <v>24</v>
      </c>
      <c r="H33" s="10" t="s">
        <v>24</v>
      </c>
      <c r="I33" s="25"/>
      <c r="J33" s="26" t="s">
        <v>13</v>
      </c>
      <c r="K33" s="27">
        <f>SUM(B33:H34)</f>
        <v>11037.69</v>
      </c>
    </row>
    <row r="34">
      <c r="A34" s="28" t="s">
        <v>13</v>
      </c>
      <c r="B34" s="10">
        <v>175.0</v>
      </c>
      <c r="C34" s="10">
        <v>5145.72</v>
      </c>
      <c r="D34" s="10"/>
      <c r="E34" s="10"/>
      <c r="F34" s="10"/>
      <c r="G34" s="10"/>
      <c r="H34" s="10"/>
      <c r="I34" s="25"/>
      <c r="J34" s="29" t="s">
        <v>14</v>
      </c>
      <c r="K34" s="30">
        <f>SUM(B35:H36)</f>
        <v>4689</v>
      </c>
    </row>
    <row r="35">
      <c r="A35" s="31" t="s">
        <v>14</v>
      </c>
      <c r="B35" s="32">
        <v>245.0</v>
      </c>
      <c r="C35" s="32"/>
      <c r="D35" s="32"/>
      <c r="E35" s="32">
        <v>2235.0</v>
      </c>
      <c r="F35" s="32"/>
      <c r="G35" s="32"/>
      <c r="H35" s="32"/>
      <c r="I35" s="25"/>
      <c r="J35" s="33" t="s">
        <v>15</v>
      </c>
      <c r="K35" s="34">
        <f>K33/K34</f>
        <v>2.353953935</v>
      </c>
    </row>
    <row r="36">
      <c r="A36" s="20"/>
      <c r="B36" s="32"/>
      <c r="C36" s="32">
        <v>2209.0</v>
      </c>
      <c r="D36" s="32"/>
      <c r="E36" s="32"/>
      <c r="F36" s="32"/>
      <c r="G36" s="32"/>
      <c r="H36" s="32"/>
      <c r="I36" s="3"/>
      <c r="J36" s="3"/>
      <c r="K36" s="3"/>
    </row>
    <row r="39">
      <c r="A39" s="22" t="s">
        <v>4</v>
      </c>
      <c r="B39" s="23" t="s">
        <v>5</v>
      </c>
      <c r="C39" s="23" t="s">
        <v>6</v>
      </c>
      <c r="D39" s="23" t="s">
        <v>7</v>
      </c>
      <c r="E39" s="23" t="s">
        <v>8</v>
      </c>
      <c r="F39" s="23" t="s">
        <v>9</v>
      </c>
      <c r="G39" s="23" t="s">
        <v>10</v>
      </c>
      <c r="H39" s="23" t="s">
        <v>11</v>
      </c>
      <c r="I39" s="3"/>
      <c r="J39" s="3"/>
      <c r="K39" s="3"/>
    </row>
    <row r="40">
      <c r="A40" s="9" t="s">
        <v>53</v>
      </c>
      <c r="B40" s="10">
        <v>1033.073</v>
      </c>
      <c r="C40" s="10">
        <v>5007.2</v>
      </c>
      <c r="D40" s="10" t="s">
        <v>24</v>
      </c>
      <c r="E40" s="10">
        <v>2232.83</v>
      </c>
      <c r="F40" s="10">
        <v>905.01</v>
      </c>
      <c r="G40" s="10">
        <v>1004.48</v>
      </c>
      <c r="H40" s="10">
        <v>2471.08</v>
      </c>
      <c r="I40" s="25"/>
      <c r="J40" s="26" t="s">
        <v>13</v>
      </c>
      <c r="K40" s="27">
        <f>SUM(B40:H41)</f>
        <v>12827.653</v>
      </c>
    </row>
    <row r="41">
      <c r="A41" s="28" t="s">
        <v>13</v>
      </c>
      <c r="B41" s="10"/>
      <c r="C41" s="10"/>
      <c r="D41" s="10"/>
      <c r="E41" s="10"/>
      <c r="F41" s="10"/>
      <c r="G41" s="10"/>
      <c r="H41" s="10">
        <v>173.98</v>
      </c>
      <c r="I41" s="25"/>
      <c r="J41" s="29" t="s">
        <v>14</v>
      </c>
      <c r="K41" s="30">
        <f>SUM(B42:H43)</f>
        <v>4992</v>
      </c>
    </row>
    <row r="42">
      <c r="A42" s="31" t="s">
        <v>14</v>
      </c>
      <c r="B42" s="32">
        <v>437.0</v>
      </c>
      <c r="C42" s="32">
        <v>1985.0</v>
      </c>
      <c r="D42" s="32"/>
      <c r="E42" s="32">
        <v>934.0</v>
      </c>
      <c r="F42" s="32">
        <v>452.0</v>
      </c>
      <c r="G42" s="32">
        <v>291.0</v>
      </c>
      <c r="H42" s="32">
        <v>847.0</v>
      </c>
      <c r="I42" s="25"/>
      <c r="J42" s="33" t="s">
        <v>15</v>
      </c>
      <c r="K42" s="34">
        <f>K40/K41</f>
        <v>2.569642027</v>
      </c>
    </row>
    <row r="43">
      <c r="A43" s="20"/>
      <c r="B43" s="32"/>
      <c r="C43" s="32"/>
      <c r="D43" s="32"/>
      <c r="E43" s="32"/>
      <c r="F43" s="32"/>
      <c r="G43" s="32"/>
      <c r="H43" s="32">
        <v>46.0</v>
      </c>
      <c r="I43" s="3"/>
      <c r="J43" s="3"/>
      <c r="K43" s="3"/>
    </row>
    <row r="46">
      <c r="A46" s="22" t="s">
        <v>4</v>
      </c>
      <c r="B46" s="23" t="s">
        <v>5</v>
      </c>
      <c r="C46" s="23" t="s">
        <v>6</v>
      </c>
      <c r="D46" s="23" t="s">
        <v>7</v>
      </c>
      <c r="E46" s="23" t="s">
        <v>8</v>
      </c>
      <c r="F46" s="23" t="s">
        <v>9</v>
      </c>
      <c r="G46" s="23" t="s">
        <v>10</v>
      </c>
      <c r="H46" s="23" t="s">
        <v>11</v>
      </c>
      <c r="I46" s="3"/>
      <c r="J46" s="3"/>
      <c r="K46" s="3"/>
    </row>
    <row r="47">
      <c r="A47" s="37" t="s">
        <v>46</v>
      </c>
      <c r="B47" s="10" t="s">
        <v>24</v>
      </c>
      <c r="C47" s="10" t="s">
        <v>24</v>
      </c>
      <c r="D47" s="10" t="s">
        <v>24</v>
      </c>
      <c r="E47" s="10" t="s">
        <v>17</v>
      </c>
      <c r="F47" s="10" t="s">
        <v>17</v>
      </c>
      <c r="G47" s="10" t="s">
        <v>17</v>
      </c>
      <c r="H47" s="10" t="s">
        <v>17</v>
      </c>
      <c r="I47" s="25"/>
      <c r="J47" s="26" t="s">
        <v>13</v>
      </c>
      <c r="K47" s="27">
        <f>SUM(B47:H48)</f>
        <v>0</v>
      </c>
    </row>
    <row r="48">
      <c r="A48" s="28" t="s">
        <v>13</v>
      </c>
      <c r="B48" s="10"/>
      <c r="C48" s="10"/>
      <c r="D48" s="10"/>
      <c r="E48" s="10"/>
      <c r="F48" s="10"/>
      <c r="G48" s="10"/>
      <c r="H48" s="10"/>
      <c r="I48" s="25"/>
      <c r="J48" s="29" t="s">
        <v>14</v>
      </c>
      <c r="K48" s="30">
        <f>SUM(B49:H50)</f>
        <v>0</v>
      </c>
    </row>
    <row r="49">
      <c r="A49" s="31" t="s">
        <v>14</v>
      </c>
      <c r="B49" s="32"/>
      <c r="C49" s="32"/>
      <c r="D49" s="32"/>
      <c r="E49" s="32"/>
      <c r="F49" s="32"/>
      <c r="G49" s="32"/>
      <c r="H49" s="32"/>
      <c r="I49" s="25"/>
      <c r="J49" s="33" t="s">
        <v>15</v>
      </c>
      <c r="K49" s="36" t="str">
        <f>K47/K48</f>
        <v>#DIV/0!</v>
      </c>
    </row>
    <row r="50">
      <c r="A50" s="20"/>
      <c r="B50" s="32"/>
      <c r="C50" s="32"/>
      <c r="D50" s="32"/>
      <c r="E50" s="32"/>
      <c r="F50" s="32"/>
      <c r="G50" s="32"/>
      <c r="H50" s="32"/>
      <c r="I50" s="3"/>
      <c r="J50" s="3"/>
      <c r="K50" s="3"/>
    </row>
    <row r="53">
      <c r="A53" s="22" t="s">
        <v>4</v>
      </c>
      <c r="B53" s="23" t="s">
        <v>5</v>
      </c>
      <c r="C53" s="23" t="s">
        <v>6</v>
      </c>
      <c r="D53" s="23" t="s">
        <v>7</v>
      </c>
      <c r="E53" s="23" t="s">
        <v>8</v>
      </c>
      <c r="F53" s="23" t="s">
        <v>9</v>
      </c>
      <c r="G53" s="23" t="s">
        <v>10</v>
      </c>
      <c r="H53" s="23" t="s">
        <v>11</v>
      </c>
      <c r="I53" s="3"/>
      <c r="J53" s="3"/>
      <c r="K53" s="3"/>
    </row>
    <row r="54">
      <c r="A54" s="37" t="s">
        <v>47</v>
      </c>
      <c r="B54" s="10">
        <v>1915.748</v>
      </c>
      <c r="C54" s="10">
        <v>953.49</v>
      </c>
      <c r="D54" s="10" t="s">
        <v>26</v>
      </c>
      <c r="E54" s="10">
        <v>524.99</v>
      </c>
      <c r="F54" s="10">
        <v>5686.03</v>
      </c>
      <c r="G54" s="10" t="s">
        <v>24</v>
      </c>
      <c r="H54" s="10" t="s">
        <v>24</v>
      </c>
      <c r="I54" s="25"/>
      <c r="J54" s="26" t="s">
        <v>13</v>
      </c>
      <c r="K54" s="27">
        <f>SUM(B54:H55)</f>
        <v>10609.858</v>
      </c>
    </row>
    <row r="55">
      <c r="A55" s="28" t="s">
        <v>13</v>
      </c>
      <c r="B55" s="10"/>
      <c r="C55" s="10">
        <v>1529.6</v>
      </c>
      <c r="D55" s="10"/>
      <c r="E55" s="10"/>
      <c r="F55" s="10"/>
      <c r="G55" s="10"/>
      <c r="H55" s="10"/>
      <c r="I55" s="25"/>
      <c r="J55" s="29" t="s">
        <v>14</v>
      </c>
      <c r="K55" s="30">
        <f>SUM(B56:H57)</f>
        <v>4746</v>
      </c>
    </row>
    <row r="56">
      <c r="A56" s="31" t="s">
        <v>14</v>
      </c>
      <c r="B56" s="32">
        <v>779.0</v>
      </c>
      <c r="C56" s="32">
        <v>451.0</v>
      </c>
      <c r="D56" s="32"/>
      <c r="E56" s="32">
        <v>299.0</v>
      </c>
      <c r="F56" s="32">
        <v>2750.0</v>
      </c>
      <c r="G56" s="32"/>
      <c r="H56" s="32"/>
      <c r="I56" s="25"/>
      <c r="J56" s="33" t="s">
        <v>15</v>
      </c>
      <c r="K56" s="34">
        <f>K54/K55</f>
        <v>2.235536873</v>
      </c>
    </row>
    <row r="57">
      <c r="A57" s="20"/>
      <c r="B57" s="32"/>
      <c r="C57" s="32">
        <v>467.0</v>
      </c>
      <c r="D57" s="32"/>
      <c r="E57" s="32"/>
      <c r="F57" s="32"/>
      <c r="G57" s="32"/>
      <c r="H57" s="32"/>
      <c r="I57" s="3"/>
      <c r="J57" s="3"/>
      <c r="K57" s="3"/>
    </row>
  </sheetData>
  <mergeCells count="8">
    <mergeCell ref="A7:A8"/>
    <mergeCell ref="A14:A15"/>
    <mergeCell ref="A21:A22"/>
    <mergeCell ref="A28:A29"/>
    <mergeCell ref="A35:A36"/>
    <mergeCell ref="A42:A43"/>
    <mergeCell ref="A49:A50"/>
    <mergeCell ref="A56:A57"/>
  </mergeCells>
  <conditionalFormatting sqref="K6">
    <cfRule type="notContainsBlanks" dxfId="0" priority="1">
      <formula>LEN(TRIM(K6))&gt;0</formula>
    </cfRule>
  </conditionalFormatting>
  <drawing r:id="rId1"/>
</worksheet>
</file>